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saverio-admin\Documents\NEST_py\Scenari_Def\"/>
    </mc:Choice>
  </mc:AlternateContent>
  <xr:revisionPtr revIDLastSave="0" documentId="13_ncr:1_{B92947B8-CC8C-4E63-86D9-DEF654DA62FC}" xr6:coauthVersionLast="47" xr6:coauthVersionMax="47" xr10:uidLastSave="{00000000-0000-0000-0000-000000000000}"/>
  <bookViews>
    <workbookView xWindow="-120" yWindow="-120" windowWidth="29040" windowHeight="15720" tabRatio="869" activeTab="5" xr2:uid="{76F53ECF-AA71-4DC4-BA4C-113A788921EA}"/>
  </bookViews>
  <sheets>
    <sheet name="Scenario" sheetId="43" r:id="rId1"/>
    <sheet name="generatorsConfig" sheetId="42" r:id="rId2"/>
    <sheet name="Boiler" sheetId="88" r:id="rId3"/>
    <sheet name="Electric Heat Pump" sheetId="89" r:id="rId4"/>
    <sheet name="Cooling - Compression chiller" sheetId="90" r:id="rId5"/>
    <sheet name="Appliances demand" sheetId="91" r:id="rId6"/>
  </sheets>
  <definedNames>
    <definedName name="_xlnm._FilterDatabase" localSheetId="0" hidden="1">Scenario!$S$1:$T$476</definedName>
    <definedName name="_xleta.IF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76" i="91" l="1" a="1"/>
  <c r="F475" i="91" a="1"/>
  <c r="F474" i="91" a="1"/>
  <c r="F473" i="91" a="1"/>
  <c r="F472" i="91" a="1"/>
  <c r="F471" i="91" a="1"/>
  <c r="F470" i="91" a="1"/>
  <c r="F469" i="91" a="1"/>
  <c r="F468" i="91" a="1"/>
  <c r="F467" i="91" a="1"/>
  <c r="F466" i="91" a="1"/>
  <c r="F465" i="91" a="1"/>
  <c r="F464" i="91" a="1"/>
  <c r="F463" i="91" a="1"/>
  <c r="F462" i="91" a="1"/>
  <c r="F461" i="91" a="1"/>
  <c r="F460" i="91" a="1"/>
  <c r="F459" i="91" a="1"/>
  <c r="F458" i="91" a="1"/>
  <c r="F457" i="91" a="1"/>
  <c r="F456" i="91" a="1"/>
  <c r="F455" i="91" a="1"/>
  <c r="F454" i="91" a="1"/>
  <c r="F453" i="91" a="1"/>
  <c r="F452" i="91" a="1"/>
  <c r="F451" i="91" a="1"/>
  <c r="F450" i="91" a="1"/>
  <c r="F449" i="91" a="1"/>
  <c r="F448" i="91" a="1"/>
  <c r="F447" i="91" a="1"/>
  <c r="F446" i="91" a="1"/>
  <c r="F445" i="91" a="1"/>
  <c r="F444" i="91" a="1"/>
  <c r="F443" i="91" a="1"/>
  <c r="F442" i="91" a="1"/>
  <c r="F441" i="91" a="1"/>
  <c r="F440" i="91" a="1"/>
  <c r="F439" i="91" a="1"/>
  <c r="F438" i="91" a="1"/>
  <c r="F437" i="91" a="1"/>
  <c r="F436" i="91" a="1"/>
  <c r="F435" i="91" a="1"/>
  <c r="F434" i="91" a="1"/>
  <c r="F433" i="91" a="1"/>
  <c r="F432" i="91" a="1"/>
  <c r="F431" i="91" a="1"/>
  <c r="F430" i="91" a="1"/>
  <c r="F429" i="91" a="1"/>
  <c r="F428" i="91" a="1"/>
  <c r="F427" i="91" a="1"/>
  <c r="F426" i="91" a="1"/>
  <c r="F425" i="91" a="1"/>
  <c r="F424" i="91" a="1"/>
  <c r="F423" i="91" a="1"/>
  <c r="F422" i="91" a="1"/>
  <c r="F421" i="91" a="1"/>
  <c r="F420" i="91" a="1"/>
  <c r="F419" i="91" a="1"/>
  <c r="F418" i="91" a="1"/>
  <c r="F417" i="91" a="1"/>
  <c r="F416" i="91" a="1"/>
  <c r="F415" i="91" a="1"/>
  <c r="F414" i="91" a="1"/>
  <c r="F413" i="91" a="1"/>
  <c r="F412" i="91" a="1"/>
  <c r="F411" i="91" a="1"/>
  <c r="F410" i="91" a="1"/>
  <c r="F409" i="91" a="1"/>
  <c r="F408" i="91" a="1"/>
  <c r="F407" i="91" a="1"/>
  <c r="F406" i="91" a="1"/>
  <c r="F405" i="91" a="1"/>
  <c r="F404" i="91" a="1"/>
  <c r="F403" i="91" a="1"/>
  <c r="F402" i="91" a="1"/>
  <c r="F401" i="91" a="1"/>
  <c r="F400" i="91" a="1"/>
  <c r="F399" i="91" a="1"/>
  <c r="F398" i="91" a="1"/>
  <c r="F397" i="91" a="1"/>
  <c r="F396" i="91" a="1"/>
  <c r="F395" i="91" a="1"/>
  <c r="F394" i="91" a="1"/>
  <c r="F393" i="91" a="1"/>
  <c r="F392" i="91" a="1"/>
  <c r="F391" i="91" a="1"/>
  <c r="F390" i="91" a="1"/>
  <c r="F389" i="91" a="1"/>
  <c r="F388" i="91" a="1"/>
  <c r="F387" i="91" a="1"/>
  <c r="F386" i="91" a="1"/>
  <c r="F385" i="91" a="1"/>
  <c r="F384" i="91" a="1"/>
  <c r="F383" i="91" a="1"/>
  <c r="F382" i="91" a="1"/>
  <c r="F381" i="91" a="1"/>
  <c r="F380" i="91" a="1"/>
  <c r="F379" i="91" a="1"/>
  <c r="F378" i="91" a="1"/>
  <c r="F377" i="91" a="1"/>
  <c r="F376" i="91" a="1"/>
  <c r="F375" i="91" a="1"/>
  <c r="F374" i="91" a="1"/>
  <c r="F373" i="91" a="1"/>
  <c r="F372" i="91" a="1"/>
  <c r="F371" i="91" a="1"/>
  <c r="F370" i="91" a="1"/>
  <c r="F369" i="91" a="1"/>
  <c r="F368" i="91" a="1"/>
  <c r="F367" i="91" a="1"/>
  <c r="E367" i="91" s="1"/>
  <c r="F366" i="91" a="1"/>
  <c r="E366" i="91" s="1"/>
  <c r="F365" i="91" a="1"/>
  <c r="E365" i="91" s="1"/>
  <c r="E364" i="91"/>
  <c r="E363" i="91"/>
  <c r="E362" i="91"/>
  <c r="E361" i="91"/>
  <c r="E360" i="91"/>
  <c r="E359" i="91"/>
  <c r="E358" i="91"/>
  <c r="E357" i="91"/>
  <c r="E356" i="91"/>
  <c r="E355" i="91"/>
  <c r="E354" i="91"/>
  <c r="E353" i="91"/>
  <c r="E352" i="91"/>
  <c r="E351" i="91"/>
  <c r="E350" i="91"/>
  <c r="E349" i="91"/>
  <c r="E348" i="91"/>
  <c r="E347" i="91"/>
  <c r="E346" i="91"/>
  <c r="E345" i="91"/>
  <c r="E344" i="91"/>
  <c r="E343" i="91"/>
  <c r="E342" i="91"/>
  <c r="E341" i="91"/>
  <c r="E340" i="91"/>
  <c r="E339" i="91"/>
  <c r="E338" i="91"/>
  <c r="E337" i="91"/>
  <c r="E336" i="91"/>
  <c r="E335" i="91"/>
  <c r="E334" i="91"/>
  <c r="E333" i="91"/>
  <c r="E332" i="91"/>
  <c r="E331" i="91"/>
  <c r="E330" i="91"/>
  <c r="E329" i="91"/>
  <c r="E328" i="91"/>
  <c r="E327" i="91"/>
  <c r="E326" i="91"/>
  <c r="E325" i="91"/>
  <c r="E324" i="91"/>
  <c r="E323" i="91"/>
  <c r="E322" i="91"/>
  <c r="E321" i="91"/>
  <c r="E320" i="91"/>
  <c r="E319" i="91"/>
  <c r="E318" i="91"/>
  <c r="E317" i="91"/>
  <c r="E316" i="91"/>
  <c r="E315" i="91"/>
  <c r="E314" i="91"/>
  <c r="E313" i="91"/>
  <c r="E312" i="91"/>
  <c r="E311" i="91"/>
  <c r="E310" i="91"/>
  <c r="E309" i="91"/>
  <c r="E308" i="91"/>
  <c r="E307" i="91"/>
  <c r="E306" i="91"/>
  <c r="E305" i="91"/>
  <c r="E304" i="91"/>
  <c r="E303" i="91"/>
  <c r="E302" i="91"/>
  <c r="E301" i="91"/>
  <c r="E300" i="91"/>
  <c r="E299" i="91"/>
  <c r="E298" i="91"/>
  <c r="E297" i="91"/>
  <c r="E296" i="91"/>
  <c r="E295" i="91"/>
  <c r="E294" i="91"/>
  <c r="E293" i="91"/>
  <c r="E292" i="91"/>
  <c r="E291" i="91"/>
  <c r="E290" i="91"/>
  <c r="E289" i="91"/>
  <c r="E288" i="91"/>
  <c r="E287" i="91"/>
  <c r="E286" i="91"/>
  <c r="E285" i="91"/>
  <c r="E284" i="91"/>
  <c r="E283" i="91"/>
  <c r="E282" i="91"/>
  <c r="E281" i="91"/>
  <c r="E280" i="91"/>
  <c r="E279" i="91"/>
  <c r="E278" i="91"/>
  <c r="E277" i="91"/>
  <c r="E276" i="91"/>
  <c r="E275" i="91"/>
  <c r="E274" i="91"/>
  <c r="E273" i="91"/>
  <c r="E272" i="91"/>
  <c r="E271" i="91"/>
  <c r="E270" i="91"/>
  <c r="E269" i="91"/>
  <c r="E268" i="91"/>
  <c r="E267" i="91"/>
  <c r="E266" i="91"/>
  <c r="E265" i="91"/>
  <c r="E264" i="91"/>
  <c r="E263" i="91"/>
  <c r="E262" i="91"/>
  <c r="E261" i="91"/>
  <c r="E260" i="91"/>
  <c r="E259" i="91"/>
  <c r="E258" i="91"/>
  <c r="E257" i="91"/>
  <c r="E256" i="91"/>
  <c r="E255" i="91"/>
  <c r="E254" i="91"/>
  <c r="E476" i="91"/>
  <c r="E475" i="91"/>
  <c r="E474" i="91"/>
  <c r="E473" i="91"/>
  <c r="E472" i="91"/>
  <c r="E471" i="91"/>
  <c r="E470" i="91"/>
  <c r="E469" i="91"/>
  <c r="E468" i="91"/>
  <c r="E467" i="91"/>
  <c r="E466" i="91"/>
  <c r="E465" i="91"/>
  <c r="E464" i="91"/>
  <c r="E463" i="91"/>
  <c r="E462" i="91"/>
  <c r="E461" i="91"/>
  <c r="E460" i="91"/>
  <c r="E459" i="91"/>
  <c r="E458" i="91"/>
  <c r="E457" i="91"/>
  <c r="E456" i="91"/>
  <c r="E455" i="91"/>
  <c r="E454" i="91"/>
  <c r="E453" i="91"/>
  <c r="E452" i="91"/>
  <c r="E451" i="91"/>
  <c r="E450" i="91"/>
  <c r="E449" i="91"/>
  <c r="E448" i="91"/>
  <c r="E447" i="91"/>
  <c r="E446" i="91"/>
  <c r="E445" i="91"/>
  <c r="E444" i="91"/>
  <c r="E443" i="91"/>
  <c r="E442" i="91"/>
  <c r="E441" i="91"/>
  <c r="E440" i="91"/>
  <c r="E439" i="91"/>
  <c r="E438" i="91"/>
  <c r="E437" i="91"/>
  <c r="E436" i="91"/>
  <c r="E435" i="91"/>
  <c r="E434" i="91"/>
  <c r="E433" i="91"/>
  <c r="E432" i="91"/>
  <c r="E431" i="91"/>
  <c r="E430" i="91"/>
  <c r="E429" i="91"/>
  <c r="E428" i="91"/>
  <c r="E427" i="91"/>
  <c r="E426" i="91"/>
  <c r="E425" i="91"/>
  <c r="E424" i="91"/>
  <c r="E423" i="91"/>
  <c r="E422" i="91"/>
  <c r="E421" i="91"/>
  <c r="E420" i="91"/>
  <c r="E419" i="91"/>
  <c r="E418" i="91"/>
  <c r="E417" i="91"/>
  <c r="E416" i="91"/>
  <c r="E415" i="91"/>
  <c r="E414" i="91"/>
  <c r="E413" i="91"/>
  <c r="E412" i="91"/>
  <c r="E411" i="91"/>
  <c r="E410" i="91"/>
  <c r="E409" i="91"/>
  <c r="E408" i="91"/>
  <c r="E407" i="91"/>
  <c r="E406" i="91"/>
  <c r="E405" i="91"/>
  <c r="E404" i="91"/>
  <c r="E403" i="91"/>
  <c r="E402" i="91"/>
  <c r="E401" i="91"/>
  <c r="E400" i="91"/>
  <c r="E399" i="91"/>
  <c r="E398" i="91"/>
  <c r="E397" i="91"/>
  <c r="E396" i="91"/>
  <c r="E395" i="91"/>
  <c r="E394" i="91"/>
  <c r="E393" i="91"/>
  <c r="E392" i="91"/>
  <c r="E391" i="91"/>
  <c r="E390" i="91"/>
  <c r="E389" i="91"/>
  <c r="E388" i="91"/>
  <c r="E387" i="91"/>
  <c r="E386" i="91"/>
  <c r="E385" i="91"/>
  <c r="E384" i="91"/>
  <c r="E383" i="91"/>
  <c r="E382" i="91"/>
  <c r="E381" i="91"/>
  <c r="E380" i="91"/>
  <c r="E379" i="91"/>
  <c r="E378" i="91"/>
  <c r="E377" i="91"/>
  <c r="E376" i="91"/>
  <c r="E375" i="91"/>
  <c r="E374" i="91"/>
  <c r="E373" i="91"/>
  <c r="E372" i="91"/>
  <c r="E371" i="91"/>
  <c r="E370" i="91"/>
  <c r="E369" i="91"/>
  <c r="E368" i="91"/>
  <c r="E253" i="91"/>
  <c r="E252" i="91"/>
  <c r="E251" i="91"/>
  <c r="E250" i="91"/>
  <c r="E249" i="91"/>
  <c r="E248" i="91"/>
  <c r="E247" i="91"/>
  <c r="E246" i="91"/>
  <c r="E245" i="91"/>
  <c r="E244" i="91"/>
  <c r="E243" i="91"/>
  <c r="E242" i="91"/>
  <c r="E241" i="91"/>
  <c r="E240" i="91"/>
  <c r="E239" i="91"/>
  <c r="E238" i="91"/>
  <c r="E237" i="91"/>
  <c r="E236" i="91"/>
  <c r="E235" i="91"/>
  <c r="E234" i="91"/>
  <c r="E233" i="91"/>
  <c r="E232" i="91"/>
  <c r="E231" i="91"/>
  <c r="E230" i="91"/>
  <c r="E229" i="91"/>
  <c r="E228" i="91"/>
  <c r="E227" i="91"/>
  <c r="E226" i="91"/>
  <c r="E225" i="91"/>
  <c r="E224" i="91"/>
  <c r="E223" i="91"/>
  <c r="E222" i="91"/>
  <c r="E221" i="91"/>
  <c r="E220" i="91"/>
  <c r="E219" i="91"/>
  <c r="E218" i="91"/>
  <c r="E217" i="91"/>
  <c r="E216" i="91"/>
  <c r="E215" i="91"/>
  <c r="E214" i="91"/>
  <c r="E213" i="91"/>
  <c r="E212" i="91"/>
  <c r="E211" i="91"/>
  <c r="E210" i="91"/>
  <c r="E209" i="91"/>
  <c r="E208" i="91"/>
  <c r="E207" i="91"/>
  <c r="E206" i="91"/>
  <c r="E205" i="91"/>
  <c r="E204" i="91"/>
  <c r="E203" i="91"/>
  <c r="E202" i="91"/>
  <c r="E201" i="91"/>
  <c r="E200" i="91"/>
  <c r="E199" i="91"/>
  <c r="E198" i="91"/>
  <c r="E197" i="91"/>
  <c r="E196" i="91"/>
  <c r="E195" i="91"/>
  <c r="E194" i="91"/>
  <c r="E193" i="91"/>
  <c r="E192" i="91"/>
  <c r="E191" i="91"/>
  <c r="E190" i="91"/>
  <c r="E189" i="91"/>
  <c r="E188" i="91"/>
  <c r="E187" i="91"/>
  <c r="E186" i="91"/>
  <c r="E185" i="91"/>
  <c r="E184" i="91"/>
  <c r="E183" i="91"/>
  <c r="E182" i="91"/>
  <c r="E181" i="91"/>
  <c r="E180" i="91"/>
  <c r="E179" i="91"/>
  <c r="E178" i="91"/>
  <c r="E177" i="91"/>
  <c r="E176" i="91"/>
  <c r="E175" i="91"/>
  <c r="E174" i="91"/>
  <c r="E173" i="91"/>
  <c r="E172" i="91"/>
  <c r="E171" i="91"/>
  <c r="E170" i="91"/>
  <c r="E169" i="91"/>
  <c r="E168" i="91"/>
  <c r="E167" i="91"/>
  <c r="E166" i="91"/>
  <c r="E165" i="91"/>
  <c r="E164" i="91"/>
  <c r="E163" i="91"/>
  <c r="E162" i="91"/>
  <c r="E161" i="91"/>
  <c r="E160" i="91"/>
  <c r="E159" i="91"/>
  <c r="E158" i="91"/>
  <c r="E157" i="91"/>
  <c r="E156" i="91"/>
  <c r="E155" i="91"/>
  <c r="E154" i="91"/>
  <c r="E153" i="91"/>
  <c r="E152" i="91"/>
  <c r="E151" i="91"/>
  <c r="E150" i="91"/>
  <c r="E149" i="91"/>
  <c r="E148" i="91"/>
  <c r="E147" i="91"/>
  <c r="E146" i="91"/>
  <c r="E145" i="91"/>
  <c r="E144" i="91"/>
  <c r="E143" i="91"/>
  <c r="E142" i="91"/>
  <c r="E141" i="91"/>
  <c r="E140" i="91"/>
  <c r="E139" i="91"/>
  <c r="E138" i="91"/>
  <c r="E137" i="91"/>
  <c r="E136" i="91"/>
  <c r="E135" i="91"/>
  <c r="E134" i="91"/>
  <c r="E133" i="91"/>
  <c r="E132" i="91"/>
  <c r="E131" i="91"/>
  <c r="E130" i="91"/>
  <c r="E129" i="91"/>
  <c r="E128" i="91"/>
  <c r="E127" i="91"/>
  <c r="E126" i="91"/>
  <c r="E125" i="91"/>
  <c r="E124" i="91"/>
  <c r="E123" i="91"/>
  <c r="E122" i="91"/>
  <c r="E121" i="91"/>
  <c r="E120" i="91"/>
  <c r="E119" i="91"/>
  <c r="E118" i="91"/>
  <c r="E117" i="91"/>
  <c r="E116" i="91"/>
  <c r="E115" i="91"/>
  <c r="E114" i="91"/>
  <c r="E113" i="91"/>
  <c r="E112" i="91"/>
  <c r="E111" i="91"/>
  <c r="E110" i="91"/>
  <c r="E109" i="91"/>
  <c r="E108" i="91"/>
  <c r="E107" i="91"/>
  <c r="E106" i="91"/>
  <c r="E105" i="91"/>
  <c r="E104" i="91"/>
  <c r="E103" i="91"/>
  <c r="E102" i="91"/>
  <c r="E101" i="91"/>
  <c r="E100" i="91"/>
  <c r="E99" i="91"/>
  <c r="E98" i="91"/>
  <c r="E97" i="91"/>
  <c r="E96" i="91"/>
  <c r="E95" i="91"/>
  <c r="E94" i="91"/>
  <c r="E93" i="91"/>
  <c r="E92" i="91"/>
  <c r="E91" i="91"/>
  <c r="E90" i="91"/>
  <c r="E89" i="91"/>
  <c r="E88" i="91"/>
  <c r="E87" i="91"/>
  <c r="E86" i="91"/>
  <c r="E85" i="91"/>
  <c r="E84" i="91"/>
  <c r="E83" i="91"/>
  <c r="E82" i="91"/>
  <c r="E81" i="91"/>
  <c r="E80" i="91"/>
  <c r="E79" i="91"/>
  <c r="E78" i="91"/>
  <c r="E77" i="91"/>
  <c r="E76" i="91"/>
  <c r="E75" i="91"/>
  <c r="E74" i="91"/>
  <c r="E73" i="91"/>
  <c r="E72" i="91"/>
  <c r="E71" i="91"/>
  <c r="E70" i="91"/>
  <c r="E69" i="91"/>
  <c r="E68" i="91"/>
  <c r="E67" i="91"/>
  <c r="E66" i="91"/>
  <c r="E65" i="91"/>
  <c r="E64" i="91"/>
  <c r="E63" i="91"/>
  <c r="E62" i="91"/>
  <c r="E61" i="91"/>
  <c r="E60" i="91"/>
  <c r="E59" i="91"/>
  <c r="E58" i="91"/>
  <c r="E57" i="91"/>
  <c r="E56" i="91"/>
  <c r="E55" i="91"/>
  <c r="E54" i="91"/>
  <c r="E53" i="91"/>
  <c r="E52" i="91"/>
  <c r="E51" i="91"/>
  <c r="E50" i="91"/>
  <c r="E49" i="91"/>
  <c r="E48" i="91"/>
  <c r="E47" i="91"/>
  <c r="E46" i="91"/>
  <c r="E45" i="91"/>
  <c r="E44" i="91"/>
  <c r="E43" i="91"/>
  <c r="E42" i="91"/>
  <c r="E41" i="91"/>
  <c r="E40" i="91"/>
  <c r="E39" i="91"/>
  <c r="E38" i="91"/>
  <c r="E37" i="91"/>
  <c r="E36" i="91"/>
  <c r="E35" i="91"/>
  <c r="E34" i="91"/>
  <c r="E33" i="91"/>
  <c r="E32" i="91"/>
  <c r="E31" i="91"/>
  <c r="E30" i="91"/>
  <c r="E29" i="91"/>
  <c r="E28" i="91"/>
  <c r="E27" i="91"/>
  <c r="E26" i="91"/>
  <c r="E25" i="91"/>
  <c r="E24" i="91"/>
  <c r="E23" i="91"/>
  <c r="E22" i="91"/>
  <c r="E21" i="91"/>
  <c r="E20" i="91"/>
  <c r="E19" i="91"/>
  <c r="E18" i="91"/>
  <c r="E17" i="91"/>
  <c r="E16" i="91"/>
  <c r="E15" i="91"/>
  <c r="E14" i="91"/>
  <c r="E13" i="91"/>
  <c r="E12" i="91"/>
  <c r="E11" i="91"/>
  <c r="E10" i="91"/>
  <c r="E9" i="91"/>
  <c r="E8" i="91"/>
  <c r="E7" i="91"/>
  <c r="E6" i="91"/>
  <c r="E5" i="91"/>
  <c r="E4" i="91"/>
  <c r="E3" i="91"/>
  <c r="E2" i="91"/>
  <c r="I476" i="90"/>
  <c r="I475" i="90"/>
  <c r="I474" i="90"/>
  <c r="I473" i="90"/>
  <c r="I472" i="90"/>
  <c r="I471" i="90"/>
  <c r="I470" i="90"/>
  <c r="I469" i="90"/>
  <c r="I468" i="90"/>
  <c r="I467" i="90"/>
  <c r="I466" i="90"/>
  <c r="I465" i="90"/>
  <c r="I464" i="90"/>
  <c r="I463" i="90"/>
  <c r="I462" i="90"/>
  <c r="I461" i="90"/>
  <c r="I460" i="90"/>
  <c r="I459" i="90"/>
  <c r="I458" i="90"/>
  <c r="I457" i="90"/>
  <c r="I456" i="90"/>
  <c r="I455" i="90"/>
  <c r="I454" i="90"/>
  <c r="I453" i="90"/>
  <c r="I452" i="90"/>
  <c r="I451" i="90"/>
  <c r="I450" i="90"/>
  <c r="I449" i="90"/>
  <c r="I448" i="90"/>
  <c r="I447" i="90"/>
  <c r="I446" i="90"/>
  <c r="I445" i="90"/>
  <c r="I444" i="90"/>
  <c r="I443" i="90"/>
  <c r="I442" i="90"/>
  <c r="I441" i="90"/>
  <c r="I440" i="90"/>
  <c r="I439" i="90"/>
  <c r="I438" i="90"/>
  <c r="I437" i="90"/>
  <c r="I436" i="90"/>
  <c r="I435" i="90"/>
  <c r="I434" i="90"/>
  <c r="I433" i="90"/>
  <c r="I432" i="90"/>
  <c r="I431" i="90"/>
  <c r="I430" i="90"/>
  <c r="I429" i="90"/>
  <c r="I428" i="90"/>
  <c r="I427" i="90"/>
  <c r="I426" i="90"/>
  <c r="I425" i="90"/>
  <c r="I424" i="90"/>
  <c r="I423" i="90"/>
  <c r="I422" i="90"/>
  <c r="I421" i="90"/>
  <c r="I420" i="90"/>
  <c r="I419" i="90"/>
  <c r="I418" i="90"/>
  <c r="I417" i="90"/>
  <c r="I416" i="90"/>
  <c r="I415" i="90"/>
  <c r="I414" i="90"/>
  <c r="I413" i="90"/>
  <c r="I412" i="90"/>
  <c r="I411" i="90"/>
  <c r="I410" i="90"/>
  <c r="I409" i="90"/>
  <c r="I408" i="90"/>
  <c r="I407" i="90"/>
  <c r="I406" i="90"/>
  <c r="I405" i="90"/>
  <c r="I404" i="90"/>
  <c r="I403" i="90"/>
  <c r="I402" i="90"/>
  <c r="I401" i="90"/>
  <c r="I400" i="90"/>
  <c r="I399" i="90"/>
  <c r="I398" i="90"/>
  <c r="I397" i="90"/>
  <c r="I396" i="90"/>
  <c r="I395" i="90"/>
  <c r="I394" i="90"/>
  <c r="I393" i="90"/>
  <c r="I392" i="90"/>
  <c r="I391" i="90"/>
  <c r="I390" i="90"/>
  <c r="I389" i="90"/>
  <c r="I388" i="90"/>
  <c r="I387" i="90"/>
  <c r="I386" i="90"/>
  <c r="I385" i="90"/>
  <c r="I384" i="90"/>
  <c r="I383" i="90"/>
  <c r="I382" i="90"/>
  <c r="I381" i="90"/>
  <c r="I380" i="90"/>
  <c r="H380" i="90" s="1"/>
  <c r="I379" i="90"/>
  <c r="I378" i="90"/>
  <c r="I377" i="90"/>
  <c r="I376" i="90"/>
  <c r="I375" i="90"/>
  <c r="I374" i="90"/>
  <c r="I373" i="90"/>
  <c r="I372" i="90"/>
  <c r="I371" i="90"/>
  <c r="I370" i="90"/>
  <c r="I369" i="90"/>
  <c r="I368" i="90"/>
  <c r="I367" i="90"/>
  <c r="I366" i="90"/>
  <c r="I365" i="90"/>
  <c r="E476" i="90"/>
  <c r="H476" i="90" s="1"/>
  <c r="E475" i="90"/>
  <c r="H475" i="90" s="1"/>
  <c r="E474" i="90"/>
  <c r="H474" i="90" s="1"/>
  <c r="E473" i="90"/>
  <c r="H473" i="90" s="1"/>
  <c r="E472" i="90"/>
  <c r="H472" i="90" s="1"/>
  <c r="E471" i="90"/>
  <c r="H471" i="90" s="1"/>
  <c r="E470" i="90"/>
  <c r="H470" i="90" s="1"/>
  <c r="E469" i="90"/>
  <c r="H469" i="90" s="1"/>
  <c r="E468" i="90"/>
  <c r="H468" i="90" s="1"/>
  <c r="E467" i="90"/>
  <c r="H467" i="90" s="1"/>
  <c r="E466" i="90"/>
  <c r="H466" i="90" s="1"/>
  <c r="E465" i="90"/>
  <c r="H465" i="90" s="1"/>
  <c r="E464" i="90"/>
  <c r="H464" i="90" s="1"/>
  <c r="E463" i="90"/>
  <c r="H463" i="90" s="1"/>
  <c r="E462" i="90"/>
  <c r="H462" i="90" s="1"/>
  <c r="E461" i="90"/>
  <c r="H461" i="90" s="1"/>
  <c r="E460" i="90"/>
  <c r="H460" i="90" s="1"/>
  <c r="E459" i="90"/>
  <c r="H459" i="90" s="1"/>
  <c r="E458" i="90"/>
  <c r="H458" i="90" s="1"/>
  <c r="E457" i="90"/>
  <c r="H457" i="90" s="1"/>
  <c r="E456" i="90"/>
  <c r="H456" i="90" s="1"/>
  <c r="E455" i="90"/>
  <c r="H455" i="90" s="1"/>
  <c r="E454" i="90"/>
  <c r="H454" i="90" s="1"/>
  <c r="E453" i="90"/>
  <c r="H453" i="90" s="1"/>
  <c r="E452" i="90"/>
  <c r="H452" i="90" s="1"/>
  <c r="E451" i="90"/>
  <c r="H451" i="90" s="1"/>
  <c r="E450" i="90"/>
  <c r="H450" i="90" s="1"/>
  <c r="E449" i="90"/>
  <c r="H449" i="90" s="1"/>
  <c r="E448" i="90"/>
  <c r="H448" i="90" s="1"/>
  <c r="E447" i="90"/>
  <c r="H447" i="90" s="1"/>
  <c r="E446" i="90"/>
  <c r="H446" i="90" s="1"/>
  <c r="E445" i="90"/>
  <c r="H445" i="90" s="1"/>
  <c r="E444" i="90"/>
  <c r="H444" i="90" s="1"/>
  <c r="E443" i="90"/>
  <c r="H443" i="90" s="1"/>
  <c r="E442" i="90"/>
  <c r="H442" i="90" s="1"/>
  <c r="E441" i="90"/>
  <c r="H441" i="90" s="1"/>
  <c r="E440" i="90"/>
  <c r="H440" i="90" s="1"/>
  <c r="E439" i="90"/>
  <c r="H439" i="90" s="1"/>
  <c r="E438" i="90"/>
  <c r="H438" i="90" s="1"/>
  <c r="E437" i="90"/>
  <c r="H437" i="90" s="1"/>
  <c r="E436" i="90"/>
  <c r="H436" i="90" s="1"/>
  <c r="E435" i="90"/>
  <c r="H435" i="90" s="1"/>
  <c r="E434" i="90"/>
  <c r="H434" i="90" s="1"/>
  <c r="E433" i="90"/>
  <c r="H433" i="90" s="1"/>
  <c r="E432" i="90"/>
  <c r="H432" i="90" s="1"/>
  <c r="E431" i="90"/>
  <c r="H431" i="90" s="1"/>
  <c r="E430" i="90"/>
  <c r="H430" i="90" s="1"/>
  <c r="E429" i="90"/>
  <c r="H429" i="90" s="1"/>
  <c r="E428" i="90"/>
  <c r="H428" i="90" s="1"/>
  <c r="E427" i="90"/>
  <c r="H427" i="90" s="1"/>
  <c r="E426" i="90"/>
  <c r="H426" i="90" s="1"/>
  <c r="E425" i="90"/>
  <c r="H425" i="90" s="1"/>
  <c r="E424" i="90"/>
  <c r="H424" i="90" s="1"/>
  <c r="E423" i="90"/>
  <c r="H423" i="90" s="1"/>
  <c r="E422" i="90"/>
  <c r="H422" i="90" s="1"/>
  <c r="E421" i="90"/>
  <c r="H421" i="90" s="1"/>
  <c r="E420" i="90"/>
  <c r="H420" i="90" s="1"/>
  <c r="E419" i="90"/>
  <c r="H419" i="90" s="1"/>
  <c r="E418" i="90"/>
  <c r="H418" i="90" s="1"/>
  <c r="E417" i="90"/>
  <c r="H417" i="90" s="1"/>
  <c r="E416" i="90"/>
  <c r="H416" i="90" s="1"/>
  <c r="E415" i="90"/>
  <c r="H415" i="90" s="1"/>
  <c r="E414" i="90"/>
  <c r="H414" i="90" s="1"/>
  <c r="E413" i="90"/>
  <c r="H413" i="90" s="1"/>
  <c r="E412" i="90"/>
  <c r="H412" i="90" s="1"/>
  <c r="E411" i="90"/>
  <c r="H411" i="90" s="1"/>
  <c r="E410" i="90"/>
  <c r="H410" i="90" s="1"/>
  <c r="E409" i="90"/>
  <c r="H409" i="90" s="1"/>
  <c r="H408" i="90"/>
  <c r="E408" i="90"/>
  <c r="E407" i="90"/>
  <c r="H407" i="90" s="1"/>
  <c r="E406" i="90"/>
  <c r="H406" i="90" s="1"/>
  <c r="E405" i="90"/>
  <c r="H405" i="90" s="1"/>
  <c r="E404" i="90"/>
  <c r="H404" i="90" s="1"/>
  <c r="E403" i="90"/>
  <c r="H403" i="90" s="1"/>
  <c r="E402" i="90"/>
  <c r="H402" i="90" s="1"/>
  <c r="E401" i="90"/>
  <c r="H401" i="90" s="1"/>
  <c r="E400" i="90"/>
  <c r="H400" i="90" s="1"/>
  <c r="E399" i="90"/>
  <c r="H399" i="90" s="1"/>
  <c r="E398" i="90"/>
  <c r="H398" i="90" s="1"/>
  <c r="E397" i="90"/>
  <c r="H397" i="90" s="1"/>
  <c r="E396" i="90"/>
  <c r="H396" i="90" s="1"/>
  <c r="E395" i="90"/>
  <c r="H395" i="90" s="1"/>
  <c r="E394" i="90"/>
  <c r="H394" i="90" s="1"/>
  <c r="E393" i="90"/>
  <c r="H393" i="90" s="1"/>
  <c r="E392" i="90"/>
  <c r="E391" i="90"/>
  <c r="E390" i="90"/>
  <c r="E389" i="90"/>
  <c r="E388" i="90"/>
  <c r="E387" i="90"/>
  <c r="E386" i="90"/>
  <c r="E385" i="90"/>
  <c r="E384" i="90"/>
  <c r="E383" i="90"/>
  <c r="E382" i="90"/>
  <c r="E381" i="90"/>
  <c r="E380" i="90"/>
  <c r="E379" i="90"/>
  <c r="E378" i="90"/>
  <c r="E377" i="90"/>
  <c r="E376" i="90"/>
  <c r="E375" i="90"/>
  <c r="E374" i="90"/>
  <c r="E373" i="90"/>
  <c r="E372" i="90"/>
  <c r="E371" i="90"/>
  <c r="E370" i="90"/>
  <c r="E369" i="90"/>
  <c r="E368" i="90"/>
  <c r="E367" i="90"/>
  <c r="E366" i="90"/>
  <c r="E365" i="90"/>
  <c r="E364" i="90"/>
  <c r="H364" i="90" s="1"/>
  <c r="E363" i="90"/>
  <c r="H363" i="90" s="1"/>
  <c r="E362" i="90"/>
  <c r="H362" i="90" s="1"/>
  <c r="E361" i="90"/>
  <c r="H361" i="90" s="1"/>
  <c r="E360" i="90"/>
  <c r="H360" i="90" s="1"/>
  <c r="E359" i="90"/>
  <c r="H359" i="90" s="1"/>
  <c r="E358" i="90"/>
  <c r="H358" i="90" s="1"/>
  <c r="E357" i="90"/>
  <c r="H357" i="90" s="1"/>
  <c r="E356" i="90"/>
  <c r="H356" i="90" s="1"/>
  <c r="E355" i="90"/>
  <c r="H355" i="90" s="1"/>
  <c r="E354" i="90"/>
  <c r="H354" i="90" s="1"/>
  <c r="E353" i="90"/>
  <c r="H353" i="90" s="1"/>
  <c r="E352" i="90"/>
  <c r="H352" i="90" s="1"/>
  <c r="E351" i="90"/>
  <c r="H351" i="90" s="1"/>
  <c r="E350" i="90"/>
  <c r="H350" i="90" s="1"/>
  <c r="E349" i="90"/>
  <c r="H349" i="90" s="1"/>
  <c r="E348" i="90"/>
  <c r="H348" i="90" s="1"/>
  <c r="E347" i="90"/>
  <c r="H347" i="90" s="1"/>
  <c r="E346" i="90"/>
  <c r="H346" i="90" s="1"/>
  <c r="E345" i="90"/>
  <c r="H345" i="90" s="1"/>
  <c r="E344" i="90"/>
  <c r="H344" i="90" s="1"/>
  <c r="E343" i="90"/>
  <c r="H343" i="90" s="1"/>
  <c r="E342" i="90"/>
  <c r="H342" i="90" s="1"/>
  <c r="E341" i="90"/>
  <c r="H341" i="90" s="1"/>
  <c r="E340" i="90"/>
  <c r="H340" i="90" s="1"/>
  <c r="E339" i="90"/>
  <c r="H339" i="90" s="1"/>
  <c r="E338" i="90"/>
  <c r="H338" i="90" s="1"/>
  <c r="E337" i="90"/>
  <c r="H337" i="90" s="1"/>
  <c r="E336" i="90"/>
  <c r="H336" i="90" s="1"/>
  <c r="E335" i="90"/>
  <c r="H335" i="90" s="1"/>
  <c r="E334" i="90"/>
  <c r="H334" i="90" s="1"/>
  <c r="E333" i="90"/>
  <c r="H333" i="90" s="1"/>
  <c r="E332" i="90"/>
  <c r="H332" i="90" s="1"/>
  <c r="E331" i="90"/>
  <c r="H331" i="90" s="1"/>
  <c r="E330" i="90"/>
  <c r="H330" i="90" s="1"/>
  <c r="E329" i="90"/>
  <c r="H329" i="90" s="1"/>
  <c r="E328" i="90"/>
  <c r="H328" i="90" s="1"/>
  <c r="E327" i="90"/>
  <c r="H327" i="90" s="1"/>
  <c r="E326" i="90"/>
  <c r="H326" i="90" s="1"/>
  <c r="E325" i="90"/>
  <c r="H325" i="90" s="1"/>
  <c r="E324" i="90"/>
  <c r="H324" i="90" s="1"/>
  <c r="E323" i="90"/>
  <c r="H323" i="90" s="1"/>
  <c r="E322" i="90"/>
  <c r="H322" i="90" s="1"/>
  <c r="E321" i="90"/>
  <c r="H321" i="90" s="1"/>
  <c r="E320" i="90"/>
  <c r="H320" i="90" s="1"/>
  <c r="E319" i="90"/>
  <c r="H319" i="90" s="1"/>
  <c r="E318" i="90"/>
  <c r="H318" i="90" s="1"/>
  <c r="E317" i="90"/>
  <c r="H317" i="90" s="1"/>
  <c r="E316" i="90"/>
  <c r="H316" i="90" s="1"/>
  <c r="E315" i="90"/>
  <c r="H315" i="90" s="1"/>
  <c r="E314" i="90"/>
  <c r="H314" i="90" s="1"/>
  <c r="E313" i="90"/>
  <c r="H313" i="90" s="1"/>
  <c r="E312" i="90"/>
  <c r="H312" i="90" s="1"/>
  <c r="E311" i="90"/>
  <c r="H311" i="90" s="1"/>
  <c r="E310" i="90"/>
  <c r="H310" i="90" s="1"/>
  <c r="E309" i="90"/>
  <c r="H309" i="90" s="1"/>
  <c r="E308" i="90"/>
  <c r="H308" i="90" s="1"/>
  <c r="E307" i="90"/>
  <c r="H307" i="90" s="1"/>
  <c r="E306" i="90"/>
  <c r="H306" i="90" s="1"/>
  <c r="E305" i="90"/>
  <c r="H305" i="90" s="1"/>
  <c r="E304" i="90"/>
  <c r="H304" i="90" s="1"/>
  <c r="E303" i="90"/>
  <c r="H303" i="90" s="1"/>
  <c r="E302" i="90"/>
  <c r="H302" i="90" s="1"/>
  <c r="E301" i="90"/>
  <c r="H301" i="90" s="1"/>
  <c r="E300" i="90"/>
  <c r="H300" i="90" s="1"/>
  <c r="E299" i="90"/>
  <c r="H299" i="90" s="1"/>
  <c r="E298" i="90"/>
  <c r="H298" i="90" s="1"/>
  <c r="E297" i="90"/>
  <c r="H297" i="90" s="1"/>
  <c r="E296" i="90"/>
  <c r="H296" i="90" s="1"/>
  <c r="E295" i="90"/>
  <c r="H295" i="90" s="1"/>
  <c r="E294" i="90"/>
  <c r="H294" i="90" s="1"/>
  <c r="E293" i="90"/>
  <c r="H293" i="90" s="1"/>
  <c r="E292" i="90"/>
  <c r="H292" i="90" s="1"/>
  <c r="E291" i="90"/>
  <c r="H291" i="90" s="1"/>
  <c r="E290" i="90"/>
  <c r="H290" i="90" s="1"/>
  <c r="E289" i="90"/>
  <c r="H289" i="90" s="1"/>
  <c r="E288" i="90"/>
  <c r="H288" i="90" s="1"/>
  <c r="E287" i="90"/>
  <c r="H287" i="90" s="1"/>
  <c r="E286" i="90"/>
  <c r="H286" i="90" s="1"/>
  <c r="E285" i="90"/>
  <c r="H285" i="90" s="1"/>
  <c r="H284" i="90"/>
  <c r="E284" i="90"/>
  <c r="E283" i="90"/>
  <c r="H283" i="90" s="1"/>
  <c r="E282" i="90"/>
  <c r="H282" i="90" s="1"/>
  <c r="E281" i="90"/>
  <c r="H281" i="90" s="1"/>
  <c r="E280" i="90"/>
  <c r="H280" i="90" s="1"/>
  <c r="E279" i="90"/>
  <c r="H279" i="90" s="1"/>
  <c r="E278" i="90"/>
  <c r="H278" i="90" s="1"/>
  <c r="E277" i="90"/>
  <c r="H277" i="90" s="1"/>
  <c r="E276" i="90"/>
  <c r="H276" i="90" s="1"/>
  <c r="E275" i="90"/>
  <c r="H275" i="90" s="1"/>
  <c r="E274" i="90"/>
  <c r="H274" i="90" s="1"/>
  <c r="E273" i="90"/>
  <c r="H273" i="90" s="1"/>
  <c r="E272" i="90"/>
  <c r="H272" i="90" s="1"/>
  <c r="E271" i="90"/>
  <c r="H271" i="90" s="1"/>
  <c r="E270" i="90"/>
  <c r="H270" i="90" s="1"/>
  <c r="E269" i="90"/>
  <c r="H269" i="90" s="1"/>
  <c r="E268" i="90"/>
  <c r="H268" i="90" s="1"/>
  <c r="E267" i="90"/>
  <c r="H267" i="90" s="1"/>
  <c r="E266" i="90"/>
  <c r="H266" i="90" s="1"/>
  <c r="E265" i="90"/>
  <c r="H265" i="90" s="1"/>
  <c r="E264" i="90"/>
  <c r="H264" i="90" s="1"/>
  <c r="E263" i="90"/>
  <c r="H263" i="90" s="1"/>
  <c r="E262" i="90"/>
  <c r="H262" i="90" s="1"/>
  <c r="E261" i="90"/>
  <c r="H261" i="90" s="1"/>
  <c r="E260" i="90"/>
  <c r="H260" i="90" s="1"/>
  <c r="E259" i="90"/>
  <c r="H259" i="90" s="1"/>
  <c r="E258" i="90"/>
  <c r="H258" i="90" s="1"/>
  <c r="E257" i="90"/>
  <c r="H257" i="90" s="1"/>
  <c r="E256" i="90"/>
  <c r="H256" i="90" s="1"/>
  <c r="E255" i="90"/>
  <c r="H255" i="90" s="1"/>
  <c r="E254" i="90"/>
  <c r="H254" i="90" s="1"/>
  <c r="H253" i="90"/>
  <c r="E253" i="90"/>
  <c r="H252" i="90"/>
  <c r="E252" i="90"/>
  <c r="H251" i="90"/>
  <c r="E251" i="90"/>
  <c r="H250" i="90"/>
  <c r="E250" i="90"/>
  <c r="H249" i="90"/>
  <c r="E249" i="90"/>
  <c r="H248" i="90"/>
  <c r="E248" i="90"/>
  <c r="H247" i="90"/>
  <c r="E247" i="90"/>
  <c r="H246" i="90"/>
  <c r="E246" i="90"/>
  <c r="H245" i="90"/>
  <c r="E245" i="90"/>
  <c r="H244" i="90"/>
  <c r="E244" i="90"/>
  <c r="H243" i="90"/>
  <c r="E243" i="90"/>
  <c r="H242" i="90"/>
  <c r="E242" i="90"/>
  <c r="H241" i="90"/>
  <c r="E241" i="90"/>
  <c r="H240" i="90"/>
  <c r="E240" i="90"/>
  <c r="H239" i="90"/>
  <c r="E239" i="90"/>
  <c r="H238" i="90"/>
  <c r="E238" i="90"/>
  <c r="H237" i="90"/>
  <c r="E237" i="90"/>
  <c r="H236" i="90"/>
  <c r="E236" i="90"/>
  <c r="H235" i="90"/>
  <c r="E235" i="90"/>
  <c r="H234" i="90"/>
  <c r="E234" i="90"/>
  <c r="H233" i="90"/>
  <c r="E233" i="90"/>
  <c r="H232" i="90"/>
  <c r="E232" i="90"/>
  <c r="H231" i="90"/>
  <c r="E231" i="90"/>
  <c r="H230" i="90"/>
  <c r="E230" i="90"/>
  <c r="H229" i="90"/>
  <c r="E229" i="90"/>
  <c r="H228" i="90"/>
  <c r="E228" i="90"/>
  <c r="H227" i="90"/>
  <c r="E227" i="90"/>
  <c r="H226" i="90"/>
  <c r="E226" i="90"/>
  <c r="H225" i="90"/>
  <c r="E225" i="90"/>
  <c r="H224" i="90"/>
  <c r="E224" i="90"/>
  <c r="H223" i="90"/>
  <c r="E223" i="90"/>
  <c r="H222" i="90"/>
  <c r="E222" i="90"/>
  <c r="H221" i="90"/>
  <c r="E221" i="90"/>
  <c r="H220" i="90"/>
  <c r="E220" i="90"/>
  <c r="H219" i="90"/>
  <c r="E219" i="90"/>
  <c r="H218" i="90"/>
  <c r="E218" i="90"/>
  <c r="H217" i="90"/>
  <c r="E217" i="90"/>
  <c r="H216" i="90"/>
  <c r="E216" i="90"/>
  <c r="H215" i="90"/>
  <c r="E215" i="90"/>
  <c r="H214" i="90"/>
  <c r="E214" i="90"/>
  <c r="H213" i="90"/>
  <c r="E213" i="90"/>
  <c r="H212" i="90"/>
  <c r="E212" i="90"/>
  <c r="H211" i="90"/>
  <c r="E211" i="90"/>
  <c r="H210" i="90"/>
  <c r="E210" i="90"/>
  <c r="H209" i="90"/>
  <c r="E209" i="90"/>
  <c r="H208" i="90"/>
  <c r="E208" i="90"/>
  <c r="H207" i="90"/>
  <c r="E207" i="90"/>
  <c r="H206" i="90"/>
  <c r="E206" i="90"/>
  <c r="H205" i="90"/>
  <c r="E205" i="90"/>
  <c r="H204" i="90"/>
  <c r="E204" i="90"/>
  <c r="H203" i="90"/>
  <c r="E203" i="90"/>
  <c r="H202" i="90"/>
  <c r="E202" i="90"/>
  <c r="H201" i="90"/>
  <c r="E201" i="90"/>
  <c r="H200" i="90"/>
  <c r="E200" i="90"/>
  <c r="H199" i="90"/>
  <c r="E199" i="90"/>
  <c r="H198" i="90"/>
  <c r="E198" i="90"/>
  <c r="H197" i="90"/>
  <c r="E197" i="90"/>
  <c r="H196" i="90"/>
  <c r="E196" i="90"/>
  <c r="H195" i="90"/>
  <c r="E195" i="90"/>
  <c r="H194" i="90"/>
  <c r="E194" i="90"/>
  <c r="H193" i="90"/>
  <c r="E193" i="90"/>
  <c r="H192" i="90"/>
  <c r="E192" i="90"/>
  <c r="H191" i="90"/>
  <c r="E191" i="90"/>
  <c r="H190" i="90"/>
  <c r="E190" i="90"/>
  <c r="H189" i="90"/>
  <c r="E189" i="90"/>
  <c r="H188" i="90"/>
  <c r="E188" i="90"/>
  <c r="H187" i="90"/>
  <c r="E187" i="90"/>
  <c r="H186" i="90"/>
  <c r="E186" i="90"/>
  <c r="H185" i="90"/>
  <c r="E185" i="90"/>
  <c r="H184" i="90"/>
  <c r="E184" i="90"/>
  <c r="H183" i="90"/>
  <c r="E183" i="90"/>
  <c r="H182" i="90"/>
  <c r="E182" i="90"/>
  <c r="H181" i="90"/>
  <c r="E181" i="90"/>
  <c r="H180" i="90"/>
  <c r="E180" i="90"/>
  <c r="H179" i="90"/>
  <c r="E179" i="90"/>
  <c r="H178" i="90"/>
  <c r="E178" i="90"/>
  <c r="H177" i="90"/>
  <c r="E177" i="90"/>
  <c r="H176" i="90"/>
  <c r="E176" i="90"/>
  <c r="H175" i="90"/>
  <c r="E175" i="90"/>
  <c r="H174" i="90"/>
  <c r="E174" i="90"/>
  <c r="H173" i="90"/>
  <c r="E173" i="90"/>
  <c r="H172" i="90"/>
  <c r="E172" i="90"/>
  <c r="H171" i="90"/>
  <c r="E171" i="90"/>
  <c r="H170" i="90"/>
  <c r="E170" i="90"/>
  <c r="H169" i="90"/>
  <c r="E169" i="90"/>
  <c r="H168" i="90"/>
  <c r="E168" i="90"/>
  <c r="H167" i="90"/>
  <c r="E167" i="90"/>
  <c r="H166" i="90"/>
  <c r="E166" i="90"/>
  <c r="H165" i="90"/>
  <c r="E165" i="90"/>
  <c r="H164" i="90"/>
  <c r="E164" i="90"/>
  <c r="H163" i="90"/>
  <c r="E163" i="90"/>
  <c r="H162" i="90"/>
  <c r="E162" i="90"/>
  <c r="H161" i="90"/>
  <c r="E161" i="90"/>
  <c r="H160" i="90"/>
  <c r="E160" i="90"/>
  <c r="H159" i="90"/>
  <c r="E159" i="90"/>
  <c r="H158" i="90"/>
  <c r="E158" i="90"/>
  <c r="H157" i="90"/>
  <c r="E157" i="90"/>
  <c r="H156" i="90"/>
  <c r="E156" i="90"/>
  <c r="H155" i="90"/>
  <c r="E155" i="90"/>
  <c r="H154" i="90"/>
  <c r="E154" i="90"/>
  <c r="H153" i="90"/>
  <c r="E153" i="90"/>
  <c r="H152" i="90"/>
  <c r="E152" i="90"/>
  <c r="H151" i="90"/>
  <c r="E151" i="90"/>
  <c r="H150" i="90"/>
  <c r="E150" i="90"/>
  <c r="H149" i="90"/>
  <c r="E149" i="90"/>
  <c r="H148" i="90"/>
  <c r="E148" i="90"/>
  <c r="H147" i="90"/>
  <c r="E147" i="90"/>
  <c r="H146" i="90"/>
  <c r="E146" i="90"/>
  <c r="H145" i="90"/>
  <c r="E145" i="90"/>
  <c r="H144" i="90"/>
  <c r="E144" i="90"/>
  <c r="H143" i="90"/>
  <c r="E143" i="90"/>
  <c r="H142" i="90"/>
  <c r="E142" i="90"/>
  <c r="H141" i="90"/>
  <c r="E141" i="90"/>
  <c r="H140" i="90"/>
  <c r="E140" i="90"/>
  <c r="H139" i="90"/>
  <c r="E139" i="90"/>
  <c r="H138" i="90"/>
  <c r="E138" i="90"/>
  <c r="H137" i="90"/>
  <c r="E137" i="90"/>
  <c r="H136" i="90"/>
  <c r="E136" i="90"/>
  <c r="H135" i="90"/>
  <c r="E135" i="90"/>
  <c r="H134" i="90"/>
  <c r="E134" i="90"/>
  <c r="H133" i="90"/>
  <c r="E133" i="90"/>
  <c r="H132" i="90"/>
  <c r="E132" i="90"/>
  <c r="H131" i="90"/>
  <c r="E131" i="90"/>
  <c r="H130" i="90"/>
  <c r="E130" i="90"/>
  <c r="H129" i="90"/>
  <c r="E129" i="90"/>
  <c r="H128" i="90"/>
  <c r="E128" i="90"/>
  <c r="H127" i="90"/>
  <c r="E127" i="90"/>
  <c r="H126" i="90"/>
  <c r="E126" i="90"/>
  <c r="H125" i="90"/>
  <c r="E125" i="90"/>
  <c r="H124" i="90"/>
  <c r="E124" i="90"/>
  <c r="H123" i="90"/>
  <c r="E123" i="90"/>
  <c r="H122" i="90"/>
  <c r="E122" i="90"/>
  <c r="H121" i="90"/>
  <c r="E121" i="90"/>
  <c r="H120" i="90"/>
  <c r="E120" i="90"/>
  <c r="H119" i="90"/>
  <c r="E119" i="90"/>
  <c r="H118" i="90"/>
  <c r="E118" i="90"/>
  <c r="H117" i="90"/>
  <c r="E117" i="90"/>
  <c r="H116" i="90"/>
  <c r="E116" i="90"/>
  <c r="H115" i="90"/>
  <c r="E115" i="90"/>
  <c r="H114" i="90"/>
  <c r="E114" i="90"/>
  <c r="H113" i="90"/>
  <c r="E113" i="90"/>
  <c r="H112" i="90"/>
  <c r="E112" i="90"/>
  <c r="H111" i="90"/>
  <c r="E111" i="90"/>
  <c r="H110" i="90"/>
  <c r="E110" i="90"/>
  <c r="H109" i="90"/>
  <c r="E109" i="90"/>
  <c r="H108" i="90"/>
  <c r="E108" i="90"/>
  <c r="H107" i="90"/>
  <c r="E107" i="90"/>
  <c r="H106" i="90"/>
  <c r="E106" i="90"/>
  <c r="H105" i="90"/>
  <c r="E105" i="90"/>
  <c r="H104" i="90"/>
  <c r="E104" i="90"/>
  <c r="H103" i="90"/>
  <c r="E103" i="90"/>
  <c r="H102" i="90"/>
  <c r="E102" i="90"/>
  <c r="H101" i="90"/>
  <c r="E101" i="90"/>
  <c r="H100" i="90"/>
  <c r="E100" i="90"/>
  <c r="H99" i="90"/>
  <c r="E99" i="90"/>
  <c r="H98" i="90"/>
  <c r="E98" i="90"/>
  <c r="H97" i="90"/>
  <c r="E97" i="90"/>
  <c r="H96" i="90"/>
  <c r="E96" i="90"/>
  <c r="H95" i="90"/>
  <c r="E95" i="90"/>
  <c r="H94" i="90"/>
  <c r="E94" i="90"/>
  <c r="H93" i="90"/>
  <c r="E93" i="90"/>
  <c r="H92" i="90"/>
  <c r="E92" i="90"/>
  <c r="H91" i="90"/>
  <c r="E91" i="90"/>
  <c r="H90" i="90"/>
  <c r="E90" i="90"/>
  <c r="H89" i="90"/>
  <c r="E89" i="90"/>
  <c r="H88" i="90"/>
  <c r="E88" i="90"/>
  <c r="H87" i="90"/>
  <c r="E87" i="90"/>
  <c r="H86" i="90"/>
  <c r="E86" i="90"/>
  <c r="H85" i="90"/>
  <c r="E85" i="90"/>
  <c r="H84" i="90"/>
  <c r="E84" i="90"/>
  <c r="H83" i="90"/>
  <c r="E83" i="90"/>
  <c r="H82" i="90"/>
  <c r="E82" i="90"/>
  <c r="H81" i="90"/>
  <c r="E81" i="90"/>
  <c r="H80" i="90"/>
  <c r="E80" i="90"/>
  <c r="H79" i="90"/>
  <c r="E79" i="90"/>
  <c r="H78" i="90"/>
  <c r="E78" i="90"/>
  <c r="H77" i="90"/>
  <c r="E77" i="90"/>
  <c r="H76" i="90"/>
  <c r="E76" i="90"/>
  <c r="H75" i="90"/>
  <c r="E75" i="90"/>
  <c r="H74" i="90"/>
  <c r="E74" i="90"/>
  <c r="H73" i="90"/>
  <c r="E73" i="90"/>
  <c r="H72" i="90"/>
  <c r="E72" i="90"/>
  <c r="H71" i="90"/>
  <c r="E71" i="90"/>
  <c r="H70" i="90"/>
  <c r="E70" i="90"/>
  <c r="H69" i="90"/>
  <c r="E69" i="90"/>
  <c r="H68" i="90"/>
  <c r="E68" i="90"/>
  <c r="H67" i="90"/>
  <c r="E67" i="90"/>
  <c r="H66" i="90"/>
  <c r="E66" i="90"/>
  <c r="H65" i="90"/>
  <c r="E65" i="90"/>
  <c r="H64" i="90"/>
  <c r="E64" i="90"/>
  <c r="H63" i="90"/>
  <c r="E63" i="90"/>
  <c r="H62" i="90"/>
  <c r="E62" i="90"/>
  <c r="H61" i="90"/>
  <c r="E61" i="90"/>
  <c r="H60" i="90"/>
  <c r="E60" i="90"/>
  <c r="H59" i="90"/>
  <c r="E59" i="90"/>
  <c r="H58" i="90"/>
  <c r="E58" i="90"/>
  <c r="H57" i="90"/>
  <c r="E57" i="90"/>
  <c r="H56" i="90"/>
  <c r="E56" i="90"/>
  <c r="H55" i="90"/>
  <c r="E55" i="90"/>
  <c r="H54" i="90"/>
  <c r="E54" i="90"/>
  <c r="H53" i="90"/>
  <c r="E53" i="90"/>
  <c r="H52" i="90"/>
  <c r="E52" i="90"/>
  <c r="H51" i="90"/>
  <c r="E51" i="90"/>
  <c r="H50" i="90"/>
  <c r="E50" i="90"/>
  <c r="H49" i="90"/>
  <c r="E49" i="90"/>
  <c r="H48" i="90"/>
  <c r="E48" i="90"/>
  <c r="H47" i="90"/>
  <c r="E47" i="90"/>
  <c r="H46" i="90"/>
  <c r="E46" i="90"/>
  <c r="H45" i="90"/>
  <c r="E45" i="90"/>
  <c r="H44" i="90"/>
  <c r="E44" i="90"/>
  <c r="H43" i="90"/>
  <c r="E43" i="90"/>
  <c r="H42" i="90"/>
  <c r="E42" i="90"/>
  <c r="H41" i="90"/>
  <c r="E41" i="90"/>
  <c r="H40" i="90"/>
  <c r="E40" i="90"/>
  <c r="H39" i="90"/>
  <c r="E39" i="90"/>
  <c r="H38" i="90"/>
  <c r="E38" i="90"/>
  <c r="H37" i="90"/>
  <c r="E37" i="90"/>
  <c r="H36" i="90"/>
  <c r="E36" i="90"/>
  <c r="H35" i="90"/>
  <c r="E35" i="90"/>
  <c r="H34" i="90"/>
  <c r="E34" i="90"/>
  <c r="H33" i="90"/>
  <c r="E33" i="90"/>
  <c r="H32" i="90"/>
  <c r="E32" i="90"/>
  <c r="H31" i="90"/>
  <c r="E31" i="90"/>
  <c r="H30" i="90"/>
  <c r="E30" i="90"/>
  <c r="H29" i="90"/>
  <c r="E29" i="90"/>
  <c r="H28" i="90"/>
  <c r="E28" i="90"/>
  <c r="H27" i="90"/>
  <c r="E27" i="90"/>
  <c r="H26" i="90"/>
  <c r="E26" i="90"/>
  <c r="H25" i="90"/>
  <c r="E25" i="90"/>
  <c r="H24" i="90"/>
  <c r="E24" i="90"/>
  <c r="H23" i="90"/>
  <c r="E23" i="90"/>
  <c r="H22" i="90"/>
  <c r="E22" i="90"/>
  <c r="H21" i="90"/>
  <c r="E21" i="90"/>
  <c r="H20" i="90"/>
  <c r="E20" i="90"/>
  <c r="H19" i="90"/>
  <c r="E19" i="90"/>
  <c r="H18" i="90"/>
  <c r="E18" i="90"/>
  <c r="H17" i="90"/>
  <c r="E17" i="90"/>
  <c r="H16" i="90"/>
  <c r="E16" i="90"/>
  <c r="H15" i="90"/>
  <c r="E15" i="90"/>
  <c r="H14" i="90"/>
  <c r="E14" i="90"/>
  <c r="H13" i="90"/>
  <c r="E13" i="90"/>
  <c r="H12" i="90"/>
  <c r="E12" i="90"/>
  <c r="H11" i="90"/>
  <c r="E11" i="90"/>
  <c r="H10" i="90"/>
  <c r="E10" i="90"/>
  <c r="H9" i="90"/>
  <c r="E9" i="90"/>
  <c r="H8" i="90"/>
  <c r="E8" i="90"/>
  <c r="H7" i="90"/>
  <c r="E7" i="90"/>
  <c r="H6" i="90"/>
  <c r="E6" i="90"/>
  <c r="H5" i="90"/>
  <c r="E5" i="90"/>
  <c r="H4" i="90"/>
  <c r="E4" i="90"/>
  <c r="H3" i="90"/>
  <c r="E3" i="90"/>
  <c r="H2" i="90"/>
  <c r="E2" i="90"/>
  <c r="I364" i="89"/>
  <c r="I363" i="89"/>
  <c r="I362" i="89"/>
  <c r="I361" i="89"/>
  <c r="I360" i="89"/>
  <c r="I359" i="89"/>
  <c r="I358" i="89"/>
  <c r="I357" i="89"/>
  <c r="I356" i="89"/>
  <c r="I355" i="89"/>
  <c r="I354" i="89"/>
  <c r="I353" i="89"/>
  <c r="I352" i="89"/>
  <c r="I351" i="89"/>
  <c r="I350" i="89"/>
  <c r="I349" i="89"/>
  <c r="I348" i="89"/>
  <c r="I347" i="89"/>
  <c r="I346" i="89"/>
  <c r="I345" i="89"/>
  <c r="I344" i="89"/>
  <c r="I343" i="89"/>
  <c r="I342" i="89"/>
  <c r="I341" i="89"/>
  <c r="I340" i="89"/>
  <c r="I339" i="89"/>
  <c r="I338" i="89"/>
  <c r="I337" i="89"/>
  <c r="I336" i="89"/>
  <c r="I335" i="89"/>
  <c r="I334" i="89"/>
  <c r="I333" i="89"/>
  <c r="I332" i="89"/>
  <c r="I331" i="89"/>
  <c r="I330" i="89"/>
  <c r="I329" i="89"/>
  <c r="I328" i="89"/>
  <c r="I327" i="89"/>
  <c r="I326" i="89"/>
  <c r="I325" i="89"/>
  <c r="I324" i="89"/>
  <c r="I323" i="89"/>
  <c r="I322" i="89"/>
  <c r="I321" i="89"/>
  <c r="I320" i="89"/>
  <c r="I319" i="89"/>
  <c r="I318" i="89"/>
  <c r="I317" i="89"/>
  <c r="I316" i="89"/>
  <c r="I315" i="89"/>
  <c r="I314" i="89"/>
  <c r="I313" i="89"/>
  <c r="I312" i="89"/>
  <c r="I311" i="89"/>
  <c r="I310" i="89"/>
  <c r="I309" i="89"/>
  <c r="I308" i="89"/>
  <c r="I307" i="89"/>
  <c r="I306" i="89"/>
  <c r="I305" i="89"/>
  <c r="I304" i="89"/>
  <c r="I303" i="89"/>
  <c r="I302" i="89"/>
  <c r="I301" i="89"/>
  <c r="I300" i="89"/>
  <c r="I299" i="89"/>
  <c r="I298" i="89"/>
  <c r="I297" i="89"/>
  <c r="I296" i="89"/>
  <c r="I295" i="89"/>
  <c r="I294" i="89"/>
  <c r="I293" i="89"/>
  <c r="I292" i="89"/>
  <c r="I291" i="89"/>
  <c r="I290" i="89"/>
  <c r="I289" i="89"/>
  <c r="I288" i="89"/>
  <c r="I287" i="89"/>
  <c r="I286" i="89"/>
  <c r="I285" i="89"/>
  <c r="I284" i="89"/>
  <c r="I283" i="89"/>
  <c r="I282" i="89"/>
  <c r="I281" i="89"/>
  <c r="I280" i="89"/>
  <c r="I279" i="89"/>
  <c r="I278" i="89"/>
  <c r="I277" i="89"/>
  <c r="I276" i="89"/>
  <c r="I275" i="89"/>
  <c r="I274" i="89"/>
  <c r="I273" i="89"/>
  <c r="I272" i="89"/>
  <c r="I271" i="89"/>
  <c r="I270" i="89"/>
  <c r="I269" i="89"/>
  <c r="I268" i="89"/>
  <c r="I267" i="89"/>
  <c r="I266" i="89"/>
  <c r="I265" i="89"/>
  <c r="I264" i="89"/>
  <c r="I263" i="89"/>
  <c r="I262" i="89"/>
  <c r="I261" i="89"/>
  <c r="I260" i="89"/>
  <c r="I259" i="89"/>
  <c r="I258" i="89"/>
  <c r="I257" i="89"/>
  <c r="I256" i="89"/>
  <c r="I255" i="89"/>
  <c r="I254" i="89"/>
  <c r="I253" i="89"/>
  <c r="I252" i="89"/>
  <c r="I251" i="89"/>
  <c r="I250" i="89"/>
  <c r="I249" i="89"/>
  <c r="I248" i="89"/>
  <c r="I247" i="89"/>
  <c r="I246" i="89"/>
  <c r="I245" i="89"/>
  <c r="I244" i="89"/>
  <c r="I243" i="89"/>
  <c r="I242" i="89"/>
  <c r="I241" i="89"/>
  <c r="I240" i="89"/>
  <c r="I239" i="89"/>
  <c r="I238" i="89"/>
  <c r="I237" i="89"/>
  <c r="I236" i="89"/>
  <c r="I235" i="89"/>
  <c r="I234" i="89"/>
  <c r="I233" i="89"/>
  <c r="I232" i="89"/>
  <c r="I231" i="89"/>
  <c r="I230" i="89"/>
  <c r="I229" i="89"/>
  <c r="I228" i="89"/>
  <c r="I227" i="89"/>
  <c r="I226" i="89"/>
  <c r="I225" i="89"/>
  <c r="I224" i="89"/>
  <c r="I223" i="89"/>
  <c r="I222" i="89"/>
  <c r="I221" i="89"/>
  <c r="I220" i="89"/>
  <c r="I219" i="89"/>
  <c r="I218" i="89"/>
  <c r="I217" i="89"/>
  <c r="I216" i="89"/>
  <c r="I215" i="89"/>
  <c r="I214" i="89"/>
  <c r="I213" i="89"/>
  <c r="I212" i="89"/>
  <c r="I211" i="89"/>
  <c r="I210" i="89"/>
  <c r="I209" i="89"/>
  <c r="I208" i="89"/>
  <c r="I207" i="89"/>
  <c r="I206" i="89"/>
  <c r="I205" i="89"/>
  <c r="I204" i="89"/>
  <c r="I203" i="89"/>
  <c r="I202" i="89"/>
  <c r="I201" i="89"/>
  <c r="I200" i="89"/>
  <c r="I199" i="89"/>
  <c r="I198" i="89"/>
  <c r="I197" i="89"/>
  <c r="I196" i="89"/>
  <c r="I195" i="89"/>
  <c r="I194" i="89"/>
  <c r="I193" i="89"/>
  <c r="I192" i="89"/>
  <c r="I191" i="89"/>
  <c r="I190" i="89"/>
  <c r="I189" i="89"/>
  <c r="I188" i="89"/>
  <c r="I187" i="89"/>
  <c r="I186" i="89"/>
  <c r="I185" i="89"/>
  <c r="I184" i="89"/>
  <c r="I183" i="89"/>
  <c r="I182" i="89"/>
  <c r="I181" i="89"/>
  <c r="I180" i="89"/>
  <c r="I179" i="89"/>
  <c r="I178" i="89"/>
  <c r="I177" i="89"/>
  <c r="I176" i="89"/>
  <c r="I175" i="89"/>
  <c r="I174" i="89"/>
  <c r="I173" i="89"/>
  <c r="I172" i="89"/>
  <c r="I171" i="89"/>
  <c r="I170" i="89"/>
  <c r="I169" i="89"/>
  <c r="I168" i="89"/>
  <c r="I167" i="89"/>
  <c r="I166" i="89"/>
  <c r="I165" i="89"/>
  <c r="I164" i="89"/>
  <c r="I163" i="89"/>
  <c r="I162" i="89"/>
  <c r="I161" i="89"/>
  <c r="I160" i="89"/>
  <c r="I159" i="89"/>
  <c r="I158" i="89"/>
  <c r="I157" i="89"/>
  <c r="I156" i="89"/>
  <c r="I155" i="89"/>
  <c r="I154" i="89"/>
  <c r="I153" i="89"/>
  <c r="I152" i="89"/>
  <c r="I151" i="89"/>
  <c r="I150" i="89"/>
  <c r="I149" i="89"/>
  <c r="I148" i="89"/>
  <c r="I147" i="89"/>
  <c r="I146" i="89"/>
  <c r="I145" i="89"/>
  <c r="I144" i="89"/>
  <c r="I143" i="89"/>
  <c r="I142" i="89"/>
  <c r="I141" i="89"/>
  <c r="I140" i="89"/>
  <c r="I139" i="89"/>
  <c r="I138" i="89"/>
  <c r="I137" i="89"/>
  <c r="I136" i="89"/>
  <c r="I135" i="89"/>
  <c r="I134" i="89"/>
  <c r="I133" i="89"/>
  <c r="I132" i="89"/>
  <c r="I131" i="89"/>
  <c r="I130" i="89"/>
  <c r="I129" i="89"/>
  <c r="I128" i="89"/>
  <c r="I127" i="89"/>
  <c r="I126" i="89"/>
  <c r="I125" i="89"/>
  <c r="I124" i="89"/>
  <c r="I123" i="89"/>
  <c r="I122" i="89"/>
  <c r="I121" i="89"/>
  <c r="I120" i="89"/>
  <c r="I119" i="89"/>
  <c r="I118" i="89"/>
  <c r="I117" i="89"/>
  <c r="I116" i="89"/>
  <c r="I115" i="89"/>
  <c r="I114" i="89"/>
  <c r="I113" i="89"/>
  <c r="I112" i="89"/>
  <c r="I111" i="89"/>
  <c r="I110" i="89"/>
  <c r="I109" i="89"/>
  <c r="I108" i="89"/>
  <c r="I107" i="89"/>
  <c r="I106" i="89"/>
  <c r="I105" i="89"/>
  <c r="I104" i="89"/>
  <c r="I103" i="89"/>
  <c r="I102" i="89"/>
  <c r="I101" i="89"/>
  <c r="I100" i="89"/>
  <c r="I99" i="89"/>
  <c r="I98" i="89"/>
  <c r="I97" i="89"/>
  <c r="I96" i="89"/>
  <c r="I95" i="89"/>
  <c r="I94" i="89"/>
  <c r="I93" i="89"/>
  <c r="I92" i="89"/>
  <c r="I91" i="89"/>
  <c r="I90" i="89"/>
  <c r="I89" i="89"/>
  <c r="I88" i="89"/>
  <c r="I87" i="89"/>
  <c r="I86" i="89"/>
  <c r="I85" i="89"/>
  <c r="I84" i="89"/>
  <c r="I83" i="89"/>
  <c r="I82" i="89"/>
  <c r="I81" i="89"/>
  <c r="I80" i="89"/>
  <c r="I79" i="89"/>
  <c r="I78" i="89"/>
  <c r="I77" i="89"/>
  <c r="I76" i="89"/>
  <c r="I75" i="89"/>
  <c r="I74" i="89"/>
  <c r="I73" i="89"/>
  <c r="I72" i="89"/>
  <c r="I71" i="89"/>
  <c r="I70" i="89"/>
  <c r="I69" i="89"/>
  <c r="I68" i="89"/>
  <c r="I67" i="89"/>
  <c r="I66" i="89"/>
  <c r="I65" i="89"/>
  <c r="I64" i="89"/>
  <c r="I63" i="89"/>
  <c r="I62" i="89"/>
  <c r="I61" i="89"/>
  <c r="I60" i="89"/>
  <c r="I59" i="89"/>
  <c r="I58" i="89"/>
  <c r="I57" i="89"/>
  <c r="I56" i="89"/>
  <c r="I55" i="89"/>
  <c r="I54" i="89"/>
  <c r="I53" i="89"/>
  <c r="I52" i="89"/>
  <c r="I51" i="89"/>
  <c r="I50" i="89"/>
  <c r="I49" i="89"/>
  <c r="I48" i="89"/>
  <c r="I47" i="89"/>
  <c r="I46" i="89"/>
  <c r="I45" i="89"/>
  <c r="I44" i="89"/>
  <c r="I43" i="89"/>
  <c r="I42" i="89"/>
  <c r="I41" i="89"/>
  <c r="I40" i="89"/>
  <c r="I39" i="89"/>
  <c r="I38" i="89"/>
  <c r="I37" i="89"/>
  <c r="I36" i="89"/>
  <c r="I35" i="89"/>
  <c r="I34" i="89"/>
  <c r="I33" i="89"/>
  <c r="I32" i="89"/>
  <c r="I31" i="89"/>
  <c r="I30" i="89"/>
  <c r="I29" i="89"/>
  <c r="I28" i="89"/>
  <c r="I27" i="89"/>
  <c r="I26" i="89"/>
  <c r="I25" i="89"/>
  <c r="I24" i="89"/>
  <c r="I23" i="89"/>
  <c r="I22" i="89"/>
  <c r="I21" i="89"/>
  <c r="I20" i="89"/>
  <c r="I19" i="89"/>
  <c r="I18" i="89"/>
  <c r="I17" i="89"/>
  <c r="I16" i="89"/>
  <c r="I15" i="89"/>
  <c r="I14" i="89"/>
  <c r="I13" i="89"/>
  <c r="I12" i="89"/>
  <c r="I11" i="89"/>
  <c r="I10" i="89"/>
  <c r="I9" i="89"/>
  <c r="I8" i="89"/>
  <c r="I7" i="89"/>
  <c r="I6" i="89"/>
  <c r="I5" i="89"/>
  <c r="I4" i="89"/>
  <c r="I3" i="89"/>
  <c r="I2" i="89"/>
  <c r="H392" i="90" l="1"/>
  <c r="H391" i="90"/>
  <c r="H390" i="90"/>
  <c r="H389" i="90"/>
  <c r="H388" i="90"/>
  <c r="H387" i="90"/>
  <c r="H386" i="90"/>
  <c r="H385" i="90"/>
  <c r="H384" i="90"/>
  <c r="H383" i="90"/>
  <c r="H382" i="90"/>
  <c r="H381" i="90"/>
  <c r="H379" i="90"/>
  <c r="H378" i="90"/>
  <c r="H377" i="90"/>
  <c r="H376" i="90"/>
  <c r="H375" i="90"/>
  <c r="H374" i="90"/>
  <c r="H373" i="90"/>
  <c r="H372" i="90"/>
  <c r="H371" i="90"/>
  <c r="H370" i="90"/>
  <c r="H369" i="90"/>
  <c r="H368" i="90"/>
  <c r="H367" i="90"/>
  <c r="H366" i="90"/>
  <c r="H365" i="9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<sst xmlns="http://schemas.openxmlformats.org/spreadsheetml/2006/main" count="6629" uniqueCount="1991">
  <si>
    <t>Information</t>
  </si>
  <si>
    <t>Data</t>
  </si>
  <si>
    <t>Note</t>
  </si>
  <si>
    <t>Insert number of appliances</t>
  </si>
  <si>
    <t>Fuel oil boiler</t>
  </si>
  <si>
    <t>Biomass boiler</t>
  </si>
  <si>
    <t>Concrete thermal storage</t>
  </si>
  <si>
    <t>Steel thermal storage</t>
  </si>
  <si>
    <t>Heat recovery</t>
  </si>
  <si>
    <t>Boiler</t>
  </si>
  <si>
    <t>Geothermal plant</t>
  </si>
  <si>
    <t>Electric Heat Pump</t>
  </si>
  <si>
    <t>Gas Engine Heat Pump</t>
  </si>
  <si>
    <t>Solar thermal system</t>
  </si>
  <si>
    <t>Cooling - Cooling tower</t>
  </si>
  <si>
    <t>Cooling - Absorption chiller</t>
  </si>
  <si>
    <t>CHP-Internal Combustion Engine</t>
  </si>
  <si>
    <t>CHP-Combined Cycle</t>
  </si>
  <si>
    <t>CHP-Turbogas</t>
  </si>
  <si>
    <t>CHP-Organic Rankine Cycle</t>
  </si>
  <si>
    <t>CHP-Waste-to-Energy</t>
  </si>
  <si>
    <t>Reference Study Period (RSP) [Year]</t>
  </si>
  <si>
    <t>Cooling - Compression chiller</t>
  </si>
  <si>
    <t>Cooling - Dry cooler</t>
  </si>
  <si>
    <t>Gas Absorption Heat Pump</t>
  </si>
  <si>
    <t>ENERGY SYSTEMS IN THE SCENARIO</t>
  </si>
  <si>
    <t>Appliances demand</t>
  </si>
  <si>
    <t>index</t>
  </si>
  <si>
    <t>Height</t>
  </si>
  <si>
    <t>Floors</t>
  </si>
  <si>
    <t>End Use</t>
  </si>
  <si>
    <t>Envelope</t>
  </si>
  <si>
    <t>id</t>
  </si>
  <si>
    <t>Name</t>
  </si>
  <si>
    <t>Zone volume [m3]</t>
  </si>
  <si>
    <t>Zone net floor area [m2]</t>
  </si>
  <si>
    <t>Specific floor area [m2]</t>
  </si>
  <si>
    <t>Number of units [-]</t>
  </si>
  <si>
    <t>Zone design heating load [kW]</t>
  </si>
  <si>
    <t>Zone design cooling load [kW]</t>
  </si>
  <si>
    <t>Total Heating Demand [kWh]</t>
  </si>
  <si>
    <t>Total Cooling Demand [kWh]</t>
  </si>
  <si>
    <t>Total Appliances Demand [kWh]</t>
  </si>
  <si>
    <t>PV Power [kW]</t>
  </si>
  <si>
    <t>PV Energy [kWh]</t>
  </si>
  <si>
    <t>Destination PV Output</t>
  </si>
  <si>
    <t>university</t>
  </si>
  <si>
    <t>Before 1930</t>
  </si>
  <si>
    <t>Bd2432709</t>
  </si>
  <si>
    <t>Cooling Compression Chiller</t>
  </si>
  <si>
    <t>Bd2559057</t>
  </si>
  <si>
    <t>1945-1960</t>
  </si>
  <si>
    <t>Bd3521512</t>
  </si>
  <si>
    <t>Bd46970558</t>
  </si>
  <si>
    <t>services</t>
  </si>
  <si>
    <t>1961-1970</t>
  </si>
  <si>
    <t>Bd131986150</t>
  </si>
  <si>
    <t>Bd131986153</t>
  </si>
  <si>
    <t>1971-1980</t>
  </si>
  <si>
    <t>Bd131986160</t>
  </si>
  <si>
    <t>residential</t>
  </si>
  <si>
    <t>Bd131986174</t>
  </si>
  <si>
    <t>Bd131986182</t>
  </si>
  <si>
    <t>Bd131986199</t>
  </si>
  <si>
    <t>Bd131986202</t>
  </si>
  <si>
    <t>Bd131986208</t>
  </si>
  <si>
    <t>Bd131986212</t>
  </si>
  <si>
    <t>Bd131986221</t>
  </si>
  <si>
    <t>Bd131986225</t>
  </si>
  <si>
    <t>Bd131986261</t>
  </si>
  <si>
    <t>Bd131986276</t>
  </si>
  <si>
    <t>Bd131986280</t>
  </si>
  <si>
    <t>Bd131986302</t>
  </si>
  <si>
    <t>Bd131986311</t>
  </si>
  <si>
    <t>Bd131986317</t>
  </si>
  <si>
    <t>Bd131986326</t>
  </si>
  <si>
    <t>Bd131986355</t>
  </si>
  <si>
    <t>Bd131986365</t>
  </si>
  <si>
    <t>Bd131986374</t>
  </si>
  <si>
    <t>Bd131986376</t>
  </si>
  <si>
    <t>1930-1945</t>
  </si>
  <si>
    <t>Bd131986379</t>
  </si>
  <si>
    <t>Bd131986407</t>
  </si>
  <si>
    <t>Bd131986414</t>
  </si>
  <si>
    <t>Bd131986428</t>
  </si>
  <si>
    <t>Bd131986440</t>
  </si>
  <si>
    <t>Bd131986483</t>
  </si>
  <si>
    <t>Bd131986489</t>
  </si>
  <si>
    <t>Bd131986502</t>
  </si>
  <si>
    <t>Bd131986525</t>
  </si>
  <si>
    <t>Bd131986535</t>
  </si>
  <si>
    <t>Bd131986539</t>
  </si>
  <si>
    <t>Bd131986563</t>
  </si>
  <si>
    <t>Bd131986576</t>
  </si>
  <si>
    <t>Bd131986605</t>
  </si>
  <si>
    <t>Bd131986623</t>
  </si>
  <si>
    <t>Bd131986637</t>
  </si>
  <si>
    <t>Bd131986650</t>
  </si>
  <si>
    <t>1981-1990</t>
  </si>
  <si>
    <t>Bd131986665</t>
  </si>
  <si>
    <t>Bd131986695</t>
  </si>
  <si>
    <t>Bd131986703</t>
  </si>
  <si>
    <t>shop</t>
  </si>
  <si>
    <t>Bd131986710</t>
  </si>
  <si>
    <t>worship</t>
  </si>
  <si>
    <t>Bd131986711</t>
  </si>
  <si>
    <t>Bd131986727</t>
  </si>
  <si>
    <t>Bd131986738</t>
  </si>
  <si>
    <t>Bd131986851</t>
  </si>
  <si>
    <t>Bd131986865</t>
  </si>
  <si>
    <t>Bd131986866</t>
  </si>
  <si>
    <t>Bd131986886</t>
  </si>
  <si>
    <t>Bd131986891</t>
  </si>
  <si>
    <t>Bd131986909</t>
  </si>
  <si>
    <t>Bd131986929</t>
  </si>
  <si>
    <t>Bd131986939</t>
  </si>
  <si>
    <t>Bd131986945</t>
  </si>
  <si>
    <t>Bd131986949</t>
  </si>
  <si>
    <t>Bd131986983</t>
  </si>
  <si>
    <t>Bd131986995</t>
  </si>
  <si>
    <t>Bd131986998</t>
  </si>
  <si>
    <t>Bd131987005</t>
  </si>
  <si>
    <t>Bd131987025</t>
  </si>
  <si>
    <t>Bd131987027</t>
  </si>
  <si>
    <t>Bd131987029</t>
  </si>
  <si>
    <t>Bd131987035</t>
  </si>
  <si>
    <t>Bd131987045</t>
  </si>
  <si>
    <t>Bd131987056</t>
  </si>
  <si>
    <t>Bd131987063</t>
  </si>
  <si>
    <t>Bd131987071</t>
  </si>
  <si>
    <t>Bd131987095</t>
  </si>
  <si>
    <t>Bd131987112</t>
  </si>
  <si>
    <t>Bd131987114</t>
  </si>
  <si>
    <t>Bd131987119</t>
  </si>
  <si>
    <t>Bd131987132</t>
  </si>
  <si>
    <t>Bd131987141</t>
  </si>
  <si>
    <t>Bd131987144</t>
  </si>
  <si>
    <t>Bd131987166</t>
  </si>
  <si>
    <t>Bd131987237</t>
  </si>
  <si>
    <t>Bd131987249</t>
  </si>
  <si>
    <t>Bd131987279</t>
  </si>
  <si>
    <t>Bd131987280</t>
  </si>
  <si>
    <t>Bd131987284</t>
  </si>
  <si>
    <t>Bd131987312</t>
  </si>
  <si>
    <t>Bd131987313</t>
  </si>
  <si>
    <t>Bd131987327</t>
  </si>
  <si>
    <t>Bd131987329</t>
  </si>
  <si>
    <t>Bd131987413</t>
  </si>
  <si>
    <t>Bd131987415</t>
  </si>
  <si>
    <t>Bd131987440</t>
  </si>
  <si>
    <t>Bd131987451</t>
  </si>
  <si>
    <t>Bd131987471</t>
  </si>
  <si>
    <t>Bd131987472</t>
  </si>
  <si>
    <t>Bd131987475</t>
  </si>
  <si>
    <t>Bd131987477</t>
  </si>
  <si>
    <t>Bd131987488</t>
  </si>
  <si>
    <t>Bd131987510</t>
  </si>
  <si>
    <t>Bd131987523</t>
  </si>
  <si>
    <t>Bd131987525</t>
  </si>
  <si>
    <t>Bd131987539</t>
  </si>
  <si>
    <t>Bd131987545</t>
  </si>
  <si>
    <t>Bd131987559</t>
  </si>
  <si>
    <t>Bd131987574</t>
  </si>
  <si>
    <t>Bd131987578</t>
  </si>
  <si>
    <t>Bd131987586</t>
  </si>
  <si>
    <t>Bd131987588</t>
  </si>
  <si>
    <t>Bd131987590</t>
  </si>
  <si>
    <t>Bd131987608</t>
  </si>
  <si>
    <t>Bd131987616</t>
  </si>
  <si>
    <t>Bd131987618</t>
  </si>
  <si>
    <t>Bd131987637</t>
  </si>
  <si>
    <t>Bd131987640</t>
  </si>
  <si>
    <t>Bd131987646</t>
  </si>
  <si>
    <t>Bd131987650</t>
  </si>
  <si>
    <t>Bd131987659</t>
  </si>
  <si>
    <t>Bd131987684</t>
  </si>
  <si>
    <t>Bd131987686</t>
  </si>
  <si>
    <t>Bd131987694</t>
  </si>
  <si>
    <t>Bd131987702</t>
  </si>
  <si>
    <t>Bd131987743</t>
  </si>
  <si>
    <t>Bd131987768</t>
  </si>
  <si>
    <t>Bd131987780</t>
  </si>
  <si>
    <t>Bd131987790</t>
  </si>
  <si>
    <t>Bd131987809</t>
  </si>
  <si>
    <t>Bd131987811</t>
  </si>
  <si>
    <t>Bd131987817</t>
  </si>
  <si>
    <t>Bd131987832</t>
  </si>
  <si>
    <t>Bd131987833</t>
  </si>
  <si>
    <t>Bd131987834</t>
  </si>
  <si>
    <t>Bd131987849</t>
  </si>
  <si>
    <t>Bd131987852</t>
  </si>
  <si>
    <t>Bd131987897</t>
  </si>
  <si>
    <t>Bd131987909</t>
  </si>
  <si>
    <t>Bd131987931</t>
  </si>
  <si>
    <t>Bd131988148</t>
  </si>
  <si>
    <t>Bd131988159</t>
  </si>
  <si>
    <t>Bd131988183</t>
  </si>
  <si>
    <t>Bd131988205</t>
  </si>
  <si>
    <t>Bd131988414</t>
  </si>
  <si>
    <t>Bd131988500</t>
  </si>
  <si>
    <t>Bd131988692</t>
  </si>
  <si>
    <t>Bd131988897</t>
  </si>
  <si>
    <t>Bd131988941</t>
  </si>
  <si>
    <t>Bd131989122</t>
  </si>
  <si>
    <t>Bd131989128</t>
  </si>
  <si>
    <t>Bd131989147</t>
  </si>
  <si>
    <t>Bd131989260</t>
  </si>
  <si>
    <t>Bd131989348</t>
  </si>
  <si>
    <t>Bd131989375</t>
  </si>
  <si>
    <t>Bd131989414</t>
  </si>
  <si>
    <t>Bd131989544</t>
  </si>
  <si>
    <t>Bd131989562</t>
  </si>
  <si>
    <t>Bd131989585</t>
  </si>
  <si>
    <t>Bd131989601</t>
  </si>
  <si>
    <t>Bd131989649</t>
  </si>
  <si>
    <t>Bd131989727</t>
  </si>
  <si>
    <t>Bd131989730</t>
  </si>
  <si>
    <t>Bd131989740</t>
  </si>
  <si>
    <t>Bd131989772</t>
  </si>
  <si>
    <t>Bd131989892</t>
  </si>
  <si>
    <t>Bd131989958</t>
  </si>
  <si>
    <t>Bd131989976</t>
  </si>
  <si>
    <t>Bd131989995</t>
  </si>
  <si>
    <t>Bd131990015</t>
  </si>
  <si>
    <t>Bd131990019</t>
  </si>
  <si>
    <t>Bd131990025</t>
  </si>
  <si>
    <t>Bd131990045</t>
  </si>
  <si>
    <t>Bd131990052</t>
  </si>
  <si>
    <t>Bd131990055</t>
  </si>
  <si>
    <t>Bd131990083</t>
  </si>
  <si>
    <t>Bd131990105</t>
  </si>
  <si>
    <t>Bd131990111</t>
  </si>
  <si>
    <t>Bd131990138</t>
  </si>
  <si>
    <t>Bd131990155</t>
  </si>
  <si>
    <t>Bd131990157</t>
  </si>
  <si>
    <t>Bd131990166</t>
  </si>
  <si>
    <t>Bd131990202</t>
  </si>
  <si>
    <t>Bd131990245</t>
  </si>
  <si>
    <t>Bd131990249</t>
  </si>
  <si>
    <t>Bd131990267</t>
  </si>
  <si>
    <t>Bd131990285</t>
  </si>
  <si>
    <t>Bd131990289</t>
  </si>
  <si>
    <t>Bd131990299</t>
  </si>
  <si>
    <t>Bd131990303</t>
  </si>
  <si>
    <t>Bd131990305</t>
  </si>
  <si>
    <t>Bd131990313</t>
  </si>
  <si>
    <t>Bd131990331</t>
  </si>
  <si>
    <t>Bd131990350</t>
  </si>
  <si>
    <t>Bd131990365</t>
  </si>
  <si>
    <t>Bd131990380</t>
  </si>
  <si>
    <t>Bd131990480</t>
  </si>
  <si>
    <t>Bd131990483</t>
  </si>
  <si>
    <t>Bd131990503</t>
  </si>
  <si>
    <t>Bd131990508</t>
  </si>
  <si>
    <t>Bd131990555</t>
  </si>
  <si>
    <t>Bd131990599</t>
  </si>
  <si>
    <t>Bd131990600</t>
  </si>
  <si>
    <t>Bd131990612</t>
  </si>
  <si>
    <t>Bd131990626</t>
  </si>
  <si>
    <t>Bd131990685</t>
  </si>
  <si>
    <t>Bd131990688</t>
  </si>
  <si>
    <t>Bd131990717</t>
  </si>
  <si>
    <t>Bd131990719</t>
  </si>
  <si>
    <t>Bd131990741</t>
  </si>
  <si>
    <t>Bd131990766</t>
  </si>
  <si>
    <t>Bd131990779</t>
  </si>
  <si>
    <t>Bd131990781</t>
  </si>
  <si>
    <t>Bd131990791</t>
  </si>
  <si>
    <t>Bd131990793</t>
  </si>
  <si>
    <t>Bd131990809</t>
  </si>
  <si>
    <t>Bd131990830</t>
  </si>
  <si>
    <t>Bd131990866</t>
  </si>
  <si>
    <t>Bd131990869</t>
  </si>
  <si>
    <t>Bd131990872</t>
  </si>
  <si>
    <t>Bd131990881</t>
  </si>
  <si>
    <t>Bd131990898</t>
  </si>
  <si>
    <t>Bd131990902</t>
  </si>
  <si>
    <t>Bd131990910</t>
  </si>
  <si>
    <t>Bd131990911</t>
  </si>
  <si>
    <t>Bd131990912</t>
  </si>
  <si>
    <t>Bd131990930</t>
  </si>
  <si>
    <t>Bd131990956</t>
  </si>
  <si>
    <t>Bd131990957</t>
  </si>
  <si>
    <t>Bd131990975</t>
  </si>
  <si>
    <t>Bd131990980</t>
  </si>
  <si>
    <t>Bd131991007</t>
  </si>
  <si>
    <t>Bd131991019</t>
  </si>
  <si>
    <t>Bd131991039</t>
  </si>
  <si>
    <t>Bd131991078</t>
  </si>
  <si>
    <t>Bd131991115</t>
  </si>
  <si>
    <t>Bd131991162</t>
  </si>
  <si>
    <t>Bd131991177</t>
  </si>
  <si>
    <t>Bd131991194</t>
  </si>
  <si>
    <t>Bd131991196</t>
  </si>
  <si>
    <t>Bd131991205</t>
  </si>
  <si>
    <t>Bd131991227</t>
  </si>
  <si>
    <t>Bd131991234</t>
  </si>
  <si>
    <t>Bd131991248</t>
  </si>
  <si>
    <t>Bd131991277</t>
  </si>
  <si>
    <t>Bd131991281</t>
  </si>
  <si>
    <t>Bd131991284</t>
  </si>
  <si>
    <t>Bd131991309</t>
  </si>
  <si>
    <t>Bd131991318</t>
  </si>
  <si>
    <t>Bd131991345</t>
  </si>
  <si>
    <t>Bd131991349</t>
  </si>
  <si>
    <t>Bd131991469</t>
  </si>
  <si>
    <t>Bd131991499</t>
  </si>
  <si>
    <t>Bd131991506</t>
  </si>
  <si>
    <t>Bd131991518</t>
  </si>
  <si>
    <t>Bd131991520</t>
  </si>
  <si>
    <t>industrial</t>
  </si>
  <si>
    <t>Bd131991523</t>
  </si>
  <si>
    <t>Bd131991534</t>
  </si>
  <si>
    <t>Bd131991535</t>
  </si>
  <si>
    <t>Bd131991539</t>
  </si>
  <si>
    <t>Bd131991546</t>
  </si>
  <si>
    <t>Bd131991596</t>
  </si>
  <si>
    <t>Bd131991613</t>
  </si>
  <si>
    <t>Bd131991619</t>
  </si>
  <si>
    <t>Bd131991620</t>
  </si>
  <si>
    <t>Bd131991621</t>
  </si>
  <si>
    <t>Bd131991628</t>
  </si>
  <si>
    <t>Bd131991640</t>
  </si>
  <si>
    <t>Bd131991665</t>
  </si>
  <si>
    <t>Bd131991674</t>
  </si>
  <si>
    <t>Bd131991697</t>
  </si>
  <si>
    <t>Bd131991712</t>
  </si>
  <si>
    <t>Bd131991724</t>
  </si>
  <si>
    <t>Bd131991729</t>
  </si>
  <si>
    <t>Bd131991731</t>
  </si>
  <si>
    <t>Bd131991745</t>
  </si>
  <si>
    <t>Bd131991753</t>
  </si>
  <si>
    <t>Bd131991795</t>
  </si>
  <si>
    <t>Bd131991802</t>
  </si>
  <si>
    <t>Bd131991809</t>
  </si>
  <si>
    <t>Bd131991821</t>
  </si>
  <si>
    <t>Bd131991827</t>
  </si>
  <si>
    <t>Bd131991845</t>
  </si>
  <si>
    <t>Bd131991852</t>
  </si>
  <si>
    <t>Bd131991861</t>
  </si>
  <si>
    <t>Bd131991876</t>
  </si>
  <si>
    <t>Bd131991914</t>
  </si>
  <si>
    <t>Bd131991920</t>
  </si>
  <si>
    <t>Bd131991945</t>
  </si>
  <si>
    <t>Bd131991968</t>
  </si>
  <si>
    <t>Bd131991978</t>
  </si>
  <si>
    <t>Bd131991982</t>
  </si>
  <si>
    <t>Bd131991988</t>
  </si>
  <si>
    <t>Bd131991992</t>
  </si>
  <si>
    <t>Bd131991999</t>
  </si>
  <si>
    <t>Bd131992004</t>
  </si>
  <si>
    <t>Bd131996454</t>
  </si>
  <si>
    <t>Bd131996478</t>
  </si>
  <si>
    <t>Bd131996492</t>
  </si>
  <si>
    <t>Bd131996525</t>
  </si>
  <si>
    <t>Bd131996559</t>
  </si>
  <si>
    <t>Bd131996561</t>
  </si>
  <si>
    <t>Bd131996563</t>
  </si>
  <si>
    <t>Bd131996579</t>
  </si>
  <si>
    <t>Bd131996582</t>
  </si>
  <si>
    <t>Bd131996594</t>
  </si>
  <si>
    <t>Bd131996629</t>
  </si>
  <si>
    <t>Bd131996635</t>
  </si>
  <si>
    <t>Bd131996654</t>
  </si>
  <si>
    <t>Bd131996667</t>
  </si>
  <si>
    <t>Bd131996671</t>
  </si>
  <si>
    <t>Bd131996679</t>
  </si>
  <si>
    <t>Bd131996706</t>
  </si>
  <si>
    <t>Bd131996719</t>
  </si>
  <si>
    <t>school</t>
  </si>
  <si>
    <t>Bd131996747</t>
  </si>
  <si>
    <t>Bd131996786</t>
  </si>
  <si>
    <t>Bd131996811</t>
  </si>
  <si>
    <t>Bd131996812</t>
  </si>
  <si>
    <t>Bd131996825</t>
  </si>
  <si>
    <t>Bd131996828</t>
  </si>
  <si>
    <t>Bd131996842</t>
  </si>
  <si>
    <t>Bd131996910</t>
  </si>
  <si>
    <t>Bd131996926</t>
  </si>
  <si>
    <t>Bd131996929</t>
  </si>
  <si>
    <t>Bd131996941</t>
  </si>
  <si>
    <t>Bd131996951</t>
  </si>
  <si>
    <t>Bd131996960</t>
  </si>
  <si>
    <t>Bd131996962</t>
  </si>
  <si>
    <t>Bd131997015</t>
  </si>
  <si>
    <t>Bd131997030</t>
  </si>
  <si>
    <t>Bd131997066</t>
  </si>
  <si>
    <t>Bd131997069</t>
  </si>
  <si>
    <t>Bd131997082</t>
  </si>
  <si>
    <t>Bd131997105</t>
  </si>
  <si>
    <t>Bd131997121</t>
  </si>
  <si>
    <t>Bd131997123</t>
  </si>
  <si>
    <t>1991-2000</t>
  </si>
  <si>
    <t>Bd131997168</t>
  </si>
  <si>
    <t>Bd131997209</t>
  </si>
  <si>
    <t>Bd131997215</t>
  </si>
  <si>
    <t>Bd131997245</t>
  </si>
  <si>
    <t>Bd131997276</t>
  </si>
  <si>
    <t>Bd131997293</t>
  </si>
  <si>
    <t>Bd131997309</t>
  </si>
  <si>
    <t>Bd131997313</t>
  </si>
  <si>
    <t>Bd131997322</t>
  </si>
  <si>
    <t>Bd131997325</t>
  </si>
  <si>
    <t>Bd131997326</t>
  </si>
  <si>
    <t>Bd131997344</t>
  </si>
  <si>
    <t>Bd131997386</t>
  </si>
  <si>
    <t>Bd131997395</t>
  </si>
  <si>
    <t>Bd131997399</t>
  </si>
  <si>
    <t>Bd131997429</t>
  </si>
  <si>
    <t>Bd131997444</t>
  </si>
  <si>
    <t>Bd131997522</t>
  </si>
  <si>
    <t>Bd131997525</t>
  </si>
  <si>
    <t>Bd131997540</t>
  </si>
  <si>
    <t>Bd131997548</t>
  </si>
  <si>
    <t>Bd131997556</t>
  </si>
  <si>
    <t>Bd131997566</t>
  </si>
  <si>
    <t>Bd131997612</t>
  </si>
  <si>
    <t>Bd131997629</t>
  </si>
  <si>
    <t>Bd131997650</t>
  </si>
  <si>
    <t>Bd131997657</t>
  </si>
  <si>
    <t>Bd131997677</t>
  </si>
  <si>
    <t>Bd131997678</t>
  </si>
  <si>
    <t>Bd131997686</t>
  </si>
  <si>
    <t>Bd131997694</t>
  </si>
  <si>
    <t>Bd131997696</t>
  </si>
  <si>
    <t>Bd131997703</t>
  </si>
  <si>
    <t>Bd131997717</t>
  </si>
  <si>
    <t>Bd131997755</t>
  </si>
  <si>
    <t>Bd131997778</t>
  </si>
  <si>
    <t>Bd131997786</t>
  </si>
  <si>
    <t>Bd131997793</t>
  </si>
  <si>
    <t>Bd131997799</t>
  </si>
  <si>
    <t>Bd131997871</t>
  </si>
  <si>
    <t>Bd131997925</t>
  </si>
  <si>
    <t>Bd131998112</t>
  </si>
  <si>
    <t>Bd131998177</t>
  </si>
  <si>
    <t>Bd131998267</t>
  </si>
  <si>
    <t>Bd131998888</t>
  </si>
  <si>
    <t>Bd131998913</t>
  </si>
  <si>
    <t>Bd131999125</t>
  </si>
  <si>
    <t>Bd131999247</t>
  </si>
  <si>
    <t>Bd131999256</t>
  </si>
  <si>
    <t>Bd131999316</t>
  </si>
  <si>
    <t>Bd131999363</t>
  </si>
  <si>
    <t>Bd131999397</t>
  </si>
  <si>
    <t>Bd131999430</t>
  </si>
  <si>
    <t>Bd131999479</t>
  </si>
  <si>
    <t>Bd131999538</t>
  </si>
  <si>
    <t>Bd131999543</t>
  </si>
  <si>
    <t>Bd131999662</t>
  </si>
  <si>
    <t>Bd131999681</t>
  </si>
  <si>
    <t>Bd131999746</t>
  </si>
  <si>
    <t>Bd131999805</t>
  </si>
  <si>
    <t>Bd131999835</t>
  </si>
  <si>
    <t>Bd131999935</t>
  </si>
  <si>
    <t>Bd131999937</t>
  </si>
  <si>
    <t>Bd131999973</t>
  </si>
  <si>
    <t>Bd131999996</t>
  </si>
  <si>
    <t>Bd131999997</t>
  </si>
  <si>
    <t>Bd132000003</t>
  </si>
  <si>
    <t>Bd132000021</t>
  </si>
  <si>
    <t>Bd132000045</t>
  </si>
  <si>
    <t>Bd132000057</t>
  </si>
  <si>
    <t>Bd132000076</t>
  </si>
  <si>
    <t>Bd132000077</t>
  </si>
  <si>
    <t>Bd132000106</t>
  </si>
  <si>
    <t>Bd132000117</t>
  </si>
  <si>
    <t>Bd132000122</t>
  </si>
  <si>
    <t>Bd132000130</t>
  </si>
  <si>
    <t>Bd132000134</t>
  </si>
  <si>
    <t>Bd132000219</t>
  </si>
  <si>
    <t>Bd132000234</t>
  </si>
  <si>
    <t>Bd132000291</t>
  </si>
  <si>
    <t>Bd132000357</t>
  </si>
  <si>
    <t>Bd132000416</t>
  </si>
  <si>
    <t>Bd132000422</t>
  </si>
  <si>
    <t>Bd132000486</t>
  </si>
  <si>
    <t>Bd132000502</t>
  </si>
  <si>
    <t>Bd132000503</t>
  </si>
  <si>
    <t>Bd132000504</t>
  </si>
  <si>
    <t>Bd132000532</t>
  </si>
  <si>
    <t>Bd132000561</t>
  </si>
  <si>
    <t>Bd132000589</t>
  </si>
  <si>
    <t>Bd132000651</t>
  </si>
  <si>
    <t>Bd132000685</t>
  </si>
  <si>
    <t>Bd132000734</t>
  </si>
  <si>
    <t>Bd132000737</t>
  </si>
  <si>
    <t>Bd132000802</t>
  </si>
  <si>
    <t>Bd132000816</t>
  </si>
  <si>
    <t>Bd132000846</t>
  </si>
  <si>
    <t>Bd132000874</t>
  </si>
  <si>
    <t>Bd132000898</t>
  </si>
  <si>
    <t>Bd132000909</t>
  </si>
  <si>
    <t>Bd132000917</t>
  </si>
  <si>
    <t>Bd132000923</t>
  </si>
  <si>
    <t>Bd132000959</t>
  </si>
  <si>
    <t>Bd132000978</t>
  </si>
  <si>
    <t>Bd132001022</t>
  </si>
  <si>
    <t>Bd132001030</t>
  </si>
  <si>
    <t>Bd132001093</t>
  </si>
  <si>
    <t>Bd132001094</t>
  </si>
  <si>
    <t>Bd132001117</t>
  </si>
  <si>
    <t>Bd132001195</t>
  </si>
  <si>
    <t>Bd132001204</t>
  </si>
  <si>
    <t>Bd132001209</t>
  </si>
  <si>
    <t>Bd132001264</t>
  </si>
  <si>
    <t>Bd132001282</t>
  </si>
  <si>
    <t>Bd132001348</t>
  </si>
  <si>
    <t>Bd132001351</t>
  </si>
  <si>
    <t>Bd132001352</t>
  </si>
  <si>
    <t>Bd169832741</t>
  </si>
  <si>
    <t>Bd169832742</t>
  </si>
  <si>
    <t>Bd182680865</t>
  </si>
  <si>
    <t>Bd182681467</t>
  </si>
  <si>
    <t>Bd262271563</t>
  </si>
  <si>
    <t>Bd262278622</t>
  </si>
  <si>
    <t>Bd262278623</t>
  </si>
  <si>
    <t>Bd354919796</t>
  </si>
  <si>
    <t>Bd354919799</t>
  </si>
  <si>
    <t>Bd370495122</t>
  </si>
  <si>
    <t>Bd371476578</t>
  </si>
  <si>
    <t>Bd386557725</t>
  </si>
  <si>
    <t>Bd477646656</t>
  </si>
  <si>
    <t>Bd477646657</t>
  </si>
  <si>
    <t>Bd477646658</t>
  </si>
  <si>
    <t>Bd477646660</t>
  </si>
  <si>
    <t>Bd477646661</t>
  </si>
  <si>
    <t>Bd477646662</t>
  </si>
  <si>
    <t>Bd673882871</t>
  </si>
  <si>
    <t>Bd739039114</t>
  </si>
  <si>
    <t>Bd739039115</t>
  </si>
  <si>
    <t>Bd739157888</t>
  </si>
  <si>
    <t>Bd739157889</t>
  </si>
  <si>
    <t>Bd1225790176</t>
  </si>
  <si>
    <t>Bd1225793632</t>
  </si>
  <si>
    <t>Bd1225797974</t>
  </si>
  <si>
    <t>Generator Number</t>
  </si>
  <si>
    <t>Building Name</t>
  </si>
  <si>
    <t>Thermal capacity [kW]</t>
  </si>
  <si>
    <t>Energy produced [kWh /year]</t>
  </si>
  <si>
    <t>Energy input from national grid [kWh/year]</t>
  </si>
  <si>
    <t>Energy input from Photovoltaic system [kWh/year]</t>
  </si>
  <si>
    <t>Energy input from CHP-Internal Combustion Engine [kWh/year]</t>
  </si>
  <si>
    <t>Energy input from CHP-Combined cycle [kWh/year]</t>
  </si>
  <si>
    <t>Energy input from CHP-Gas Turbine [kWh/year]</t>
  </si>
  <si>
    <t>Energy input from CHP-Waste-to-Energy [kWh/year]</t>
  </si>
  <si>
    <t>Energy input from CHP-Organic Rankine Cycle [kWh/year]</t>
  </si>
  <si>
    <t>Cooling capacity [kW]</t>
  </si>
  <si>
    <t>Electric energy absorbed [kWh/year]</t>
  </si>
  <si>
    <t>COP</t>
  </si>
  <si>
    <t>Cooling - Compression chiller #1</t>
  </si>
  <si>
    <t>Cooling - Compression chiller #2</t>
  </si>
  <si>
    <t>Cooling - Compression chiller #3</t>
  </si>
  <si>
    <t>Cooling - Compression chiller #4</t>
  </si>
  <si>
    <t>Cooling - Compression chiller #5</t>
  </si>
  <si>
    <t>Cooling - Compression chiller #6</t>
  </si>
  <si>
    <t>Cooling - Compression chiller #7</t>
  </si>
  <si>
    <t>Cooling - Compression chiller #8</t>
  </si>
  <si>
    <t>Cooling - Compression chiller #9</t>
  </si>
  <si>
    <t>Cooling - Compression chiller #10</t>
  </si>
  <si>
    <t>Cooling - Compression chiller #11</t>
  </si>
  <si>
    <t>Cooling - Compression chiller #12</t>
  </si>
  <si>
    <t>Cooling - Compression chiller #13</t>
  </si>
  <si>
    <t>Cooling - Compression chiller #14</t>
  </si>
  <si>
    <t>Cooling - Compression chiller #15</t>
  </si>
  <si>
    <t>Cooling - Compression chiller #16</t>
  </si>
  <si>
    <t>Cooling - Compression chiller #17</t>
  </si>
  <si>
    <t>Cooling - Compression chiller #18</t>
  </si>
  <si>
    <t>Cooling - Compression chiller #19</t>
  </si>
  <si>
    <t>Cooling - Compression chiller #20</t>
  </si>
  <si>
    <t>Cooling - Compression chiller #21</t>
  </si>
  <si>
    <t>Cooling - Compression chiller #22</t>
  </si>
  <si>
    <t>Cooling - Compression chiller #23</t>
  </si>
  <si>
    <t>Cooling - Compression chiller #24</t>
  </si>
  <si>
    <t>Cooling - Compression chiller #25</t>
  </si>
  <si>
    <t>Cooling - Compression chiller #26</t>
  </si>
  <si>
    <t>Cooling - Compression chiller #27</t>
  </si>
  <si>
    <t>Cooling - Compression chiller #28</t>
  </si>
  <si>
    <t>Cooling - Compression chiller #29</t>
  </si>
  <si>
    <t>Cooling - Compression chiller #30</t>
  </si>
  <si>
    <t>Cooling - Compression chiller #31</t>
  </si>
  <si>
    <t>Cooling - Compression chiller #32</t>
  </si>
  <si>
    <t>Cooling - Compression chiller #33</t>
  </si>
  <si>
    <t>Cooling - Compression chiller #34</t>
  </si>
  <si>
    <t>Cooling - Compression chiller #35</t>
  </si>
  <si>
    <t>Cooling - Compression chiller #36</t>
  </si>
  <si>
    <t>Cooling - Compression chiller #37</t>
  </si>
  <si>
    <t>Cooling - Compression chiller #38</t>
  </si>
  <si>
    <t>Cooling - Compression chiller #39</t>
  </si>
  <si>
    <t>Cooling - Compression chiller #40</t>
  </si>
  <si>
    <t>Cooling - Compression chiller #41</t>
  </si>
  <si>
    <t>Cooling - Compression chiller #42</t>
  </si>
  <si>
    <t>Cooling - Compression chiller #43</t>
  </si>
  <si>
    <t>Cooling - Compression chiller #44</t>
  </si>
  <si>
    <t>Cooling - Compression chiller #45</t>
  </si>
  <si>
    <t>Cooling - Compression chiller #46</t>
  </si>
  <si>
    <t>Cooling - Compression chiller #47</t>
  </si>
  <si>
    <t>Cooling - Compression chiller #48</t>
  </si>
  <si>
    <t>Cooling - Compression chiller #49</t>
  </si>
  <si>
    <t>Cooling - Compression chiller #50</t>
  </si>
  <si>
    <t>Cooling - Compression chiller #51</t>
  </si>
  <si>
    <t>Cooling - Compression chiller #52</t>
  </si>
  <si>
    <t>Cooling - Compression chiller #53</t>
  </si>
  <si>
    <t>Cooling - Compression chiller #54</t>
  </si>
  <si>
    <t>Cooling - Compression chiller #55</t>
  </si>
  <si>
    <t>Cooling - Compression chiller #56</t>
  </si>
  <si>
    <t>Cooling - Compression chiller #57</t>
  </si>
  <si>
    <t>Cooling - Compression chiller #58</t>
  </si>
  <si>
    <t>Cooling - Compression chiller #59</t>
  </si>
  <si>
    <t>Cooling - Compression chiller #60</t>
  </si>
  <si>
    <t>Cooling - Compression chiller #61</t>
  </si>
  <si>
    <t>Cooling - Compression chiller #62</t>
  </si>
  <si>
    <t>Cooling - Compression chiller #63</t>
  </si>
  <si>
    <t>Cooling - Compression chiller #64</t>
  </si>
  <si>
    <t>Cooling - Compression chiller #65</t>
  </si>
  <si>
    <t>Cooling - Compression chiller #66</t>
  </si>
  <si>
    <t>Cooling - Compression chiller #67</t>
  </si>
  <si>
    <t>Cooling - Compression chiller #68</t>
  </si>
  <si>
    <t>Cooling - Compression chiller #69</t>
  </si>
  <si>
    <t>Cooling - Compression chiller #70</t>
  </si>
  <si>
    <t>Cooling - Compression chiller #71</t>
  </si>
  <si>
    <t>Cooling - Compression chiller #72</t>
  </si>
  <si>
    <t>Cooling - Compression chiller #73</t>
  </si>
  <si>
    <t>Cooling - Compression chiller #74</t>
  </si>
  <si>
    <t>Cooling - Compression chiller #75</t>
  </si>
  <si>
    <t>Cooling - Compression chiller #76</t>
  </si>
  <si>
    <t>Cooling - Compression chiller #77</t>
  </si>
  <si>
    <t>Cooling - Compression chiller #78</t>
  </si>
  <si>
    <t>Cooling - Compression chiller #79</t>
  </si>
  <si>
    <t>Cooling - Compression chiller #80</t>
  </si>
  <si>
    <t>Cooling - Compression chiller #81</t>
  </si>
  <si>
    <t>Cooling - Compression chiller #82</t>
  </si>
  <si>
    <t>Cooling - Compression chiller #83</t>
  </si>
  <si>
    <t>Cooling - Compression chiller #84</t>
  </si>
  <si>
    <t>Cooling - Compression chiller #85</t>
  </si>
  <si>
    <t>Cooling - Compression chiller #86</t>
  </si>
  <si>
    <t>Cooling - Compression chiller #87</t>
  </si>
  <si>
    <t>Cooling - Compression chiller #88</t>
  </si>
  <si>
    <t>Cooling - Compression chiller #89</t>
  </si>
  <si>
    <t>Cooling - Compression chiller #90</t>
  </si>
  <si>
    <t>Cooling - Compression chiller #91</t>
  </si>
  <si>
    <t>Cooling - Compression chiller #92</t>
  </si>
  <si>
    <t>Cooling - Compression chiller #93</t>
  </si>
  <si>
    <t>Cooling - Compression chiller #94</t>
  </si>
  <si>
    <t>Cooling - Compression chiller #95</t>
  </si>
  <si>
    <t>Cooling - Compression chiller #96</t>
  </si>
  <si>
    <t>Cooling - Compression chiller #97</t>
  </si>
  <si>
    <t>Cooling - Compression chiller #98</t>
  </si>
  <si>
    <t>Cooling - Compression chiller #99</t>
  </si>
  <si>
    <t>Cooling - Compression chiller #100</t>
  </si>
  <si>
    <t>Cooling - Compression chiller #101</t>
  </si>
  <si>
    <t>Cooling - Compression chiller #102</t>
  </si>
  <si>
    <t>Cooling - Compression chiller #103</t>
  </si>
  <si>
    <t>Cooling - Compression chiller #104</t>
  </si>
  <si>
    <t>Cooling - Compression chiller #105</t>
  </si>
  <si>
    <t>Cooling - Compression chiller #106</t>
  </si>
  <si>
    <t>Cooling - Compression chiller #107</t>
  </si>
  <si>
    <t>Cooling - Compression chiller #108</t>
  </si>
  <si>
    <t>Cooling - Compression chiller #109</t>
  </si>
  <si>
    <t>Cooling - Compression chiller #110</t>
  </si>
  <si>
    <t>Cooling - Compression chiller #111</t>
  </si>
  <si>
    <t>Cooling - Compression chiller #112</t>
  </si>
  <si>
    <t>Cooling - Compression chiller #113</t>
  </si>
  <si>
    <t>Cooling - Compression chiller #114</t>
  </si>
  <si>
    <t>Cooling - Compression chiller #115</t>
  </si>
  <si>
    <t>Cooling - Compression chiller #116</t>
  </si>
  <si>
    <t>Cooling - Compression chiller #117</t>
  </si>
  <si>
    <t>Cooling - Compression chiller #118</t>
  </si>
  <si>
    <t>Cooling - Compression chiller #119</t>
  </si>
  <si>
    <t>Cooling - Compression chiller #120</t>
  </si>
  <si>
    <t>Cooling - Compression chiller #121</t>
  </si>
  <si>
    <t>Cooling - Compression chiller #122</t>
  </si>
  <si>
    <t>Cooling - Compression chiller #123</t>
  </si>
  <si>
    <t>Cooling - Compression chiller #124</t>
  </si>
  <si>
    <t>Cooling - Compression chiller #125</t>
  </si>
  <si>
    <t>Cooling - Compression chiller #126</t>
  </si>
  <si>
    <t>Cooling - Compression chiller #127</t>
  </si>
  <si>
    <t>Cooling - Compression chiller #128</t>
  </si>
  <si>
    <t>Cooling - Compression chiller #129</t>
  </si>
  <si>
    <t>Cooling - Compression chiller #130</t>
  </si>
  <si>
    <t>Cooling - Compression chiller #131</t>
  </si>
  <si>
    <t>Cooling - Compression chiller #132</t>
  </si>
  <si>
    <t>Cooling - Compression chiller #133</t>
  </si>
  <si>
    <t>Cooling - Compression chiller #134</t>
  </si>
  <si>
    <t>Cooling - Compression chiller #135</t>
  </si>
  <si>
    <t>Cooling - Compression chiller #136</t>
  </si>
  <si>
    <t>Cooling - Compression chiller #137</t>
  </si>
  <si>
    <t>Cooling - Compression chiller #138</t>
  </si>
  <si>
    <t>Cooling - Compression chiller #139</t>
  </si>
  <si>
    <t>Cooling - Compression chiller #140</t>
  </si>
  <si>
    <t>Cooling - Compression chiller #141</t>
  </si>
  <si>
    <t>Cooling - Compression chiller #142</t>
  </si>
  <si>
    <t>Cooling - Compression chiller #143</t>
  </si>
  <si>
    <t>Cooling - Compression chiller #144</t>
  </si>
  <si>
    <t>Cooling - Compression chiller #145</t>
  </si>
  <si>
    <t>Cooling - Compression chiller #146</t>
  </si>
  <si>
    <t>Cooling - Compression chiller #147</t>
  </si>
  <si>
    <t>Cooling - Compression chiller #148</t>
  </si>
  <si>
    <t>Cooling - Compression chiller #149</t>
  </si>
  <si>
    <t>Cooling - Compression chiller #150</t>
  </si>
  <si>
    <t>Cooling - Compression chiller #151</t>
  </si>
  <si>
    <t>Cooling - Compression chiller #152</t>
  </si>
  <si>
    <t>Cooling - Compression chiller #153</t>
  </si>
  <si>
    <t>Cooling - Compression chiller #154</t>
  </si>
  <si>
    <t>Cooling - Compression chiller #155</t>
  </si>
  <si>
    <t>Cooling - Compression chiller #156</t>
  </si>
  <si>
    <t>Cooling - Compression chiller #157</t>
  </si>
  <si>
    <t>Cooling - Compression chiller #158</t>
  </si>
  <si>
    <t>Cooling - Compression chiller #159</t>
  </si>
  <si>
    <t>Cooling - Compression chiller #160</t>
  </si>
  <si>
    <t>Cooling - Compression chiller #161</t>
  </si>
  <si>
    <t>Cooling - Compression chiller #162</t>
  </si>
  <si>
    <t>Cooling - Compression chiller #163</t>
  </si>
  <si>
    <t>Cooling - Compression chiller #164</t>
  </si>
  <si>
    <t>Cooling - Compression chiller #165</t>
  </si>
  <si>
    <t>Cooling - Compression chiller #166</t>
  </si>
  <si>
    <t>Cooling - Compression chiller #167</t>
  </si>
  <si>
    <t>Cooling - Compression chiller #168</t>
  </si>
  <si>
    <t>Cooling - Compression chiller #169</t>
  </si>
  <si>
    <t>Cooling - Compression chiller #170</t>
  </si>
  <si>
    <t>Cooling - Compression chiller #171</t>
  </si>
  <si>
    <t>Cooling - Compression chiller #172</t>
  </si>
  <si>
    <t>Cooling - Compression chiller #173</t>
  </si>
  <si>
    <t>Cooling - Compression chiller #174</t>
  </si>
  <si>
    <t>Cooling - Compression chiller #175</t>
  </si>
  <si>
    <t>Cooling - Compression chiller #176</t>
  </si>
  <si>
    <t>Cooling - Compression chiller #177</t>
  </si>
  <si>
    <t>Cooling - Compression chiller #178</t>
  </si>
  <si>
    <t>Cooling - Compression chiller #179</t>
  </si>
  <si>
    <t>Cooling - Compression chiller #180</t>
  </si>
  <si>
    <t>Cooling - Compression chiller #181</t>
  </si>
  <si>
    <t>Cooling - Compression chiller #182</t>
  </si>
  <si>
    <t>Cooling - Compression chiller #183</t>
  </si>
  <si>
    <t>Cooling - Compression chiller #184</t>
  </si>
  <si>
    <t>Cooling - Compression chiller #185</t>
  </si>
  <si>
    <t>Cooling - Compression chiller #186</t>
  </si>
  <si>
    <t>Cooling - Compression chiller #187</t>
  </si>
  <si>
    <t>Cooling - Compression chiller #188</t>
  </si>
  <si>
    <t>Cooling - Compression chiller #189</t>
  </si>
  <si>
    <t>Cooling - Compression chiller #190</t>
  </si>
  <si>
    <t>Cooling - Compression chiller #191</t>
  </si>
  <si>
    <t>Cooling - Compression chiller #192</t>
  </si>
  <si>
    <t>Cooling - Compression chiller #193</t>
  </si>
  <si>
    <t>Cooling - Compression chiller #194</t>
  </si>
  <si>
    <t>Cooling - Compression chiller #195</t>
  </si>
  <si>
    <t>Cooling - Compression chiller #196</t>
  </si>
  <si>
    <t>Cooling - Compression chiller #197</t>
  </si>
  <si>
    <t>Cooling - Compression chiller #198</t>
  </si>
  <si>
    <t>Cooling - Compression chiller #199</t>
  </si>
  <si>
    <t>Cooling - Compression chiller #200</t>
  </si>
  <si>
    <t>Cooling - Compression chiller #201</t>
  </si>
  <si>
    <t>Cooling - Compression chiller #202</t>
  </si>
  <si>
    <t>Cooling - Compression chiller #203</t>
  </si>
  <si>
    <t>Cooling - Compression chiller #204</t>
  </si>
  <si>
    <t>Cooling - Compression chiller #205</t>
  </si>
  <si>
    <t>Cooling - Compression chiller #206</t>
  </si>
  <si>
    <t>Cooling - Compression chiller #207</t>
  </si>
  <si>
    <t>Cooling - Compression chiller #208</t>
  </si>
  <si>
    <t>Cooling - Compression chiller #209</t>
  </si>
  <si>
    <t>Cooling - Compression chiller #210</t>
  </si>
  <si>
    <t>Cooling - Compression chiller #211</t>
  </si>
  <si>
    <t>Cooling - Compression chiller #212</t>
  </si>
  <si>
    <t>Cooling - Compression chiller #213</t>
  </si>
  <si>
    <t>Cooling - Compression chiller #214</t>
  </si>
  <si>
    <t>Cooling - Compression chiller #215</t>
  </si>
  <si>
    <t>Cooling - Compression chiller #216</t>
  </si>
  <si>
    <t>Cooling - Compression chiller #217</t>
  </si>
  <si>
    <t>Cooling - Compression chiller #218</t>
  </si>
  <si>
    <t>Cooling - Compression chiller #219</t>
  </si>
  <si>
    <t>Cooling - Compression chiller #220</t>
  </si>
  <si>
    <t>Cooling - Compression chiller #221</t>
  </si>
  <si>
    <t>Cooling - Compression chiller #222</t>
  </si>
  <si>
    <t>Cooling - Compression chiller #223</t>
  </si>
  <si>
    <t>Cooling - Compression chiller #224</t>
  </si>
  <si>
    <t>Cooling - Compression chiller #225</t>
  </si>
  <si>
    <t>Cooling - Compression chiller #226</t>
  </si>
  <si>
    <t>Cooling - Compression chiller #227</t>
  </si>
  <si>
    <t>Cooling - Compression chiller #228</t>
  </si>
  <si>
    <t>Cooling - Compression chiller #229</t>
  </si>
  <si>
    <t>Cooling - Compression chiller #230</t>
  </si>
  <si>
    <t>Cooling - Compression chiller #231</t>
  </si>
  <si>
    <t>Cooling - Compression chiller #232</t>
  </si>
  <si>
    <t>Cooling - Compression chiller #233</t>
  </si>
  <si>
    <t>Cooling - Compression chiller #234</t>
  </si>
  <si>
    <t>Cooling - Compression chiller #235</t>
  </si>
  <si>
    <t>Cooling - Compression chiller #236</t>
  </si>
  <si>
    <t>Cooling - Compression chiller #237</t>
  </si>
  <si>
    <t>Cooling - Compression chiller #238</t>
  </si>
  <si>
    <t>Cooling - Compression chiller #239</t>
  </si>
  <si>
    <t>Cooling - Compression chiller #240</t>
  </si>
  <si>
    <t>Cooling - Compression chiller #241</t>
  </si>
  <si>
    <t>Cooling - Compression chiller #242</t>
  </si>
  <si>
    <t>Cooling - Compression chiller #243</t>
  </si>
  <si>
    <t>Cooling - Compression chiller #244</t>
  </si>
  <si>
    <t>Cooling - Compression chiller #245</t>
  </si>
  <si>
    <t>Cooling - Compression chiller #246</t>
  </si>
  <si>
    <t>Cooling - Compression chiller #247</t>
  </si>
  <si>
    <t>Cooling - Compression chiller #248</t>
  </si>
  <si>
    <t>Cooling - Compression chiller #249</t>
  </si>
  <si>
    <t>Cooling - Compression chiller #250</t>
  </si>
  <si>
    <t>Cooling - Compression chiller #251</t>
  </si>
  <si>
    <t>Cooling - Compression chiller #252</t>
  </si>
  <si>
    <t>Cooling - Compression chiller #253</t>
  </si>
  <si>
    <t>Cooling - Compression chiller #254</t>
  </si>
  <si>
    <t>Cooling - Compression chiller #255</t>
  </si>
  <si>
    <t>Cooling - Compression chiller #256</t>
  </si>
  <si>
    <t>Cooling - Compression chiller #257</t>
  </si>
  <si>
    <t>Cooling - Compression chiller #258</t>
  </si>
  <si>
    <t>Cooling - Compression chiller #259</t>
  </si>
  <si>
    <t>Cooling - Compression chiller #260</t>
  </si>
  <si>
    <t>Cooling - Compression chiller #261</t>
  </si>
  <si>
    <t>Cooling - Compression chiller #262</t>
  </si>
  <si>
    <t>Cooling - Compression chiller #263</t>
  </si>
  <si>
    <t>Cooling - Compression chiller #264</t>
  </si>
  <si>
    <t>Cooling - Compression chiller #265</t>
  </si>
  <si>
    <t>Cooling - Compression chiller #266</t>
  </si>
  <si>
    <t>Cooling - Compression chiller #267</t>
  </si>
  <si>
    <t>Cooling - Compression chiller #268</t>
  </si>
  <si>
    <t>Cooling - Compression chiller #269</t>
  </si>
  <si>
    <t>Cooling - Compression chiller #270</t>
  </si>
  <si>
    <t>Cooling - Compression chiller #271</t>
  </si>
  <si>
    <t>Cooling - Compression chiller #272</t>
  </si>
  <si>
    <t>Cooling - Compression chiller #273</t>
  </si>
  <si>
    <t>Cooling - Compression chiller #274</t>
  </si>
  <si>
    <t>Cooling - Compression chiller #275</t>
  </si>
  <si>
    <t>Cooling - Compression chiller #276</t>
  </si>
  <si>
    <t>Cooling - Compression chiller #277</t>
  </si>
  <si>
    <t>Cooling - Compression chiller #278</t>
  </si>
  <si>
    <t>Cooling - Compression chiller #279</t>
  </si>
  <si>
    <t>Cooling - Compression chiller #280</t>
  </si>
  <si>
    <t>Cooling - Compression chiller #281</t>
  </si>
  <si>
    <t>Cooling - Compression chiller #282</t>
  </si>
  <si>
    <t>Cooling - Compression chiller #283</t>
  </si>
  <si>
    <t>Cooling - Compression chiller #284</t>
  </si>
  <si>
    <t>Cooling - Compression chiller #285</t>
  </si>
  <si>
    <t>Cooling - Compression chiller #286</t>
  </si>
  <si>
    <t>Cooling - Compression chiller #287</t>
  </si>
  <si>
    <t>Cooling - Compression chiller #288</t>
  </si>
  <si>
    <t>Cooling - Compression chiller #289</t>
  </si>
  <si>
    <t>Cooling - Compression chiller #290</t>
  </si>
  <si>
    <t>Cooling - Compression chiller #291</t>
  </si>
  <si>
    <t>Cooling - Compression chiller #292</t>
  </si>
  <si>
    <t>Cooling - Compression chiller #293</t>
  </si>
  <si>
    <t>Cooling - Compression chiller #294</t>
  </si>
  <si>
    <t>Cooling - Compression chiller #295</t>
  </si>
  <si>
    <t>Cooling - Compression chiller #296</t>
  </si>
  <si>
    <t>Cooling - Compression chiller #297</t>
  </si>
  <si>
    <t>Cooling - Compression chiller #298</t>
  </si>
  <si>
    <t>Cooling - Compression chiller #299</t>
  </si>
  <si>
    <t>Cooling - Compression chiller #300</t>
  </si>
  <si>
    <t>Cooling - Compression chiller #301</t>
  </si>
  <si>
    <t>Cooling - Compression chiller #302</t>
  </si>
  <si>
    <t>Cooling - Compression chiller #303</t>
  </si>
  <si>
    <t>Cooling - Compression chiller #304</t>
  </si>
  <si>
    <t>Cooling - Compression chiller #305</t>
  </si>
  <si>
    <t>Cooling - Compression chiller #306</t>
  </si>
  <si>
    <t>Cooling - Compression chiller #307</t>
  </si>
  <si>
    <t>Cooling - Compression chiller #308</t>
  </si>
  <si>
    <t>Cooling - Compression chiller #309</t>
  </si>
  <si>
    <t>Cooling - Compression chiller #310</t>
  </si>
  <si>
    <t>Cooling - Compression chiller #311</t>
  </si>
  <si>
    <t>Cooling - Compression chiller #312</t>
  </si>
  <si>
    <t>Cooling - Compression chiller #313</t>
  </si>
  <si>
    <t>Cooling - Compression chiller #314</t>
  </si>
  <si>
    <t>Cooling - Compression chiller #315</t>
  </si>
  <si>
    <t>Cooling - Compression chiller #316</t>
  </si>
  <si>
    <t>Cooling - Compression chiller #317</t>
  </si>
  <si>
    <t>Cooling - Compression chiller #318</t>
  </si>
  <si>
    <t>Cooling - Compression chiller #319</t>
  </si>
  <si>
    <t>Cooling - Compression chiller #320</t>
  </si>
  <si>
    <t>Cooling - Compression chiller #321</t>
  </si>
  <si>
    <t>Cooling - Compression chiller #322</t>
  </si>
  <si>
    <t>Cooling - Compression chiller #323</t>
  </si>
  <si>
    <t>Cooling - Compression chiller #324</t>
  </si>
  <si>
    <t>Cooling - Compression chiller #325</t>
  </si>
  <si>
    <t>Cooling - Compression chiller #326</t>
  </si>
  <si>
    <t>Cooling - Compression chiller #327</t>
  </si>
  <si>
    <t>Cooling - Compression chiller #328</t>
  </si>
  <si>
    <t>Cooling - Compression chiller #329</t>
  </si>
  <si>
    <t>Cooling - Compression chiller #330</t>
  </si>
  <si>
    <t>Cooling - Compression chiller #331</t>
  </si>
  <si>
    <t>Cooling - Compression chiller #332</t>
  </si>
  <si>
    <t>Cooling - Compression chiller #333</t>
  </si>
  <si>
    <t>Cooling - Compression chiller #334</t>
  </si>
  <si>
    <t>Cooling - Compression chiller #335</t>
  </si>
  <si>
    <t>Cooling - Compression chiller #336</t>
  </si>
  <si>
    <t>Cooling - Compression chiller #337</t>
  </si>
  <si>
    <t>Cooling - Compression chiller #338</t>
  </si>
  <si>
    <t>Cooling - Compression chiller #339</t>
  </si>
  <si>
    <t>Cooling - Compression chiller #340</t>
  </si>
  <si>
    <t>Cooling - Compression chiller #341</t>
  </si>
  <si>
    <t>Cooling - Compression chiller #342</t>
  </si>
  <si>
    <t>Cooling - Compression chiller #343</t>
  </si>
  <si>
    <t>Cooling - Compression chiller #344</t>
  </si>
  <si>
    <t>Cooling - Compression chiller #345</t>
  </si>
  <si>
    <t>Cooling - Compression chiller #346</t>
  </si>
  <si>
    <t>Cooling - Compression chiller #347</t>
  </si>
  <si>
    <t>Cooling - Compression chiller #348</t>
  </si>
  <si>
    <t>Cooling - Compression chiller #349</t>
  </si>
  <si>
    <t>Cooling - Compression chiller #350</t>
  </si>
  <si>
    <t>Cooling - Compression chiller #351</t>
  </si>
  <si>
    <t>Cooling - Compression chiller #352</t>
  </si>
  <si>
    <t>Cooling - Compression chiller #353</t>
  </si>
  <si>
    <t>Cooling - Compression chiller #354</t>
  </si>
  <si>
    <t>Cooling - Compression chiller #355</t>
  </si>
  <si>
    <t>Cooling - Compression chiller #356</t>
  </si>
  <si>
    <t>Cooling - Compression chiller #357</t>
  </si>
  <si>
    <t>Cooling - Compression chiller #358</t>
  </si>
  <si>
    <t>Cooling - Compression chiller #359</t>
  </si>
  <si>
    <t>Cooling - Compression chiller #360</t>
  </si>
  <si>
    <t>Cooling - Compression chiller #361</t>
  </si>
  <si>
    <t>Cooling - Compression chiller #362</t>
  </si>
  <si>
    <t>Cooling - Compression chiller #363</t>
  </si>
  <si>
    <t>Cooling - Compression chiller #364</t>
  </si>
  <si>
    <t>Cooling - Compression chiller #365</t>
  </si>
  <si>
    <t>Cooling - Compression chiller #366</t>
  </si>
  <si>
    <t>Cooling - Compression chiller #367</t>
  </si>
  <si>
    <t>Cooling - Compression chiller #368</t>
  </si>
  <si>
    <t>Cooling - Compression chiller #369</t>
  </si>
  <si>
    <t>Cooling - Compression chiller #370</t>
  </si>
  <si>
    <t>Cooling - Compression chiller #371</t>
  </si>
  <si>
    <t>Cooling - Compression chiller #372</t>
  </si>
  <si>
    <t>Cooling - Compression chiller #373</t>
  </si>
  <si>
    <t>Cooling - Compression chiller #374</t>
  </si>
  <si>
    <t>Cooling - Compression chiller #375</t>
  </si>
  <si>
    <t>Cooling - Compression chiller #376</t>
  </si>
  <si>
    <t>Cooling - Compression chiller #377</t>
  </si>
  <si>
    <t>Cooling - Compression chiller #378</t>
  </si>
  <si>
    <t>Cooling - Compression chiller #379</t>
  </si>
  <si>
    <t>Cooling - Compression chiller #380</t>
  </si>
  <si>
    <t>Cooling - Compression chiller #381</t>
  </si>
  <si>
    <t>Cooling - Compression chiller #382</t>
  </si>
  <si>
    <t>Cooling - Compression chiller #383</t>
  </si>
  <si>
    <t>Cooling - Compression chiller #384</t>
  </si>
  <si>
    <t>Cooling - Compression chiller #385</t>
  </si>
  <si>
    <t>Cooling - Compression chiller #386</t>
  </si>
  <si>
    <t>Cooling - Compression chiller #387</t>
  </si>
  <si>
    <t>Cooling - Compression chiller #388</t>
  </si>
  <si>
    <t>Cooling - Compression chiller #389</t>
  </si>
  <si>
    <t>Cooling - Compression chiller #390</t>
  </si>
  <si>
    <t>Cooling - Compression chiller #391</t>
  </si>
  <si>
    <t>Cooling - Compression chiller #392</t>
  </si>
  <si>
    <t>Cooling - Compression chiller #393</t>
  </si>
  <si>
    <t>Cooling - Compression chiller #394</t>
  </si>
  <si>
    <t>Cooling - Compression chiller #395</t>
  </si>
  <si>
    <t>Cooling - Compression chiller #396</t>
  </si>
  <si>
    <t>Cooling - Compression chiller #397</t>
  </si>
  <si>
    <t>Cooling - Compression chiller #398</t>
  </si>
  <si>
    <t>Cooling - Compression chiller #399</t>
  </si>
  <si>
    <t>Cooling - Compression chiller #400</t>
  </si>
  <si>
    <t>Cooling - Compression chiller #401</t>
  </si>
  <si>
    <t>Cooling - Compression chiller #402</t>
  </si>
  <si>
    <t>Cooling - Compression chiller #403</t>
  </si>
  <si>
    <t>Cooling - Compression chiller #404</t>
  </si>
  <si>
    <t>Cooling - Compression chiller #405</t>
  </si>
  <si>
    <t>Cooling - Compression chiller #406</t>
  </si>
  <si>
    <t>Cooling - Compression chiller #407</t>
  </si>
  <si>
    <t>Cooling - Compression chiller #408</t>
  </si>
  <si>
    <t>Cooling - Compression chiller #409</t>
  </si>
  <si>
    <t>Cooling - Compression chiller #410</t>
  </si>
  <si>
    <t>Cooling - Compression chiller #411</t>
  </si>
  <si>
    <t>Cooling - Compression chiller #412</t>
  </si>
  <si>
    <t>Cooling - Compression chiller #413</t>
  </si>
  <si>
    <t>Cooling - Compression chiller #414</t>
  </si>
  <si>
    <t>Cooling - Compression chiller #415</t>
  </si>
  <si>
    <t>Cooling - Compression chiller #416</t>
  </si>
  <si>
    <t>Cooling - Compression chiller #417</t>
  </si>
  <si>
    <t>Cooling - Compression chiller #418</t>
  </si>
  <si>
    <t>Cooling - Compression chiller #419</t>
  </si>
  <si>
    <t>Cooling - Compression chiller #420</t>
  </si>
  <si>
    <t>Cooling - Compression chiller #421</t>
  </si>
  <si>
    <t>Cooling - Compression chiller #422</t>
  </si>
  <si>
    <t>Cooling - Compression chiller #423</t>
  </si>
  <si>
    <t>Cooling - Compression chiller #424</t>
  </si>
  <si>
    <t>Cooling - Compression chiller #425</t>
  </si>
  <si>
    <t>Cooling - Compression chiller #426</t>
  </si>
  <si>
    <t>Cooling - Compression chiller #427</t>
  </si>
  <si>
    <t>Cooling - Compression chiller #428</t>
  </si>
  <si>
    <t>Cooling - Compression chiller #429</t>
  </si>
  <si>
    <t>Cooling - Compression chiller #430</t>
  </si>
  <si>
    <t>Cooling - Compression chiller #431</t>
  </si>
  <si>
    <t>Cooling - Compression chiller #432</t>
  </si>
  <si>
    <t>Cooling - Compression chiller #433</t>
  </si>
  <si>
    <t>Cooling - Compression chiller #434</t>
  </si>
  <si>
    <t>Cooling - Compression chiller #435</t>
  </si>
  <si>
    <t>Cooling - Compression chiller #436</t>
  </si>
  <si>
    <t>Cooling - Compression chiller #437</t>
  </si>
  <si>
    <t>Cooling - Compression chiller #438</t>
  </si>
  <si>
    <t>Cooling - Compression chiller #439</t>
  </si>
  <si>
    <t>Cooling - Compression chiller #440</t>
  </si>
  <si>
    <t>Cooling - Compression chiller #441</t>
  </si>
  <si>
    <t>Cooling - Compression chiller #442</t>
  </si>
  <si>
    <t>Cooling - Compression chiller #443</t>
  </si>
  <si>
    <t>Cooling - Compression chiller #444</t>
  </si>
  <si>
    <t>Cooling - Compression chiller #445</t>
  </si>
  <si>
    <t>Cooling - Compression chiller #446</t>
  </si>
  <si>
    <t>Cooling - Compression chiller #447</t>
  </si>
  <si>
    <t>Cooling - Compression chiller #448</t>
  </si>
  <si>
    <t>Cooling - Compression chiller #449</t>
  </si>
  <si>
    <t>Cooling - Compression chiller #450</t>
  </si>
  <si>
    <t>Cooling - Compression chiller #451</t>
  </si>
  <si>
    <t>Cooling - Compression chiller #452</t>
  </si>
  <si>
    <t>Cooling - Compression chiller #453</t>
  </si>
  <si>
    <t>Cooling - Compression chiller #454</t>
  </si>
  <si>
    <t>Cooling - Compression chiller #455</t>
  </si>
  <si>
    <t>Cooling - Compression chiller #456</t>
  </si>
  <si>
    <t>Cooling - Compression chiller #457</t>
  </si>
  <si>
    <t>Cooling - Compression chiller #458</t>
  </si>
  <si>
    <t>Cooling - Compression chiller #459</t>
  </si>
  <si>
    <t>Cooling - Compression chiller #460</t>
  </si>
  <si>
    <t>Cooling - Compression chiller #461</t>
  </si>
  <si>
    <t>Cooling - Compression chiller #462</t>
  </si>
  <si>
    <t>Cooling - Compression chiller #463</t>
  </si>
  <si>
    <t>Cooling - Compression chiller #464</t>
  </si>
  <si>
    <t>Cooling - Compression chiller #465</t>
  </si>
  <si>
    <t>Cooling - Compression chiller #466</t>
  </si>
  <si>
    <t>Cooling - Compression chiller #467</t>
  </si>
  <si>
    <t>Cooling - Compression chiller #468</t>
  </si>
  <si>
    <t>Cooling - Compression chiller #469</t>
  </si>
  <si>
    <t>Cooling - Compression chiller #470</t>
  </si>
  <si>
    <t>Cooling - Compression chiller #471</t>
  </si>
  <si>
    <t>Cooling - Compression chiller #472</t>
  </si>
  <si>
    <t>Cooling - Compression chiller #473</t>
  </si>
  <si>
    <t>Cooling - Compression chiller #474</t>
  </si>
  <si>
    <t>Cooling - Compression chiller #475</t>
  </si>
  <si>
    <t>Energy demand [kWh/year]</t>
  </si>
  <si>
    <t>Energy input from National grid [kWh/year]</t>
  </si>
  <si>
    <t>Appliances demand #1</t>
  </si>
  <si>
    <t>Appliances demand #2</t>
  </si>
  <si>
    <t>Appliances demand #3</t>
  </si>
  <si>
    <t>Appliances demand #4</t>
  </si>
  <si>
    <t>Appliances demand #5</t>
  </si>
  <si>
    <t>Appliances demand #6</t>
  </si>
  <si>
    <t>Appliances demand #7</t>
  </si>
  <si>
    <t>Appliances demand #8</t>
  </si>
  <si>
    <t>Appliances demand #9</t>
  </si>
  <si>
    <t>Appliances demand #10</t>
  </si>
  <si>
    <t>Appliances demand #11</t>
  </si>
  <si>
    <t>Appliances demand #12</t>
  </si>
  <si>
    <t>Appliances demand #13</t>
  </si>
  <si>
    <t>Appliances demand #14</t>
  </si>
  <si>
    <t>Appliances demand #15</t>
  </si>
  <si>
    <t>Appliances demand #16</t>
  </si>
  <si>
    <t>Appliances demand #17</t>
  </si>
  <si>
    <t>Appliances demand #18</t>
  </si>
  <si>
    <t>Appliances demand #19</t>
  </si>
  <si>
    <t>Appliances demand #20</t>
  </si>
  <si>
    <t>Appliances demand #21</t>
  </si>
  <si>
    <t>Appliances demand #22</t>
  </si>
  <si>
    <t>Appliances demand #23</t>
  </si>
  <si>
    <t>Appliances demand #24</t>
  </si>
  <si>
    <t>Appliances demand #25</t>
  </si>
  <si>
    <t>Appliances demand #26</t>
  </si>
  <si>
    <t>Appliances demand #27</t>
  </si>
  <si>
    <t>Appliances demand #28</t>
  </si>
  <si>
    <t>Appliances demand #29</t>
  </si>
  <si>
    <t>Appliances demand #30</t>
  </si>
  <si>
    <t>Appliances demand #31</t>
  </si>
  <si>
    <t>Appliances demand #32</t>
  </si>
  <si>
    <t>Appliances demand #33</t>
  </si>
  <si>
    <t>Appliances demand #34</t>
  </si>
  <si>
    <t>Appliances demand #35</t>
  </si>
  <si>
    <t>Appliances demand #36</t>
  </si>
  <si>
    <t>Appliances demand #37</t>
  </si>
  <si>
    <t>Appliances demand #38</t>
  </si>
  <si>
    <t>Appliances demand #39</t>
  </si>
  <si>
    <t>Appliances demand #40</t>
  </si>
  <si>
    <t>Appliances demand #41</t>
  </si>
  <si>
    <t>Appliances demand #42</t>
  </si>
  <si>
    <t>Appliances demand #43</t>
  </si>
  <si>
    <t>Appliances demand #44</t>
  </si>
  <si>
    <t>Appliances demand #45</t>
  </si>
  <si>
    <t>Appliances demand #46</t>
  </si>
  <si>
    <t>Appliances demand #47</t>
  </si>
  <si>
    <t>Appliances demand #48</t>
  </si>
  <si>
    <t>Appliances demand #49</t>
  </si>
  <si>
    <t>Appliances demand #50</t>
  </si>
  <si>
    <t>Appliances demand #51</t>
  </si>
  <si>
    <t>Appliances demand #52</t>
  </si>
  <si>
    <t>Appliances demand #53</t>
  </si>
  <si>
    <t>Appliances demand #54</t>
  </si>
  <si>
    <t>Appliances demand #55</t>
  </si>
  <si>
    <t>Appliances demand #56</t>
  </si>
  <si>
    <t>Appliances demand #57</t>
  </si>
  <si>
    <t>Appliances demand #58</t>
  </si>
  <si>
    <t>Appliances demand #59</t>
  </si>
  <si>
    <t>Appliances demand #60</t>
  </si>
  <si>
    <t>Appliances demand #61</t>
  </si>
  <si>
    <t>Appliances demand #62</t>
  </si>
  <si>
    <t>Appliances demand #63</t>
  </si>
  <si>
    <t>Appliances demand #64</t>
  </si>
  <si>
    <t>Appliances demand #65</t>
  </si>
  <si>
    <t>Appliances demand #66</t>
  </si>
  <si>
    <t>Appliances demand #67</t>
  </si>
  <si>
    <t>Appliances demand #68</t>
  </si>
  <si>
    <t>Appliances demand #69</t>
  </si>
  <si>
    <t>Appliances demand #70</t>
  </si>
  <si>
    <t>Appliances demand #71</t>
  </si>
  <si>
    <t>Appliances demand #72</t>
  </si>
  <si>
    <t>Appliances demand #73</t>
  </si>
  <si>
    <t>Appliances demand #74</t>
  </si>
  <si>
    <t>Appliances demand #75</t>
  </si>
  <si>
    <t>Appliances demand #76</t>
  </si>
  <si>
    <t>Appliances demand #77</t>
  </si>
  <si>
    <t>Appliances demand #78</t>
  </si>
  <si>
    <t>Appliances demand #79</t>
  </si>
  <si>
    <t>Appliances demand #80</t>
  </si>
  <si>
    <t>Appliances demand #81</t>
  </si>
  <si>
    <t>Appliances demand #82</t>
  </si>
  <si>
    <t>Appliances demand #83</t>
  </si>
  <si>
    <t>Appliances demand #84</t>
  </si>
  <si>
    <t>Appliances demand #85</t>
  </si>
  <si>
    <t>Appliances demand #86</t>
  </si>
  <si>
    <t>Appliances demand #87</t>
  </si>
  <si>
    <t>Appliances demand #88</t>
  </si>
  <si>
    <t>Appliances demand #89</t>
  </si>
  <si>
    <t>Appliances demand #90</t>
  </si>
  <si>
    <t>Appliances demand #91</t>
  </si>
  <si>
    <t>Appliances demand #92</t>
  </si>
  <si>
    <t>Appliances demand #93</t>
  </si>
  <si>
    <t>Appliances demand #94</t>
  </si>
  <si>
    <t>Appliances demand #95</t>
  </si>
  <si>
    <t>Appliances demand #96</t>
  </si>
  <si>
    <t>Appliances demand #97</t>
  </si>
  <si>
    <t>Appliances demand #98</t>
  </si>
  <si>
    <t>Appliances demand #99</t>
  </si>
  <si>
    <t>Appliances demand #100</t>
  </si>
  <si>
    <t>Appliances demand #101</t>
  </si>
  <si>
    <t>Appliances demand #102</t>
  </si>
  <si>
    <t>Appliances demand #103</t>
  </si>
  <si>
    <t>Appliances demand #104</t>
  </si>
  <si>
    <t>Appliances demand #105</t>
  </si>
  <si>
    <t>Appliances demand #106</t>
  </si>
  <si>
    <t>Appliances demand #107</t>
  </si>
  <si>
    <t>Appliances demand #108</t>
  </si>
  <si>
    <t>Appliances demand #109</t>
  </si>
  <si>
    <t>Appliances demand #110</t>
  </si>
  <si>
    <t>Appliances demand #111</t>
  </si>
  <si>
    <t>Appliances demand #112</t>
  </si>
  <si>
    <t>Appliances demand #113</t>
  </si>
  <si>
    <t>Appliances demand #114</t>
  </si>
  <si>
    <t>Appliances demand #115</t>
  </si>
  <si>
    <t>Appliances demand #116</t>
  </si>
  <si>
    <t>Appliances demand #117</t>
  </si>
  <si>
    <t>Appliances demand #118</t>
  </si>
  <si>
    <t>Appliances demand #119</t>
  </si>
  <si>
    <t>Appliances demand #120</t>
  </si>
  <si>
    <t>Appliances demand #121</t>
  </si>
  <si>
    <t>Appliances demand #122</t>
  </si>
  <si>
    <t>Appliances demand #123</t>
  </si>
  <si>
    <t>Appliances demand #124</t>
  </si>
  <si>
    <t>Appliances demand #125</t>
  </si>
  <si>
    <t>Appliances demand #126</t>
  </si>
  <si>
    <t>Appliances demand #127</t>
  </si>
  <si>
    <t>Appliances demand #128</t>
  </si>
  <si>
    <t>Appliances demand #129</t>
  </si>
  <si>
    <t>Appliances demand #130</t>
  </si>
  <si>
    <t>Appliances demand #131</t>
  </si>
  <si>
    <t>Appliances demand #132</t>
  </si>
  <si>
    <t>Appliances demand #133</t>
  </si>
  <si>
    <t>Appliances demand #134</t>
  </si>
  <si>
    <t>Appliances demand #135</t>
  </si>
  <si>
    <t>Appliances demand #136</t>
  </si>
  <si>
    <t>Appliances demand #137</t>
  </si>
  <si>
    <t>Appliances demand #138</t>
  </si>
  <si>
    <t>Appliances demand #139</t>
  </si>
  <si>
    <t>Appliances demand #140</t>
  </si>
  <si>
    <t>Appliances demand #141</t>
  </si>
  <si>
    <t>Appliances demand #142</t>
  </si>
  <si>
    <t>Appliances demand #143</t>
  </si>
  <si>
    <t>Appliances demand #144</t>
  </si>
  <si>
    <t>Appliances demand #145</t>
  </si>
  <si>
    <t>Appliances demand #146</t>
  </si>
  <si>
    <t>Appliances demand #147</t>
  </si>
  <si>
    <t>Appliances demand #148</t>
  </si>
  <si>
    <t>Appliances demand #149</t>
  </si>
  <si>
    <t>Appliances demand #150</t>
  </si>
  <si>
    <t>Appliances demand #151</t>
  </si>
  <si>
    <t>Appliances demand #152</t>
  </si>
  <si>
    <t>Appliances demand #153</t>
  </si>
  <si>
    <t>Appliances demand #154</t>
  </si>
  <si>
    <t>Appliances demand #155</t>
  </si>
  <si>
    <t>Appliances demand #156</t>
  </si>
  <si>
    <t>Appliances demand #157</t>
  </si>
  <si>
    <t>Appliances demand #158</t>
  </si>
  <si>
    <t>Appliances demand #159</t>
  </si>
  <si>
    <t>Appliances demand #160</t>
  </si>
  <si>
    <t>Appliances demand #161</t>
  </si>
  <si>
    <t>Appliances demand #162</t>
  </si>
  <si>
    <t>Appliances demand #163</t>
  </si>
  <si>
    <t>Appliances demand #164</t>
  </si>
  <si>
    <t>Appliances demand #165</t>
  </si>
  <si>
    <t>Appliances demand #166</t>
  </si>
  <si>
    <t>Appliances demand #167</t>
  </si>
  <si>
    <t>Appliances demand #168</t>
  </si>
  <si>
    <t>Appliances demand #169</t>
  </si>
  <si>
    <t>Appliances demand #170</t>
  </si>
  <si>
    <t>Appliances demand #171</t>
  </si>
  <si>
    <t>Appliances demand #172</t>
  </si>
  <si>
    <t>Appliances demand #173</t>
  </si>
  <si>
    <t>Appliances demand #174</t>
  </si>
  <si>
    <t>Appliances demand #175</t>
  </si>
  <si>
    <t>Appliances demand #176</t>
  </si>
  <si>
    <t>Appliances demand #177</t>
  </si>
  <si>
    <t>Appliances demand #178</t>
  </si>
  <si>
    <t>Appliances demand #179</t>
  </si>
  <si>
    <t>Appliances demand #180</t>
  </si>
  <si>
    <t>Appliances demand #181</t>
  </si>
  <si>
    <t>Appliances demand #182</t>
  </si>
  <si>
    <t>Appliances demand #183</t>
  </si>
  <si>
    <t>Appliances demand #184</t>
  </si>
  <si>
    <t>Appliances demand #185</t>
  </si>
  <si>
    <t>Appliances demand #186</t>
  </si>
  <si>
    <t>Appliances demand #187</t>
  </si>
  <si>
    <t>Appliances demand #188</t>
  </si>
  <si>
    <t>Appliances demand #189</t>
  </si>
  <si>
    <t>Appliances demand #190</t>
  </si>
  <si>
    <t>Appliances demand #191</t>
  </si>
  <si>
    <t>Appliances demand #192</t>
  </si>
  <si>
    <t>Appliances demand #193</t>
  </si>
  <si>
    <t>Appliances demand #194</t>
  </si>
  <si>
    <t>Appliances demand #195</t>
  </si>
  <si>
    <t>Appliances demand #196</t>
  </si>
  <si>
    <t>Appliances demand #197</t>
  </si>
  <si>
    <t>Appliances demand #198</t>
  </si>
  <si>
    <t>Appliances demand #199</t>
  </si>
  <si>
    <t>Appliances demand #200</t>
  </si>
  <si>
    <t>Appliances demand #201</t>
  </si>
  <si>
    <t>Appliances demand #202</t>
  </si>
  <si>
    <t>Appliances demand #203</t>
  </si>
  <si>
    <t>Appliances demand #204</t>
  </si>
  <si>
    <t>Appliances demand #205</t>
  </si>
  <si>
    <t>Appliances demand #206</t>
  </si>
  <si>
    <t>Appliances demand #207</t>
  </si>
  <si>
    <t>Appliances demand #208</t>
  </si>
  <si>
    <t>Appliances demand #209</t>
  </si>
  <si>
    <t>Appliances demand #210</t>
  </si>
  <si>
    <t>Appliances demand #211</t>
  </si>
  <si>
    <t>Appliances demand #212</t>
  </si>
  <si>
    <t>Appliances demand #213</t>
  </si>
  <si>
    <t>Appliances demand #214</t>
  </si>
  <si>
    <t>Appliances demand #215</t>
  </si>
  <si>
    <t>Appliances demand #216</t>
  </si>
  <si>
    <t>Appliances demand #217</t>
  </si>
  <si>
    <t>Appliances demand #218</t>
  </si>
  <si>
    <t>Appliances demand #219</t>
  </si>
  <si>
    <t>Appliances demand #220</t>
  </si>
  <si>
    <t>Appliances demand #221</t>
  </si>
  <si>
    <t>Appliances demand #222</t>
  </si>
  <si>
    <t>Appliances demand #223</t>
  </si>
  <si>
    <t>Appliances demand #224</t>
  </si>
  <si>
    <t>Appliances demand #225</t>
  </si>
  <si>
    <t>Appliances demand #226</t>
  </si>
  <si>
    <t>Appliances demand #227</t>
  </si>
  <si>
    <t>Appliances demand #228</t>
  </si>
  <si>
    <t>Appliances demand #229</t>
  </si>
  <si>
    <t>Appliances demand #230</t>
  </si>
  <si>
    <t>Appliances demand #231</t>
  </si>
  <si>
    <t>Appliances demand #232</t>
  </si>
  <si>
    <t>Appliances demand #233</t>
  </si>
  <si>
    <t>Appliances demand #234</t>
  </si>
  <si>
    <t>Appliances demand #235</t>
  </si>
  <si>
    <t>Appliances demand #236</t>
  </si>
  <si>
    <t>Appliances demand #237</t>
  </si>
  <si>
    <t>Appliances demand #238</t>
  </si>
  <si>
    <t>Appliances demand #239</t>
  </si>
  <si>
    <t>Appliances demand #240</t>
  </si>
  <si>
    <t>Appliances demand #241</t>
  </si>
  <si>
    <t>Appliances demand #242</t>
  </si>
  <si>
    <t>Appliances demand #243</t>
  </si>
  <si>
    <t>Appliances demand #244</t>
  </si>
  <si>
    <t>Appliances demand #245</t>
  </si>
  <si>
    <t>Appliances demand #246</t>
  </si>
  <si>
    <t>Appliances demand #247</t>
  </si>
  <si>
    <t>Appliances demand #248</t>
  </si>
  <si>
    <t>Appliances demand #249</t>
  </si>
  <si>
    <t>Appliances demand #250</t>
  </si>
  <si>
    <t>Appliances demand #251</t>
  </si>
  <si>
    <t>Appliances demand #252</t>
  </si>
  <si>
    <t>Appliances demand #253</t>
  </si>
  <si>
    <t>Appliances demand #254</t>
  </si>
  <si>
    <t>Appliances demand #255</t>
  </si>
  <si>
    <t>Appliances demand #256</t>
  </si>
  <si>
    <t>Appliances demand #257</t>
  </si>
  <si>
    <t>Appliances demand #258</t>
  </si>
  <si>
    <t>Appliances demand #259</t>
  </si>
  <si>
    <t>Appliances demand #260</t>
  </si>
  <si>
    <t>Appliances demand #261</t>
  </si>
  <si>
    <t>Appliances demand #262</t>
  </si>
  <si>
    <t>Appliances demand #263</t>
  </si>
  <si>
    <t>Appliances demand #264</t>
  </si>
  <si>
    <t>Appliances demand #265</t>
  </si>
  <si>
    <t>Appliances demand #266</t>
  </si>
  <si>
    <t>Appliances demand #267</t>
  </si>
  <si>
    <t>Appliances demand #268</t>
  </si>
  <si>
    <t>Appliances demand #269</t>
  </si>
  <si>
    <t>Appliances demand #270</t>
  </si>
  <si>
    <t>Appliances demand #271</t>
  </si>
  <si>
    <t>Appliances demand #272</t>
  </si>
  <si>
    <t>Appliances demand #273</t>
  </si>
  <si>
    <t>Appliances demand #274</t>
  </si>
  <si>
    <t>Appliances demand #275</t>
  </si>
  <si>
    <t>Appliances demand #276</t>
  </si>
  <si>
    <t>Appliances demand #277</t>
  </si>
  <si>
    <t>Appliances demand #278</t>
  </si>
  <si>
    <t>Appliances demand #279</t>
  </si>
  <si>
    <t>Appliances demand #280</t>
  </si>
  <si>
    <t>Appliances demand #281</t>
  </si>
  <si>
    <t>Appliances demand #282</t>
  </si>
  <si>
    <t>Appliances demand #283</t>
  </si>
  <si>
    <t>Appliances demand #284</t>
  </si>
  <si>
    <t>Appliances demand #285</t>
  </si>
  <si>
    <t>Appliances demand #286</t>
  </si>
  <si>
    <t>Appliances demand #287</t>
  </si>
  <si>
    <t>Appliances demand #288</t>
  </si>
  <si>
    <t>Appliances demand #289</t>
  </si>
  <si>
    <t>Appliances demand #290</t>
  </si>
  <si>
    <t>Appliances demand #291</t>
  </si>
  <si>
    <t>Appliances demand #292</t>
  </si>
  <si>
    <t>Appliances demand #293</t>
  </si>
  <si>
    <t>Appliances demand #294</t>
  </si>
  <si>
    <t>Appliances demand #295</t>
  </si>
  <si>
    <t>Appliances demand #296</t>
  </si>
  <si>
    <t>Appliances demand #297</t>
  </si>
  <si>
    <t>Appliances demand #298</t>
  </si>
  <si>
    <t>Appliances demand #299</t>
  </si>
  <si>
    <t>Appliances demand #300</t>
  </si>
  <si>
    <t>Appliances demand #301</t>
  </si>
  <si>
    <t>Appliances demand #302</t>
  </si>
  <si>
    <t>Appliances demand #303</t>
  </si>
  <si>
    <t>Appliances demand #304</t>
  </si>
  <si>
    <t>Appliances demand #305</t>
  </si>
  <si>
    <t>Appliances demand #306</t>
  </si>
  <si>
    <t>Appliances demand #307</t>
  </si>
  <si>
    <t>Appliances demand #308</t>
  </si>
  <si>
    <t>Appliances demand #309</t>
  </si>
  <si>
    <t>Appliances demand #310</t>
  </si>
  <si>
    <t>Appliances demand #311</t>
  </si>
  <si>
    <t>Appliances demand #312</t>
  </si>
  <si>
    <t>Appliances demand #313</t>
  </si>
  <si>
    <t>Appliances demand #314</t>
  </si>
  <si>
    <t>Appliances demand #315</t>
  </si>
  <si>
    <t>Appliances demand #316</t>
  </si>
  <si>
    <t>Appliances demand #317</t>
  </si>
  <si>
    <t>Appliances demand #318</t>
  </si>
  <si>
    <t>Appliances demand #319</t>
  </si>
  <si>
    <t>Appliances demand #320</t>
  </si>
  <si>
    <t>Appliances demand #321</t>
  </si>
  <si>
    <t>Appliances demand #322</t>
  </si>
  <si>
    <t>Appliances demand #323</t>
  </si>
  <si>
    <t>Appliances demand #324</t>
  </si>
  <si>
    <t>Appliances demand #325</t>
  </si>
  <si>
    <t>Appliances demand #326</t>
  </si>
  <si>
    <t>Appliances demand #327</t>
  </si>
  <si>
    <t>Appliances demand #328</t>
  </si>
  <si>
    <t>Appliances demand #329</t>
  </si>
  <si>
    <t>Appliances demand #330</t>
  </si>
  <si>
    <t>Appliances demand #331</t>
  </si>
  <si>
    <t>Appliances demand #332</t>
  </si>
  <si>
    <t>Appliances demand #333</t>
  </si>
  <si>
    <t>Appliances demand #334</t>
  </si>
  <si>
    <t>Appliances demand #335</t>
  </si>
  <si>
    <t>Appliances demand #336</t>
  </si>
  <si>
    <t>Appliances demand #337</t>
  </si>
  <si>
    <t>Appliances demand #338</t>
  </si>
  <si>
    <t>Appliances demand #339</t>
  </si>
  <si>
    <t>Appliances demand #340</t>
  </si>
  <si>
    <t>Appliances demand #341</t>
  </si>
  <si>
    <t>Appliances demand #342</t>
  </si>
  <si>
    <t>Appliances demand #343</t>
  </si>
  <si>
    <t>Appliances demand #344</t>
  </si>
  <si>
    <t>Appliances demand #345</t>
  </si>
  <si>
    <t>Appliances demand #346</t>
  </si>
  <si>
    <t>Appliances demand #347</t>
  </si>
  <si>
    <t>Appliances demand #348</t>
  </si>
  <si>
    <t>Appliances demand #349</t>
  </si>
  <si>
    <t>Appliances demand #350</t>
  </si>
  <si>
    <t>Appliances demand #351</t>
  </si>
  <si>
    <t>Appliances demand #352</t>
  </si>
  <si>
    <t>Appliances demand #353</t>
  </si>
  <si>
    <t>Appliances demand #354</t>
  </si>
  <si>
    <t>Appliances demand #355</t>
  </si>
  <si>
    <t>Appliances demand #356</t>
  </si>
  <si>
    <t>Appliances demand #357</t>
  </si>
  <si>
    <t>Appliances demand #358</t>
  </si>
  <si>
    <t>Appliances demand #359</t>
  </si>
  <si>
    <t>Appliances demand #360</t>
  </si>
  <si>
    <t>Appliances demand #361</t>
  </si>
  <si>
    <t>Appliances demand #362</t>
  </si>
  <si>
    <t>Appliances demand #363</t>
  </si>
  <si>
    <t>Appliances demand #364</t>
  </si>
  <si>
    <t>Appliances demand #365</t>
  </si>
  <si>
    <t>Appliances demand #366</t>
  </si>
  <si>
    <t>Appliances demand #367</t>
  </si>
  <si>
    <t>Appliances demand #368</t>
  </si>
  <si>
    <t>Appliances demand #369</t>
  </si>
  <si>
    <t>Appliances demand #370</t>
  </si>
  <si>
    <t>Appliances demand #371</t>
  </si>
  <si>
    <t>Appliances demand #372</t>
  </si>
  <si>
    <t>Appliances demand #373</t>
  </si>
  <si>
    <t>Appliances demand #374</t>
  </si>
  <si>
    <t>Appliances demand #375</t>
  </si>
  <si>
    <t>Appliances demand #376</t>
  </si>
  <si>
    <t>Appliances demand #377</t>
  </si>
  <si>
    <t>Appliances demand #378</t>
  </si>
  <si>
    <t>Appliances demand #379</t>
  </si>
  <si>
    <t>Appliances demand #380</t>
  </si>
  <si>
    <t>Appliances demand #381</t>
  </si>
  <si>
    <t>Appliances demand #382</t>
  </si>
  <si>
    <t>Appliances demand #383</t>
  </si>
  <si>
    <t>Appliances demand #384</t>
  </si>
  <si>
    <t>Appliances demand #385</t>
  </si>
  <si>
    <t>Appliances demand #386</t>
  </si>
  <si>
    <t>Appliances demand #387</t>
  </si>
  <si>
    <t>Appliances demand #388</t>
  </si>
  <si>
    <t>Appliances demand #389</t>
  </si>
  <si>
    <t>Appliances demand #390</t>
  </si>
  <si>
    <t>Appliances demand #391</t>
  </si>
  <si>
    <t>Appliances demand #392</t>
  </si>
  <si>
    <t>Appliances demand #393</t>
  </si>
  <si>
    <t>Appliances demand #394</t>
  </si>
  <si>
    <t>Appliances demand #395</t>
  </si>
  <si>
    <t>Appliances demand #396</t>
  </si>
  <si>
    <t>Appliances demand #397</t>
  </si>
  <si>
    <t>Appliances demand #398</t>
  </si>
  <si>
    <t>Appliances demand #399</t>
  </si>
  <si>
    <t>Appliances demand #400</t>
  </si>
  <si>
    <t>Appliances demand #401</t>
  </si>
  <si>
    <t>Appliances demand #402</t>
  </si>
  <si>
    <t>Appliances demand #403</t>
  </si>
  <si>
    <t>Appliances demand #404</t>
  </si>
  <si>
    <t>Appliances demand #405</t>
  </si>
  <si>
    <t>Appliances demand #406</t>
  </si>
  <si>
    <t>Appliances demand #407</t>
  </si>
  <si>
    <t>Appliances demand #408</t>
  </si>
  <si>
    <t>Appliances demand #409</t>
  </si>
  <si>
    <t>Appliances demand #410</t>
  </si>
  <si>
    <t>Appliances demand #411</t>
  </si>
  <si>
    <t>Appliances demand #412</t>
  </si>
  <si>
    <t>Appliances demand #413</t>
  </si>
  <si>
    <t>Appliances demand #414</t>
  </si>
  <si>
    <t>Appliances demand #415</t>
  </si>
  <si>
    <t>Appliances demand #416</t>
  </si>
  <si>
    <t>Appliances demand #417</t>
  </si>
  <si>
    <t>Appliances demand #418</t>
  </si>
  <si>
    <t>Appliances demand #419</t>
  </si>
  <si>
    <t>Appliances demand #420</t>
  </si>
  <si>
    <t>Appliances demand #421</t>
  </si>
  <si>
    <t>Appliances demand #422</t>
  </si>
  <si>
    <t>Appliances demand #423</t>
  </si>
  <si>
    <t>Appliances demand #424</t>
  </si>
  <si>
    <t>Appliances demand #425</t>
  </si>
  <si>
    <t>Appliances demand #426</t>
  </si>
  <si>
    <t>Appliances demand #427</t>
  </si>
  <si>
    <t>Appliances demand #428</t>
  </si>
  <si>
    <t>Appliances demand #429</t>
  </si>
  <si>
    <t>Appliances demand #430</t>
  </si>
  <si>
    <t>Appliances demand #431</t>
  </si>
  <si>
    <t>Appliances demand #432</t>
  </si>
  <si>
    <t>Appliances demand #433</t>
  </si>
  <si>
    <t>Appliances demand #434</t>
  </si>
  <si>
    <t>Appliances demand #435</t>
  </si>
  <si>
    <t>Appliances demand #436</t>
  </si>
  <si>
    <t>Appliances demand #437</t>
  </si>
  <si>
    <t>Appliances demand #438</t>
  </si>
  <si>
    <t>Appliances demand #439</t>
  </si>
  <si>
    <t>Appliances demand #440</t>
  </si>
  <si>
    <t>Appliances demand #441</t>
  </si>
  <si>
    <t>Appliances demand #442</t>
  </si>
  <si>
    <t>Appliances demand #443</t>
  </si>
  <si>
    <t>Appliances demand #444</t>
  </si>
  <si>
    <t>Appliances demand #445</t>
  </si>
  <si>
    <t>Appliances demand #446</t>
  </si>
  <si>
    <t>Appliances demand #447</t>
  </si>
  <si>
    <t>Appliances demand #448</t>
  </si>
  <si>
    <t>Appliances demand #449</t>
  </si>
  <si>
    <t>Appliances demand #450</t>
  </si>
  <si>
    <t>Appliances demand #451</t>
  </si>
  <si>
    <t>Appliances demand #452</t>
  </si>
  <si>
    <t>Appliances demand #453</t>
  </si>
  <si>
    <t>Appliances demand #454</t>
  </si>
  <si>
    <t>Appliances demand #455</t>
  </si>
  <si>
    <t>Appliances demand #456</t>
  </si>
  <si>
    <t>Appliances demand #457</t>
  </si>
  <si>
    <t>Appliances demand #458</t>
  </si>
  <si>
    <t>Appliances demand #459</t>
  </si>
  <si>
    <t>Appliances demand #460</t>
  </si>
  <si>
    <t>Appliances demand #461</t>
  </si>
  <si>
    <t>Appliances demand #462</t>
  </si>
  <si>
    <t>Appliances demand #463</t>
  </si>
  <si>
    <t>Appliances demand #464</t>
  </si>
  <si>
    <t>Appliances demand #465</t>
  </si>
  <si>
    <t>Appliances demand #466</t>
  </si>
  <si>
    <t>Appliances demand #467</t>
  </si>
  <si>
    <t>Appliances demand #468</t>
  </si>
  <si>
    <t>Appliances demand #469</t>
  </si>
  <si>
    <t>Appliances demand #470</t>
  </si>
  <si>
    <t>Appliances demand #471</t>
  </si>
  <si>
    <t>Appliances demand #472</t>
  </si>
  <si>
    <t>Appliances demand #473</t>
  </si>
  <si>
    <t>Appliances demand #474</t>
  </si>
  <si>
    <t>Appliances demand #475</t>
  </si>
  <si>
    <t>Insert study period in years</t>
  </si>
  <si>
    <t>Heating Energy Systems</t>
  </si>
  <si>
    <t>Cooling Energy Systems</t>
  </si>
  <si>
    <t>Efficiency (between 0 and 1)</t>
  </si>
  <si>
    <t>Cooling, Appliances</t>
  </si>
  <si>
    <t>Energy source (Gas-blend, LPG, Biomethane, Hydrogen)</t>
  </si>
  <si>
    <t>Boiler #1</t>
  </si>
  <si>
    <t>Boiler #2</t>
  </si>
  <si>
    <t>Boiler #3</t>
  </si>
  <si>
    <t>Boiler #4</t>
  </si>
  <si>
    <t>Boiler #5</t>
  </si>
  <si>
    <t>Boiler #6</t>
  </si>
  <si>
    <t>Boiler #7</t>
  </si>
  <si>
    <t>Boiler #8</t>
  </si>
  <si>
    <t>Boiler #9</t>
  </si>
  <si>
    <t>Boiler #10</t>
  </si>
  <si>
    <t>Boiler #11</t>
  </si>
  <si>
    <t>Boiler #12</t>
  </si>
  <si>
    <t>Boiler #13</t>
  </si>
  <si>
    <t>Boiler #14</t>
  </si>
  <si>
    <t>Boiler #15</t>
  </si>
  <si>
    <t>Boiler #16</t>
  </si>
  <si>
    <t>Boiler #17</t>
  </si>
  <si>
    <t>Boiler #18</t>
  </si>
  <si>
    <t>Boiler #19</t>
  </si>
  <si>
    <t>Boiler #20</t>
  </si>
  <si>
    <t>Boiler #21</t>
  </si>
  <si>
    <t>Boiler #22</t>
  </si>
  <si>
    <t>Boiler #23</t>
  </si>
  <si>
    <t>Boiler #24</t>
  </si>
  <si>
    <t>Boiler #25</t>
  </si>
  <si>
    <t>Boiler #26</t>
  </si>
  <si>
    <t>Boiler #27</t>
  </si>
  <si>
    <t>Boiler #28</t>
  </si>
  <si>
    <t>Boiler #29</t>
  </si>
  <si>
    <t>Boiler #30</t>
  </si>
  <si>
    <t>Boiler #31</t>
  </si>
  <si>
    <t>Boiler #32</t>
  </si>
  <si>
    <t>Boiler #33</t>
  </si>
  <si>
    <t>Boiler #34</t>
  </si>
  <si>
    <t>Boiler #35</t>
  </si>
  <si>
    <t>Boiler #36</t>
  </si>
  <si>
    <t>Boiler #37</t>
  </si>
  <si>
    <t>Boiler #38</t>
  </si>
  <si>
    <t>Boiler #39</t>
  </si>
  <si>
    <t>Boiler #40</t>
  </si>
  <si>
    <t>Boiler #41</t>
  </si>
  <si>
    <t>Boiler #42</t>
  </si>
  <si>
    <t>Boiler #43</t>
  </si>
  <si>
    <t>Boiler #44</t>
  </si>
  <si>
    <t>Boiler #45</t>
  </si>
  <si>
    <t>Boiler #46</t>
  </si>
  <si>
    <t>Boiler #47</t>
  </si>
  <si>
    <t>Boiler #48</t>
  </si>
  <si>
    <t>Boiler #49</t>
  </si>
  <si>
    <t>Boiler #50</t>
  </si>
  <si>
    <t>Boiler #51</t>
  </si>
  <si>
    <t>Boiler #52</t>
  </si>
  <si>
    <t>Boiler #53</t>
  </si>
  <si>
    <t>Boiler #54</t>
  </si>
  <si>
    <t>Boiler #55</t>
  </si>
  <si>
    <t>Boiler #56</t>
  </si>
  <si>
    <t>Boiler #57</t>
  </si>
  <si>
    <t>Boiler #58</t>
  </si>
  <si>
    <t>Boiler #59</t>
  </si>
  <si>
    <t>Boiler #60</t>
  </si>
  <si>
    <t>Boiler #61</t>
  </si>
  <si>
    <t>Boiler #62</t>
  </si>
  <si>
    <t>Boiler #63</t>
  </si>
  <si>
    <t>Boiler #64</t>
  </si>
  <si>
    <t>Boiler #65</t>
  </si>
  <si>
    <t>Boiler #66</t>
  </si>
  <si>
    <t>Boiler #67</t>
  </si>
  <si>
    <t>Boiler #68</t>
  </si>
  <si>
    <t>Boiler #69</t>
  </si>
  <si>
    <t>Boiler #70</t>
  </si>
  <si>
    <t>Boiler #71</t>
  </si>
  <si>
    <t>Boiler #72</t>
  </si>
  <si>
    <t>Boiler #73</t>
  </si>
  <si>
    <t>Boiler #74</t>
  </si>
  <si>
    <t>Boiler #75</t>
  </si>
  <si>
    <t>Boiler #76</t>
  </si>
  <si>
    <t>Boiler #77</t>
  </si>
  <si>
    <t>Boiler #78</t>
  </si>
  <si>
    <t>Boiler #79</t>
  </si>
  <si>
    <t>Boiler #80</t>
  </si>
  <si>
    <t>Boiler #81</t>
  </si>
  <si>
    <t>Boiler #82</t>
  </si>
  <si>
    <t>Boiler #83</t>
  </si>
  <si>
    <t>Boiler #84</t>
  </si>
  <si>
    <t>Boiler #85</t>
  </si>
  <si>
    <t>Boiler #86</t>
  </si>
  <si>
    <t>Boiler #87</t>
  </si>
  <si>
    <t>Boiler #88</t>
  </si>
  <si>
    <t>Boiler #89</t>
  </si>
  <si>
    <t>Boiler #90</t>
  </si>
  <si>
    <t>Boiler #91</t>
  </si>
  <si>
    <t>Boiler #92</t>
  </si>
  <si>
    <t>Boiler #93</t>
  </si>
  <si>
    <t>Boiler #94</t>
  </si>
  <si>
    <t>Boiler #95</t>
  </si>
  <si>
    <t>Boiler #96</t>
  </si>
  <si>
    <t>Boiler #97</t>
  </si>
  <si>
    <t>Boiler #98</t>
  </si>
  <si>
    <t>Boiler #99</t>
  </si>
  <si>
    <t>Boiler #100</t>
  </si>
  <si>
    <t>Boiler #101</t>
  </si>
  <si>
    <t>Boiler #102</t>
  </si>
  <si>
    <t>Boiler #103</t>
  </si>
  <si>
    <t>Boiler #104</t>
  </si>
  <si>
    <t>Boiler #105</t>
  </si>
  <si>
    <t>Boiler #106</t>
  </si>
  <si>
    <t>Boiler #107</t>
  </si>
  <si>
    <t>Boiler #108</t>
  </si>
  <si>
    <t>Boiler #109</t>
  </si>
  <si>
    <t>Boiler #110</t>
  </si>
  <si>
    <t>Boiler #111</t>
  </si>
  <si>
    <t>Boiler #112</t>
  </si>
  <si>
    <t>Cold source (Groundwater, Surface water, Industrial waste water, Air)</t>
  </si>
  <si>
    <t>Refrigerant gas</t>
  </si>
  <si>
    <t>SCOP</t>
  </si>
  <si>
    <t>Electric Heat Pump #1</t>
  </si>
  <si>
    <t>Electric Heat Pump #2</t>
  </si>
  <si>
    <t>Electric Heat Pump #3</t>
  </si>
  <si>
    <t>Electric Heat Pump #4</t>
  </si>
  <si>
    <t>Electric Heat Pump #5</t>
  </si>
  <si>
    <t>Electric Heat Pump #6</t>
  </si>
  <si>
    <t>Electric Heat Pump #7</t>
  </si>
  <si>
    <t>Electric Heat Pump #8</t>
  </si>
  <si>
    <t>Electric Heat Pump #9</t>
  </si>
  <si>
    <t>Electric Heat Pump #10</t>
  </si>
  <si>
    <t>Electric Heat Pump #11</t>
  </si>
  <si>
    <t>Electric Heat Pump #12</t>
  </si>
  <si>
    <t>Electric Heat Pump #13</t>
  </si>
  <si>
    <t>Electric Heat Pump #14</t>
  </si>
  <si>
    <t>Electric Heat Pump #15</t>
  </si>
  <si>
    <t>Electric Heat Pump #16</t>
  </si>
  <si>
    <t>Electric Heat Pump #17</t>
  </si>
  <si>
    <t>Electric Heat Pump #18</t>
  </si>
  <si>
    <t>Electric Heat Pump #19</t>
  </si>
  <si>
    <t>Electric Heat Pump #20</t>
  </si>
  <si>
    <t>Electric Heat Pump #21</t>
  </si>
  <si>
    <t>Electric Heat Pump #22</t>
  </si>
  <si>
    <t>Electric Heat Pump #23</t>
  </si>
  <si>
    <t>Electric Heat Pump #24</t>
  </si>
  <si>
    <t>Electric Heat Pump #25</t>
  </si>
  <si>
    <t>Electric Heat Pump #26</t>
  </si>
  <si>
    <t>Electric Heat Pump #27</t>
  </si>
  <si>
    <t>Electric Heat Pump #28</t>
  </si>
  <si>
    <t>Electric Heat Pump #29</t>
  </si>
  <si>
    <t>Electric Heat Pump #30</t>
  </si>
  <si>
    <t>Electric Heat Pump #31</t>
  </si>
  <si>
    <t>Electric Heat Pump #32</t>
  </si>
  <si>
    <t>Electric Heat Pump #33</t>
  </si>
  <si>
    <t>Electric Heat Pump #34</t>
  </si>
  <si>
    <t>Electric Heat Pump #35</t>
  </si>
  <si>
    <t>Electric Heat Pump #36</t>
  </si>
  <si>
    <t>Electric Heat Pump #37</t>
  </si>
  <si>
    <t>Electric Heat Pump #38</t>
  </si>
  <si>
    <t>Electric Heat Pump #39</t>
  </si>
  <si>
    <t>Electric Heat Pump #40</t>
  </si>
  <si>
    <t>Electric Heat Pump #41</t>
  </si>
  <si>
    <t>Electric Heat Pump #42</t>
  </si>
  <si>
    <t>Electric Heat Pump #43</t>
  </si>
  <si>
    <t>Electric Heat Pump #44</t>
  </si>
  <si>
    <t>Electric Heat Pump #45</t>
  </si>
  <si>
    <t>Electric Heat Pump #46</t>
  </si>
  <si>
    <t>Electric Heat Pump #47</t>
  </si>
  <si>
    <t>Electric Heat Pump #48</t>
  </si>
  <si>
    <t>Electric Heat Pump #49</t>
  </si>
  <si>
    <t>Electric Heat Pump #50</t>
  </si>
  <si>
    <t>Electric Heat Pump #51</t>
  </si>
  <si>
    <t>Electric Heat Pump #52</t>
  </si>
  <si>
    <t>Electric Heat Pump #53</t>
  </si>
  <si>
    <t>Electric Heat Pump #54</t>
  </si>
  <si>
    <t>Electric Heat Pump #55</t>
  </si>
  <si>
    <t>Electric Heat Pump #56</t>
  </si>
  <si>
    <t>Electric Heat Pump #57</t>
  </si>
  <si>
    <t>Electric Heat Pump #58</t>
  </si>
  <si>
    <t>Electric Heat Pump #59</t>
  </si>
  <si>
    <t>Electric Heat Pump #60</t>
  </si>
  <si>
    <t>Electric Heat Pump #61</t>
  </si>
  <si>
    <t>Electric Heat Pump #62</t>
  </si>
  <si>
    <t>Electric Heat Pump #63</t>
  </si>
  <si>
    <t>Electric Heat Pump #64</t>
  </si>
  <si>
    <t>Electric Heat Pump #65</t>
  </si>
  <si>
    <t>Electric Heat Pump #66</t>
  </si>
  <si>
    <t>Electric Heat Pump #67</t>
  </si>
  <si>
    <t>Electric Heat Pump #68</t>
  </si>
  <si>
    <t>Electric Heat Pump #69</t>
  </si>
  <si>
    <t>Electric Heat Pump #70</t>
  </si>
  <si>
    <t>Electric Heat Pump #71</t>
  </si>
  <si>
    <t>Electric Heat Pump #72</t>
  </si>
  <si>
    <t>Electric Heat Pump #73</t>
  </si>
  <si>
    <t>Electric Heat Pump #74</t>
  </si>
  <si>
    <t>Electric Heat Pump #75</t>
  </si>
  <si>
    <t>Electric Heat Pump #76</t>
  </si>
  <si>
    <t>Electric Heat Pump #77</t>
  </si>
  <si>
    <t>Electric Heat Pump #78</t>
  </si>
  <si>
    <t>Electric Heat Pump #79</t>
  </si>
  <si>
    <t>Electric Heat Pump #80</t>
  </si>
  <si>
    <t>Electric Heat Pump #81</t>
  </si>
  <si>
    <t>Electric Heat Pump #82</t>
  </si>
  <si>
    <t>Electric Heat Pump #83</t>
  </si>
  <si>
    <t>Electric Heat Pump #84</t>
  </si>
  <si>
    <t>Electric Heat Pump #85</t>
  </si>
  <si>
    <t>Electric Heat Pump #86</t>
  </si>
  <si>
    <t>Electric Heat Pump #87</t>
  </si>
  <si>
    <t>Electric Heat Pump #88</t>
  </si>
  <si>
    <t>Electric Heat Pump #89</t>
  </si>
  <si>
    <t>Electric Heat Pump #90</t>
  </si>
  <si>
    <t>Electric Heat Pump #91</t>
  </si>
  <si>
    <t>Electric Heat Pump #92</t>
  </si>
  <si>
    <t>Electric Heat Pump #93</t>
  </si>
  <si>
    <t>Electric Heat Pump #94</t>
  </si>
  <si>
    <t>Electric Heat Pump #95</t>
  </si>
  <si>
    <t>Electric Heat Pump #96</t>
  </si>
  <si>
    <t>Electric Heat Pump #97</t>
  </si>
  <si>
    <t>Electric Heat Pump #98</t>
  </si>
  <si>
    <t>Electric Heat Pump #99</t>
  </si>
  <si>
    <t>Electric Heat Pump #100</t>
  </si>
  <si>
    <t>Electric Heat Pump #101</t>
  </si>
  <si>
    <t>Electric Heat Pump #102</t>
  </si>
  <si>
    <t>Electric Heat Pump #103</t>
  </si>
  <si>
    <t>Electric Heat Pump #104</t>
  </si>
  <si>
    <t>Electric Heat Pump #105</t>
  </si>
  <si>
    <t>Electric Heat Pump #106</t>
  </si>
  <si>
    <t>Electric Heat Pump #107</t>
  </si>
  <si>
    <t>Electric Heat Pump #108</t>
  </si>
  <si>
    <t>Electric Heat Pump #109</t>
  </si>
  <si>
    <t>Electric Heat Pump #110</t>
  </si>
  <si>
    <t>Electric Heat Pump #111</t>
  </si>
  <si>
    <t>Electric Heat Pump #112</t>
  </si>
  <si>
    <t>Electric Heat Pump #113</t>
  </si>
  <si>
    <t>Electric Heat Pump #114</t>
  </si>
  <si>
    <t>Electric Heat Pump #115</t>
  </si>
  <si>
    <t>Electric Heat Pump #116</t>
  </si>
  <si>
    <t>Electric Heat Pump #117</t>
  </si>
  <si>
    <t>Electric Heat Pump #118</t>
  </si>
  <si>
    <t>Electric Heat Pump #119</t>
  </si>
  <si>
    <t>Electric Heat Pump #120</t>
  </si>
  <si>
    <t>Electric Heat Pump #121</t>
  </si>
  <si>
    <t>Electric Heat Pump #122</t>
  </si>
  <si>
    <t>Electric Heat Pump #123</t>
  </si>
  <si>
    <t>Electric Heat Pump #124</t>
  </si>
  <si>
    <t>Electric Heat Pump #125</t>
  </si>
  <si>
    <t>Electric Heat Pump #126</t>
  </si>
  <si>
    <t>Electric Heat Pump #127</t>
  </si>
  <si>
    <t>Electric Heat Pump #128</t>
  </si>
  <si>
    <t>Electric Heat Pump #129</t>
  </si>
  <si>
    <t>Electric Heat Pump #130</t>
  </si>
  <si>
    <t>Electric Heat Pump #131</t>
  </si>
  <si>
    <t>Electric Heat Pump #132</t>
  </si>
  <si>
    <t>Electric Heat Pump #133</t>
  </si>
  <si>
    <t>Electric Heat Pump #134</t>
  </si>
  <si>
    <t>Electric Heat Pump #135</t>
  </si>
  <si>
    <t>Electric Heat Pump #136</t>
  </si>
  <si>
    <t>Electric Heat Pump #137</t>
  </si>
  <si>
    <t>Electric Heat Pump #138</t>
  </si>
  <si>
    <t>Electric Heat Pump #139</t>
  </si>
  <si>
    <t>Electric Heat Pump #140</t>
  </si>
  <si>
    <t>Electric Heat Pump #141</t>
  </si>
  <si>
    <t>Electric Heat Pump #142</t>
  </si>
  <si>
    <t>Electric Heat Pump #143</t>
  </si>
  <si>
    <t>Electric Heat Pump #144</t>
  </si>
  <si>
    <t>Electric Heat Pump #145</t>
  </si>
  <si>
    <t>Electric Heat Pump #146</t>
  </si>
  <si>
    <t>Electric Heat Pump #147</t>
  </si>
  <si>
    <t>Electric Heat Pump #148</t>
  </si>
  <si>
    <t>Electric Heat Pump #149</t>
  </si>
  <si>
    <t>Electric Heat Pump #150</t>
  </si>
  <si>
    <t>Electric Heat Pump #151</t>
  </si>
  <si>
    <t>Electric Heat Pump #152</t>
  </si>
  <si>
    <t>Electric Heat Pump #153</t>
  </si>
  <si>
    <t>Electric Heat Pump #154</t>
  </si>
  <si>
    <t>Electric Heat Pump #155</t>
  </si>
  <si>
    <t>Electric Heat Pump #156</t>
  </si>
  <si>
    <t>Electric Heat Pump #157</t>
  </si>
  <si>
    <t>Electric Heat Pump #158</t>
  </si>
  <si>
    <t>Electric Heat Pump #159</t>
  </si>
  <si>
    <t>Electric Heat Pump #160</t>
  </si>
  <si>
    <t>Electric Heat Pump #161</t>
  </si>
  <si>
    <t>Electric Heat Pump #162</t>
  </si>
  <si>
    <t>Electric Heat Pump #163</t>
  </si>
  <si>
    <t>Electric Heat Pump #164</t>
  </si>
  <si>
    <t>Electric Heat Pump #165</t>
  </si>
  <si>
    <t>Electric Heat Pump #166</t>
  </si>
  <si>
    <t>Electric Heat Pump #167</t>
  </si>
  <si>
    <t>Electric Heat Pump #168</t>
  </si>
  <si>
    <t>Electric Heat Pump #169</t>
  </si>
  <si>
    <t>Electric Heat Pump #170</t>
  </si>
  <si>
    <t>Electric Heat Pump #171</t>
  </si>
  <si>
    <t>Electric Heat Pump #172</t>
  </si>
  <si>
    <t>Electric Heat Pump #173</t>
  </si>
  <si>
    <t>Electric Heat Pump #174</t>
  </si>
  <si>
    <t>Electric Heat Pump #175</t>
  </si>
  <si>
    <t>Electric Heat Pump #176</t>
  </si>
  <si>
    <t>Electric Heat Pump #177</t>
  </si>
  <si>
    <t>Electric Heat Pump #178</t>
  </si>
  <si>
    <t>Electric Heat Pump #179</t>
  </si>
  <si>
    <t>Electric Heat Pump #180</t>
  </si>
  <si>
    <t>Electric Heat Pump #181</t>
  </si>
  <si>
    <t>Electric Heat Pump #182</t>
  </si>
  <si>
    <t>Electric Heat Pump #183</t>
  </si>
  <si>
    <t>Electric Heat Pump #184</t>
  </si>
  <si>
    <t>Electric Heat Pump #185</t>
  </si>
  <si>
    <t>Electric Heat Pump #186</t>
  </si>
  <si>
    <t>Electric Heat Pump #187</t>
  </si>
  <si>
    <t>Electric Heat Pump #188</t>
  </si>
  <si>
    <t>Electric Heat Pump #189</t>
  </si>
  <si>
    <t>Electric Heat Pump #190</t>
  </si>
  <si>
    <t>Electric Heat Pump #191</t>
  </si>
  <si>
    <t>Electric Heat Pump #192</t>
  </si>
  <si>
    <t>Electric Heat Pump #193</t>
  </si>
  <si>
    <t>Electric Heat Pump #194</t>
  </si>
  <si>
    <t>Electric Heat Pump #195</t>
  </si>
  <si>
    <t>Electric Heat Pump #196</t>
  </si>
  <si>
    <t>Electric Heat Pump #197</t>
  </si>
  <si>
    <t>Electric Heat Pump #198</t>
  </si>
  <si>
    <t>Electric Heat Pump #199</t>
  </si>
  <si>
    <t>Electric Heat Pump #200</t>
  </si>
  <si>
    <t>Electric Heat Pump #201</t>
  </si>
  <si>
    <t>Electric Heat Pump #202</t>
  </si>
  <si>
    <t>Electric Heat Pump #203</t>
  </si>
  <si>
    <t>Electric Heat Pump #204</t>
  </si>
  <si>
    <t>Electric Heat Pump #205</t>
  </si>
  <si>
    <t>Electric Heat Pump #206</t>
  </si>
  <si>
    <t>Electric Heat Pump #207</t>
  </si>
  <si>
    <t>Electric Heat Pump #208</t>
  </si>
  <si>
    <t>Electric Heat Pump #209</t>
  </si>
  <si>
    <t>Electric Heat Pump #210</t>
  </si>
  <si>
    <t>Electric Heat Pump #211</t>
  </si>
  <si>
    <t>Electric Heat Pump #212</t>
  </si>
  <si>
    <t>Electric Heat Pump #213</t>
  </si>
  <si>
    <t>Electric Heat Pump #214</t>
  </si>
  <si>
    <t>Electric Heat Pump #215</t>
  </si>
  <si>
    <t>Electric Heat Pump #216</t>
  </si>
  <si>
    <t>Electric Heat Pump #217</t>
  </si>
  <si>
    <t>Electric Heat Pump #218</t>
  </si>
  <si>
    <t>Electric Heat Pump #219</t>
  </si>
  <si>
    <t>Electric Heat Pump #220</t>
  </si>
  <si>
    <t>Electric Heat Pump #221</t>
  </si>
  <si>
    <t>Electric Heat Pump #222</t>
  </si>
  <si>
    <t>Electric Heat Pump #223</t>
  </si>
  <si>
    <t>Electric Heat Pump #224</t>
  </si>
  <si>
    <t>Electric Heat Pump #225</t>
  </si>
  <si>
    <t>Electric Heat Pump #226</t>
  </si>
  <si>
    <t>Electric Heat Pump #227</t>
  </si>
  <si>
    <t>Electric Heat Pump #228</t>
  </si>
  <si>
    <t>Electric Heat Pump #229</t>
  </si>
  <si>
    <t>Electric Heat Pump #230</t>
  </si>
  <si>
    <t>Electric Heat Pump #231</t>
  </si>
  <si>
    <t>Electric Heat Pump #232</t>
  </si>
  <si>
    <t>Electric Heat Pump #233</t>
  </si>
  <si>
    <t>Electric Heat Pump #234</t>
  </si>
  <si>
    <t>Electric Heat Pump #235</t>
  </si>
  <si>
    <t>Electric Heat Pump #236</t>
  </si>
  <si>
    <t>Electric Heat Pump #237</t>
  </si>
  <si>
    <t>Electric Heat Pump #238</t>
  </si>
  <si>
    <t>Electric Heat Pump #239</t>
  </si>
  <si>
    <t>Electric Heat Pump #240</t>
  </si>
  <si>
    <t>Electric Heat Pump #241</t>
  </si>
  <si>
    <t>Electric Heat Pump #242</t>
  </si>
  <si>
    <t>Electric Heat Pump #243</t>
  </si>
  <si>
    <t>Electric Heat Pump #244</t>
  </si>
  <si>
    <t>Electric Heat Pump #245</t>
  </si>
  <si>
    <t>Electric Heat Pump #246</t>
  </si>
  <si>
    <t>Electric Heat Pump #247</t>
  </si>
  <si>
    <t>Electric Heat Pump #248</t>
  </si>
  <si>
    <t>Electric Heat Pump #249</t>
  </si>
  <si>
    <t>Electric Heat Pump #250</t>
  </si>
  <si>
    <t>Electric Heat Pump #251</t>
  </si>
  <si>
    <t>Electric Heat Pump #252</t>
  </si>
  <si>
    <t>Air</t>
  </si>
  <si>
    <t>R32</t>
  </si>
  <si>
    <t>Electric Heat Pump #253</t>
  </si>
  <si>
    <t>Heating</t>
  </si>
  <si>
    <t>NG Boiler</t>
  </si>
  <si>
    <t>Electric Heat Pump #254</t>
  </si>
  <si>
    <t>Electric Heat Pump #255</t>
  </si>
  <si>
    <t>Electric Heat Pump #256</t>
  </si>
  <si>
    <t>Electric Heat Pump #257</t>
  </si>
  <si>
    <t>Electric Heat Pump #258</t>
  </si>
  <si>
    <t>Electric Heat Pump #259</t>
  </si>
  <si>
    <t>Electric Heat Pump #260</t>
  </si>
  <si>
    <t>Electric Heat Pump #261</t>
  </si>
  <si>
    <t>Electric Heat Pump #262</t>
  </si>
  <si>
    <t>Electric Heat Pump #263</t>
  </si>
  <si>
    <t>Electric Heat Pump #264</t>
  </si>
  <si>
    <t>Electric Heat Pump #265</t>
  </si>
  <si>
    <t>Electric Heat Pump #266</t>
  </si>
  <si>
    <t>Electric Heat Pump #267</t>
  </si>
  <si>
    <t>Electric Heat Pump #268</t>
  </si>
  <si>
    <t>Electric Heat Pump #269</t>
  </si>
  <si>
    <t>Electric Heat Pump #270</t>
  </si>
  <si>
    <t>Electric Heat Pump #271</t>
  </si>
  <si>
    <t>Electric Heat Pump #272</t>
  </si>
  <si>
    <t>Electric Heat Pump #273</t>
  </si>
  <si>
    <t>Electric Heat Pump #274</t>
  </si>
  <si>
    <t>Electric Heat Pump #275</t>
  </si>
  <si>
    <t>Electric Heat Pump #276</t>
  </si>
  <si>
    <t>Electric Heat Pump #277</t>
  </si>
  <si>
    <t>Electric Heat Pump #278</t>
  </si>
  <si>
    <t>Electric Heat Pump #279</t>
  </si>
  <si>
    <t>Electric Heat Pump #280</t>
  </si>
  <si>
    <t>Electric Heat Pump #281</t>
  </si>
  <si>
    <t>Electric Heat Pump #282</t>
  </si>
  <si>
    <t>Electric Heat Pump #283</t>
  </si>
  <si>
    <t>Electric Heat Pump #284</t>
  </si>
  <si>
    <t>Electric Heat Pump #285</t>
  </si>
  <si>
    <t>Electric Heat Pump #286</t>
  </si>
  <si>
    <t>Electric Heat Pump #287</t>
  </si>
  <si>
    <t>Electric Heat Pump #288</t>
  </si>
  <si>
    <t>Electric Heat Pump #289</t>
  </si>
  <si>
    <t>Electric Heat Pump #290</t>
  </si>
  <si>
    <t>Electric Heat Pump #291</t>
  </si>
  <si>
    <t>Electric Heat Pump #292</t>
  </si>
  <si>
    <t>Electric Heat Pump #293</t>
  </si>
  <si>
    <t>Electric Heat Pump #294</t>
  </si>
  <si>
    <t>Electric Heat Pump #295</t>
  </si>
  <si>
    <t>Electric Heat Pump #296</t>
  </si>
  <si>
    <t>Electric Heat Pump #297</t>
  </si>
  <si>
    <t>Electric Heat Pump #298</t>
  </si>
  <si>
    <t>Electric Heat Pump #299</t>
  </si>
  <si>
    <t>Electric Heat Pump #300</t>
  </si>
  <si>
    <t>Electric Heat Pump #301</t>
  </si>
  <si>
    <t>Electric Heat Pump #302</t>
  </si>
  <si>
    <t>Electric Heat Pump #303</t>
  </si>
  <si>
    <t>Electric Heat Pump #304</t>
  </si>
  <si>
    <t>Electric Heat Pump #305</t>
  </si>
  <si>
    <t>Electric Heat Pump #306</t>
  </si>
  <si>
    <t>Electric Heat Pump #307</t>
  </si>
  <si>
    <t>Electric Heat Pump #308</t>
  </si>
  <si>
    <t>Electric Heat Pump #309</t>
  </si>
  <si>
    <t>Electric Heat Pump #310</t>
  </si>
  <si>
    <t>Electric Heat Pump #311</t>
  </si>
  <si>
    <t>Electric Heat Pump #312</t>
  </si>
  <si>
    <t>Electric Heat Pump #313</t>
  </si>
  <si>
    <t>Electric Heat Pump #314</t>
  </si>
  <si>
    <t>Electric Heat Pump #315</t>
  </si>
  <si>
    <t>Electric Heat Pump #316</t>
  </si>
  <si>
    <t>Electric Heat Pump #317</t>
  </si>
  <si>
    <t>Electric Heat Pump #318</t>
  </si>
  <si>
    <t>Electric Heat Pump #319</t>
  </si>
  <si>
    <t>Electric Heat Pump #320</t>
  </si>
  <si>
    <t>Electric Heat Pump #321</t>
  </si>
  <si>
    <t>Electric Heat Pump #322</t>
  </si>
  <si>
    <t>Electric Heat Pump #323</t>
  </si>
  <si>
    <t>Electric Heat Pump #324</t>
  </si>
  <si>
    <t>Electric Heat Pump #325</t>
  </si>
  <si>
    <t>Electric Heat Pump #326</t>
  </si>
  <si>
    <t>Electric Heat Pump #327</t>
  </si>
  <si>
    <t>Electric Heat Pump #328</t>
  </si>
  <si>
    <t>Electric Heat Pump #329</t>
  </si>
  <si>
    <t>Electric Heat Pump #330</t>
  </si>
  <si>
    <t>Electric Heat Pump #331</t>
  </si>
  <si>
    <t>Electric Heat Pump #332</t>
  </si>
  <si>
    <t>Electric Heat Pump #333</t>
  </si>
  <si>
    <t>Electric Heat Pump #334</t>
  </si>
  <si>
    <t>Electric Heat Pump #335</t>
  </si>
  <si>
    <t>Electric Heat Pump #336</t>
  </si>
  <si>
    <t>Electric Heat Pump #337</t>
  </si>
  <si>
    <t>Electric Heat Pump #338</t>
  </si>
  <si>
    <t>Electric Heat Pump #339</t>
  </si>
  <si>
    <t>Electric Heat Pump #340</t>
  </si>
  <si>
    <t>Electric Heat Pump #341</t>
  </si>
  <si>
    <t>Electric Heat Pump #342</t>
  </si>
  <si>
    <t>Electric Heat Pump #343</t>
  </si>
  <si>
    <t>Electric Heat Pump #344</t>
  </si>
  <si>
    <t>Electric Heat Pump #345</t>
  </si>
  <si>
    <t>Electric Heat Pump #346</t>
  </si>
  <si>
    <t>Electric Heat Pump #347</t>
  </si>
  <si>
    <t>Electric Heat Pump #348</t>
  </si>
  <si>
    <t>Electric Heat Pump #349</t>
  </si>
  <si>
    <t>Electric Heat Pump #350</t>
  </si>
  <si>
    <t>Electric Heat Pump #351</t>
  </si>
  <si>
    <t>Electric Heat Pump #352</t>
  </si>
  <si>
    <t>Electric Heat Pump #353</t>
  </si>
  <si>
    <t>Electric Heat Pump #354</t>
  </si>
  <si>
    <t>Electric Heat Pump #355</t>
  </si>
  <si>
    <t>Electric Heat Pump #356</t>
  </si>
  <si>
    <t>Electric Heat Pump #357</t>
  </si>
  <si>
    <t>Electric Heat Pump #358</t>
  </si>
  <si>
    <t>Electric Heat Pump #359</t>
  </si>
  <si>
    <t>Electric Heat Pump #360</t>
  </si>
  <si>
    <t>Electric Heat Pump #361</t>
  </si>
  <si>
    <t>Electric Heat Pump #362</t>
  </si>
  <si>
    <t>Electric Heat Pump #363</t>
  </si>
  <si>
    <t>Gas-blend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</si>
</sst>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2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1" fontId="0" fillId="0" borderId="0" xfId="0" applyNumberFormat="1"/>
    <xf numFmtId="0" fontId="6" fillId="5" borderId="0" xfId="0" applyFont="1" applyFill="1" applyAlignment="1">
      <alignment horizontal="center" wrapText="1"/>
    </xf>
    <xf numFmtId="0" fontId="6" fillId="5" borderId="5" xfId="0" applyFont="1" applyFill="1" applyBorder="1" applyAlignment="1">
      <alignment horizontal="center" wrapText="1"/>
    </xf>
    <xf numFmtId="0" fontId="0" fillId="0" borderId="5" xfId="0" applyBorder="1"/>
    <xf numFmtId="0" fontId="3" fillId="3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200025</xdr:rowOff>
        </xdr:from>
        <xdr:to>
          <xdr:col>5</xdr:col>
          <xdr:colOff>542925</xdr:colOff>
          <xdr:row>12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CANC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0</xdr:rowOff>
        </xdr:from>
        <xdr:to>
          <xdr:col>5</xdr:col>
          <xdr:colOff>552450</xdr:colOff>
          <xdr:row>10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11951</xdr:colOff>
      <xdr:row>1</xdr:row>
      <xdr:rowOff>12700</xdr:rowOff>
    </xdr:from>
    <xdr:to>
      <xdr:col>12</xdr:col>
      <xdr:colOff>505012</xdr:colOff>
      <xdr:row>6</xdr:row>
      <xdr:rowOff>150158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847A18-0379-90EA-2CDA-C1492F260AE3}"/>
            </a:ext>
          </a:extLst>
        </xdr:cNvPr>
        <xdr:cNvSpPr txBox="1"/>
      </xdr:nvSpPr>
      <xdr:spPr>
        <a:xfrm>
          <a:off x="16140951" y="342900"/>
          <a:ext cx="5369861" cy="13312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600" b="1"/>
            <a:t>PLEASE</a:t>
          </a:r>
          <a:r>
            <a:rPr lang="en-US" sz="1600" b="1" baseline="0"/>
            <a:t> NOTE:</a:t>
          </a:r>
        </a:p>
        <a:p>
          <a:endParaRPr lang="en-US" sz="1600" b="1" baseline="0"/>
        </a:p>
        <a:p>
          <a:pPr algn="l"/>
          <a:r>
            <a:rPr lang="en-US" sz="1600" b="0"/>
            <a:t>Before entering new data in this sheet, you must click on CANC (below). Then enter the data and click on START to generate the sheets for the individual technologies.</a:t>
          </a:r>
        </a:p>
      </xdr:txBody>
    </xdr:sp>
    <xdr:clientData/>
  </xdr:twoCellAnchor>
  <xdr:twoCellAnchor>
    <xdr:from>
      <xdr:col>8</xdr:col>
      <xdr:colOff>254000</xdr:colOff>
      <xdr:row>15</xdr:row>
      <xdr:rowOff>190500</xdr:rowOff>
    </xdr:from>
    <xdr:to>
      <xdr:col>17</xdr:col>
      <xdr:colOff>143811</xdr:colOff>
      <xdr:row>25</xdr:row>
      <xdr:rowOff>114300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A6FE4BDF-9436-4740-914E-B1FD12894B0A}"/>
            </a:ext>
          </a:extLst>
        </xdr:cNvPr>
        <xdr:cNvSpPr txBox="1"/>
      </xdr:nvSpPr>
      <xdr:spPr>
        <a:xfrm>
          <a:off x="18351500" y="3413125"/>
          <a:ext cx="5319061" cy="1987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600" b="1"/>
            <a:t>Background database</a:t>
          </a:r>
          <a:r>
            <a:rPr lang="en-US" sz="1600" b="1" baseline="0"/>
            <a:t>:</a:t>
          </a:r>
        </a:p>
        <a:p>
          <a:endParaRPr lang="en-US" sz="1600" b="1" baseline="0"/>
        </a:p>
        <a:p>
          <a:pPr algn="l"/>
          <a:r>
            <a:rPr lang="en-US" sz="1600" b="0"/>
            <a:t>ecoinvent 3.11</a:t>
          </a:r>
          <a:r>
            <a:rPr lang="en-US" sz="1600" b="0" baseline="0"/>
            <a:t> cutoff modified with premise according to REMIND SSP2 PkBudg1000 for the year 2030</a:t>
          </a:r>
          <a:endParaRPr lang="en-US" sz="16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FF8D2-389B-461D-BA59-450A65E15478}">
  <sheetPr codeName="Foglio2"/>
  <dimension ref="A1:W476"/>
  <sheetViews>
    <sheetView topLeftCell="A351" workbookViewId="0">
      <selection activeCell="S366" sqref="S366:S476"/>
    </sheetView>
  </sheetViews>
  <sheetFormatPr defaultRowHeight="15" x14ac:dyDescent="0.25"/>
  <cols>
    <col min="1" max="1" width="11.42578125" customWidth="1"/>
    <col min="5" max="5" width="13.42578125" customWidth="1"/>
    <col min="6" max="6" width="13.28515625" customWidth="1"/>
    <col min="7" max="7" width="14.85546875" customWidth="1"/>
    <col min="8" max="8" width="9.28515625" customWidth="1"/>
    <col min="14" max="14" width="14.7109375" customWidth="1"/>
    <col min="15" max="15" width="15.28515625" customWidth="1"/>
    <col min="16" max="16" width="14.28515625" customWidth="1"/>
    <col min="17" max="17" width="15.140625" customWidth="1"/>
    <col min="18" max="18" width="14.7109375" customWidth="1"/>
    <col min="19" max="19" width="17.140625" customWidth="1"/>
    <col min="20" max="20" width="29.28515625" customWidth="1"/>
    <col min="21" max="21" width="18.28515625" customWidth="1"/>
  </cols>
  <sheetData>
    <row r="1" spans="1:23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1503</v>
      </c>
      <c r="T1" t="s">
        <v>1504</v>
      </c>
      <c r="U1" t="s">
        <v>45</v>
      </c>
    </row>
    <row r="2" spans="1:23" x14ac:dyDescent="0.25">
      <c r="A2">
        <v>2432709</v>
      </c>
      <c r="B2">
        <v>11.63</v>
      </c>
      <c r="C2">
        <v>3</v>
      </c>
      <c r="D2" t="s">
        <v>46</v>
      </c>
      <c r="E2" t="s">
        <v>47</v>
      </c>
      <c r="F2">
        <v>2432709</v>
      </c>
      <c r="G2" t="s">
        <v>48</v>
      </c>
      <c r="H2">
        <v>57136</v>
      </c>
      <c r="I2">
        <v>14742</v>
      </c>
      <c r="J2">
        <v>4914</v>
      </c>
      <c r="K2">
        <v>191</v>
      </c>
      <c r="L2">
        <v>1472.6</v>
      </c>
      <c r="M2">
        <v>-342.5</v>
      </c>
      <c r="N2" s="10">
        <v>4070000</v>
      </c>
      <c r="O2" s="10">
        <v>-499000</v>
      </c>
      <c r="P2" s="10">
        <v>70200</v>
      </c>
      <c r="Q2">
        <v>25</v>
      </c>
      <c r="R2">
        <v>34550</v>
      </c>
      <c r="S2" t="s">
        <v>11</v>
      </c>
      <c r="T2" t="s">
        <v>49</v>
      </c>
      <c r="U2" t="s">
        <v>1878</v>
      </c>
      <c r="W2" s="10"/>
    </row>
    <row r="3" spans="1:23" x14ac:dyDescent="0.25">
      <c r="A3">
        <v>2559057</v>
      </c>
      <c r="B3">
        <v>6.88</v>
      </c>
      <c r="C3">
        <v>1</v>
      </c>
      <c r="D3" t="s">
        <v>46</v>
      </c>
      <c r="E3" t="s">
        <v>47</v>
      </c>
      <c r="F3">
        <v>2559057</v>
      </c>
      <c r="G3" t="s">
        <v>50</v>
      </c>
      <c r="H3">
        <v>18979</v>
      </c>
      <c r="I3">
        <v>2761</v>
      </c>
      <c r="J3">
        <v>2761</v>
      </c>
      <c r="K3">
        <v>36</v>
      </c>
      <c r="L3">
        <v>608.6</v>
      </c>
      <c r="M3">
        <v>-96.8</v>
      </c>
      <c r="N3" s="10">
        <v>1320000</v>
      </c>
      <c r="O3" s="10">
        <v>-133000</v>
      </c>
      <c r="P3" s="10">
        <v>13100</v>
      </c>
      <c r="Q3">
        <v>25</v>
      </c>
      <c r="R3">
        <v>34550</v>
      </c>
      <c r="S3" t="s">
        <v>11</v>
      </c>
      <c r="T3" t="s">
        <v>49</v>
      </c>
      <c r="U3" t="s">
        <v>1878</v>
      </c>
      <c r="W3" s="10"/>
    </row>
    <row r="4" spans="1:23" x14ac:dyDescent="0.25">
      <c r="A4">
        <v>3521512</v>
      </c>
      <c r="B4">
        <v>11.74</v>
      </c>
      <c r="C4">
        <v>3</v>
      </c>
      <c r="D4" t="s">
        <v>46</v>
      </c>
      <c r="E4" t="s">
        <v>51</v>
      </c>
      <c r="F4">
        <v>3521512</v>
      </c>
      <c r="G4" t="s">
        <v>52</v>
      </c>
      <c r="H4">
        <v>20265</v>
      </c>
      <c r="I4">
        <v>5178</v>
      </c>
      <c r="J4">
        <v>1726</v>
      </c>
      <c r="K4">
        <v>67</v>
      </c>
      <c r="L4">
        <v>370</v>
      </c>
      <c r="M4">
        <v>-122.1</v>
      </c>
      <c r="N4" s="10">
        <v>1160000</v>
      </c>
      <c r="O4" s="10">
        <v>-155000</v>
      </c>
      <c r="P4" s="10">
        <v>24600</v>
      </c>
      <c r="Q4">
        <v>25</v>
      </c>
      <c r="R4">
        <v>34550</v>
      </c>
      <c r="S4" t="s">
        <v>11</v>
      </c>
      <c r="T4" t="s">
        <v>49</v>
      </c>
      <c r="U4" t="s">
        <v>1878</v>
      </c>
      <c r="W4" s="10"/>
    </row>
    <row r="5" spans="1:23" x14ac:dyDescent="0.25">
      <c r="A5">
        <v>46970558</v>
      </c>
      <c r="B5">
        <v>11.81</v>
      </c>
      <c r="C5">
        <v>3</v>
      </c>
      <c r="D5" t="s">
        <v>46</v>
      </c>
      <c r="E5" t="s">
        <v>51</v>
      </c>
      <c r="F5">
        <v>46970558</v>
      </c>
      <c r="G5" t="s">
        <v>53</v>
      </c>
      <c r="H5">
        <v>34714</v>
      </c>
      <c r="I5">
        <v>8816</v>
      </c>
      <c r="J5">
        <v>2939</v>
      </c>
      <c r="K5">
        <v>114</v>
      </c>
      <c r="L5">
        <v>577.6</v>
      </c>
      <c r="M5">
        <v>-195.3</v>
      </c>
      <c r="N5" s="10">
        <v>1900000</v>
      </c>
      <c r="O5" s="10">
        <v>-259000</v>
      </c>
      <c r="P5" s="10">
        <v>42000</v>
      </c>
      <c r="Q5">
        <v>25</v>
      </c>
      <c r="R5">
        <v>34550</v>
      </c>
      <c r="S5" t="s">
        <v>11</v>
      </c>
      <c r="T5" t="s">
        <v>49</v>
      </c>
      <c r="U5" t="s">
        <v>1878</v>
      </c>
      <c r="W5" s="10"/>
    </row>
    <row r="6" spans="1:23" x14ac:dyDescent="0.25">
      <c r="A6">
        <v>131986150</v>
      </c>
      <c r="B6">
        <v>7.7</v>
      </c>
      <c r="C6">
        <v>2</v>
      </c>
      <c r="D6" t="s">
        <v>54</v>
      </c>
      <c r="E6" t="s">
        <v>55</v>
      </c>
      <c r="F6">
        <v>131986150</v>
      </c>
      <c r="G6" t="s">
        <v>56</v>
      </c>
      <c r="H6">
        <v>1704</v>
      </c>
      <c r="I6">
        <v>443</v>
      </c>
      <c r="J6">
        <v>222</v>
      </c>
      <c r="K6">
        <v>6</v>
      </c>
      <c r="L6">
        <v>45.4</v>
      </c>
      <c r="M6">
        <v>-13</v>
      </c>
      <c r="N6" s="10">
        <v>121000</v>
      </c>
      <c r="O6" s="10">
        <v>-15400</v>
      </c>
      <c r="P6" s="10">
        <v>2110</v>
      </c>
      <c r="Q6">
        <v>4.5</v>
      </c>
      <c r="R6">
        <v>6219</v>
      </c>
      <c r="S6" t="s">
        <v>11</v>
      </c>
      <c r="T6" t="s">
        <v>49</v>
      </c>
      <c r="U6" t="s">
        <v>1878</v>
      </c>
      <c r="W6" s="10"/>
    </row>
    <row r="7" spans="1:23" x14ac:dyDescent="0.25">
      <c r="A7">
        <v>131986153</v>
      </c>
      <c r="B7">
        <v>7.2</v>
      </c>
      <c r="C7">
        <v>2</v>
      </c>
      <c r="D7" t="s">
        <v>54</v>
      </c>
      <c r="E7" t="s">
        <v>47</v>
      </c>
      <c r="F7">
        <v>131986153</v>
      </c>
      <c r="G7" t="s">
        <v>57</v>
      </c>
      <c r="H7">
        <v>1321</v>
      </c>
      <c r="I7">
        <v>367</v>
      </c>
      <c r="J7">
        <v>184</v>
      </c>
      <c r="K7">
        <v>5</v>
      </c>
      <c r="L7">
        <v>65.8</v>
      </c>
      <c r="M7">
        <v>-11.4</v>
      </c>
      <c r="N7" s="10">
        <v>146000</v>
      </c>
      <c r="O7" s="10">
        <v>-15900</v>
      </c>
      <c r="P7" s="10">
        <v>1750</v>
      </c>
      <c r="Q7">
        <v>4.5</v>
      </c>
      <c r="R7">
        <v>6219</v>
      </c>
      <c r="S7" t="s">
        <v>11</v>
      </c>
      <c r="T7" t="s">
        <v>49</v>
      </c>
      <c r="U7" t="s">
        <v>1878</v>
      </c>
      <c r="W7" s="10"/>
    </row>
    <row r="8" spans="1:23" x14ac:dyDescent="0.25">
      <c r="A8">
        <v>131986160</v>
      </c>
      <c r="B8">
        <v>6.55</v>
      </c>
      <c r="C8">
        <v>1</v>
      </c>
      <c r="D8" t="s">
        <v>54</v>
      </c>
      <c r="E8" t="s">
        <v>58</v>
      </c>
      <c r="F8">
        <v>131986160</v>
      </c>
      <c r="G8" t="s">
        <v>59</v>
      </c>
      <c r="H8">
        <v>1103</v>
      </c>
      <c r="I8">
        <v>168</v>
      </c>
      <c r="J8">
        <v>168</v>
      </c>
      <c r="K8">
        <v>2</v>
      </c>
      <c r="L8">
        <v>32.799999999999997</v>
      </c>
      <c r="M8">
        <v>-7.6</v>
      </c>
      <c r="N8" s="10">
        <v>73200</v>
      </c>
      <c r="O8" s="10">
        <v>-8250</v>
      </c>
      <c r="P8" s="10">
        <v>802</v>
      </c>
      <c r="Q8">
        <v>4.5</v>
      </c>
      <c r="R8">
        <v>6219</v>
      </c>
      <c r="S8" t="s">
        <v>11</v>
      </c>
      <c r="T8" t="s">
        <v>49</v>
      </c>
      <c r="U8" t="s">
        <v>1878</v>
      </c>
      <c r="W8" s="10"/>
    </row>
    <row r="9" spans="1:23" x14ac:dyDescent="0.25">
      <c r="A9">
        <v>131986174</v>
      </c>
      <c r="B9">
        <v>6.4</v>
      </c>
      <c r="C9">
        <v>1</v>
      </c>
      <c r="D9" t="s">
        <v>60</v>
      </c>
      <c r="E9" t="s">
        <v>47</v>
      </c>
      <c r="F9">
        <v>131986174</v>
      </c>
      <c r="G9" t="s">
        <v>61</v>
      </c>
      <c r="H9">
        <v>1616</v>
      </c>
      <c r="I9">
        <v>252</v>
      </c>
      <c r="J9">
        <v>252</v>
      </c>
      <c r="K9">
        <v>3</v>
      </c>
      <c r="L9">
        <v>75.099999999999994</v>
      </c>
      <c r="M9">
        <v>-13.1</v>
      </c>
      <c r="N9" s="10">
        <v>142000</v>
      </c>
      <c r="O9" s="10">
        <v>-12300</v>
      </c>
      <c r="P9" s="10">
        <v>1540</v>
      </c>
      <c r="Q9">
        <v>0</v>
      </c>
      <c r="R9">
        <v>0</v>
      </c>
      <c r="S9" t="s">
        <v>11</v>
      </c>
      <c r="T9" t="s">
        <v>49</v>
      </c>
      <c r="U9" t="s">
        <v>1878</v>
      </c>
      <c r="W9" s="10"/>
    </row>
    <row r="10" spans="1:23" x14ac:dyDescent="0.25">
      <c r="A10">
        <v>131986182</v>
      </c>
      <c r="B10">
        <v>3.6</v>
      </c>
      <c r="C10">
        <v>1</v>
      </c>
      <c r="D10" t="s">
        <v>46</v>
      </c>
      <c r="E10" t="s">
        <v>51</v>
      </c>
      <c r="F10">
        <v>131986182</v>
      </c>
      <c r="G10" t="s">
        <v>62</v>
      </c>
      <c r="H10">
        <v>982</v>
      </c>
      <c r="I10">
        <v>273</v>
      </c>
      <c r="J10">
        <v>273</v>
      </c>
      <c r="K10">
        <v>4</v>
      </c>
      <c r="L10">
        <v>38.6</v>
      </c>
      <c r="M10">
        <v>-7.8</v>
      </c>
      <c r="N10" s="10">
        <v>92600</v>
      </c>
      <c r="O10" s="10">
        <v>-9910</v>
      </c>
      <c r="P10" s="10">
        <v>1300</v>
      </c>
      <c r="Q10">
        <v>4.5</v>
      </c>
      <c r="R10">
        <v>6219</v>
      </c>
      <c r="S10" t="s">
        <v>11</v>
      </c>
      <c r="T10" t="s">
        <v>49</v>
      </c>
      <c r="U10" t="s">
        <v>1878</v>
      </c>
      <c r="W10" s="10"/>
    </row>
    <row r="11" spans="1:23" x14ac:dyDescent="0.25">
      <c r="A11">
        <v>131986199</v>
      </c>
      <c r="B11">
        <v>9.67</v>
      </c>
      <c r="C11">
        <v>2</v>
      </c>
      <c r="D11" t="s">
        <v>60</v>
      </c>
      <c r="E11" t="s">
        <v>47</v>
      </c>
      <c r="F11">
        <v>131986199</v>
      </c>
      <c r="G11" t="s">
        <v>63</v>
      </c>
      <c r="H11">
        <v>3884</v>
      </c>
      <c r="I11">
        <v>804</v>
      </c>
      <c r="J11">
        <v>402</v>
      </c>
      <c r="K11">
        <v>10</v>
      </c>
      <c r="L11">
        <v>135</v>
      </c>
      <c r="M11">
        <v>-30.6</v>
      </c>
      <c r="N11" s="10">
        <v>270000</v>
      </c>
      <c r="O11" s="10">
        <v>-25400</v>
      </c>
      <c r="P11" s="10">
        <v>4900</v>
      </c>
      <c r="Q11">
        <v>0</v>
      </c>
      <c r="R11">
        <v>0</v>
      </c>
      <c r="S11" t="s">
        <v>11</v>
      </c>
      <c r="T11" t="s">
        <v>49</v>
      </c>
      <c r="U11" t="s">
        <v>1878</v>
      </c>
      <c r="W11" s="10"/>
    </row>
    <row r="12" spans="1:23" x14ac:dyDescent="0.25">
      <c r="A12">
        <v>131986202</v>
      </c>
      <c r="B12">
        <v>4.3</v>
      </c>
      <c r="C12">
        <v>1</v>
      </c>
      <c r="D12" t="s">
        <v>54</v>
      </c>
      <c r="E12" t="s">
        <v>55</v>
      </c>
      <c r="F12">
        <v>131986202</v>
      </c>
      <c r="G12" t="s">
        <v>64</v>
      </c>
      <c r="H12">
        <v>413</v>
      </c>
      <c r="I12">
        <v>96</v>
      </c>
      <c r="J12">
        <v>96</v>
      </c>
      <c r="K12">
        <v>1</v>
      </c>
      <c r="L12">
        <v>19.600000000000001</v>
      </c>
      <c r="M12">
        <v>-4.5</v>
      </c>
      <c r="N12" s="10">
        <v>42600</v>
      </c>
      <c r="O12" s="10">
        <v>-5050</v>
      </c>
      <c r="P12" s="10">
        <v>457</v>
      </c>
      <c r="Q12">
        <v>3</v>
      </c>
      <c r="R12">
        <v>4146</v>
      </c>
      <c r="S12" t="s">
        <v>11</v>
      </c>
      <c r="T12" t="s">
        <v>49</v>
      </c>
      <c r="U12" t="s">
        <v>1878</v>
      </c>
      <c r="W12" s="10"/>
    </row>
    <row r="13" spans="1:23" x14ac:dyDescent="0.25">
      <c r="A13">
        <v>131986208</v>
      </c>
      <c r="B13">
        <v>8.33</v>
      </c>
      <c r="C13">
        <v>2</v>
      </c>
      <c r="D13" t="s">
        <v>60</v>
      </c>
      <c r="E13" t="s">
        <v>51</v>
      </c>
      <c r="F13">
        <v>131986208</v>
      </c>
      <c r="G13" t="s">
        <v>65</v>
      </c>
      <c r="H13">
        <v>927</v>
      </c>
      <c r="I13">
        <v>223</v>
      </c>
      <c r="J13">
        <v>112</v>
      </c>
      <c r="K13">
        <v>3</v>
      </c>
      <c r="L13">
        <v>27.1</v>
      </c>
      <c r="M13">
        <v>-8.5</v>
      </c>
      <c r="N13" s="10">
        <v>55900</v>
      </c>
      <c r="O13" s="10">
        <v>-5560</v>
      </c>
      <c r="P13" s="10">
        <v>1360</v>
      </c>
      <c r="Q13">
        <v>0</v>
      </c>
      <c r="R13">
        <v>0</v>
      </c>
      <c r="S13" t="s">
        <v>11</v>
      </c>
      <c r="T13" t="s">
        <v>49</v>
      </c>
      <c r="U13" t="s">
        <v>1878</v>
      </c>
      <c r="W13" s="10"/>
    </row>
    <row r="14" spans="1:23" x14ac:dyDescent="0.25">
      <c r="A14">
        <v>131986212</v>
      </c>
      <c r="B14">
        <v>5.2</v>
      </c>
      <c r="C14">
        <v>1</v>
      </c>
      <c r="D14" t="s">
        <v>60</v>
      </c>
      <c r="E14" t="s">
        <v>51</v>
      </c>
      <c r="F14">
        <v>131986212</v>
      </c>
      <c r="G14" t="s">
        <v>66</v>
      </c>
      <c r="H14">
        <v>1071</v>
      </c>
      <c r="I14">
        <v>206</v>
      </c>
      <c r="J14">
        <v>206</v>
      </c>
      <c r="K14">
        <v>3</v>
      </c>
      <c r="L14">
        <v>40.799999999999997</v>
      </c>
      <c r="M14">
        <v>-9.4</v>
      </c>
      <c r="N14" s="10">
        <v>79300</v>
      </c>
      <c r="O14" s="10">
        <v>-7170</v>
      </c>
      <c r="P14" s="10">
        <v>1260</v>
      </c>
      <c r="Q14">
        <v>0</v>
      </c>
      <c r="R14">
        <v>0</v>
      </c>
      <c r="S14" t="s">
        <v>11</v>
      </c>
      <c r="T14" t="s">
        <v>49</v>
      </c>
      <c r="U14" t="s">
        <v>1878</v>
      </c>
      <c r="W14" s="10"/>
    </row>
    <row r="15" spans="1:23" x14ac:dyDescent="0.25">
      <c r="A15">
        <v>131986221</v>
      </c>
      <c r="B15">
        <v>9.6999999999999993</v>
      </c>
      <c r="C15">
        <v>2</v>
      </c>
      <c r="D15" t="s">
        <v>54</v>
      </c>
      <c r="E15" t="s">
        <v>51</v>
      </c>
      <c r="F15">
        <v>131986221</v>
      </c>
      <c r="G15" t="s">
        <v>67</v>
      </c>
      <c r="H15">
        <v>1379</v>
      </c>
      <c r="I15">
        <v>284</v>
      </c>
      <c r="J15">
        <v>142</v>
      </c>
      <c r="K15">
        <v>4</v>
      </c>
      <c r="L15">
        <v>34.1</v>
      </c>
      <c r="M15">
        <v>-9.4</v>
      </c>
      <c r="N15" s="10">
        <v>85100</v>
      </c>
      <c r="O15" s="10">
        <v>-10500</v>
      </c>
      <c r="P15" s="10">
        <v>1350</v>
      </c>
      <c r="Q15">
        <v>4.5</v>
      </c>
      <c r="R15">
        <v>6219</v>
      </c>
      <c r="S15" t="s">
        <v>11</v>
      </c>
      <c r="T15" t="s">
        <v>49</v>
      </c>
      <c r="U15" t="s">
        <v>1878</v>
      </c>
      <c r="W15" s="10"/>
    </row>
    <row r="16" spans="1:23" x14ac:dyDescent="0.25">
      <c r="A16">
        <v>131986225</v>
      </c>
      <c r="B16">
        <v>6.6</v>
      </c>
      <c r="C16">
        <v>1</v>
      </c>
      <c r="D16" t="s">
        <v>60</v>
      </c>
      <c r="E16" t="s">
        <v>55</v>
      </c>
      <c r="F16">
        <v>131986225</v>
      </c>
      <c r="G16" t="s">
        <v>68</v>
      </c>
      <c r="H16">
        <v>1357</v>
      </c>
      <c r="I16">
        <v>206</v>
      </c>
      <c r="J16">
        <v>206</v>
      </c>
      <c r="K16">
        <v>3</v>
      </c>
      <c r="L16">
        <v>53.3</v>
      </c>
      <c r="M16">
        <v>-13.3</v>
      </c>
      <c r="N16" s="10">
        <v>103000</v>
      </c>
      <c r="O16" s="10">
        <v>-10800</v>
      </c>
      <c r="P16" s="10">
        <v>1250</v>
      </c>
      <c r="Q16">
        <v>0</v>
      </c>
      <c r="R16">
        <v>0</v>
      </c>
      <c r="S16" t="s">
        <v>11</v>
      </c>
      <c r="T16" t="s">
        <v>49</v>
      </c>
      <c r="U16" t="s">
        <v>1878</v>
      </c>
      <c r="W16" s="10"/>
    </row>
    <row r="17" spans="1:23" x14ac:dyDescent="0.25">
      <c r="A17">
        <v>131986261</v>
      </c>
      <c r="B17">
        <v>8.0500000000000007</v>
      </c>
      <c r="C17">
        <v>2</v>
      </c>
      <c r="D17" t="s">
        <v>60</v>
      </c>
      <c r="E17" t="s">
        <v>58</v>
      </c>
      <c r="F17">
        <v>131986261</v>
      </c>
      <c r="G17" t="s">
        <v>69</v>
      </c>
      <c r="H17">
        <v>2065</v>
      </c>
      <c r="I17">
        <v>513</v>
      </c>
      <c r="J17">
        <v>257</v>
      </c>
      <c r="K17">
        <v>7</v>
      </c>
      <c r="L17">
        <v>51.6</v>
      </c>
      <c r="M17">
        <v>-15.6</v>
      </c>
      <c r="N17" s="10">
        <v>110000</v>
      </c>
      <c r="O17" s="10">
        <v>-11100</v>
      </c>
      <c r="P17" s="10">
        <v>3130</v>
      </c>
      <c r="Q17">
        <v>0</v>
      </c>
      <c r="R17">
        <v>0</v>
      </c>
      <c r="S17" t="s">
        <v>11</v>
      </c>
      <c r="T17" t="s">
        <v>49</v>
      </c>
      <c r="U17" t="s">
        <v>1878</v>
      </c>
      <c r="W17" s="10"/>
    </row>
    <row r="18" spans="1:23" x14ac:dyDescent="0.25">
      <c r="A18">
        <v>131986276</v>
      </c>
      <c r="B18">
        <v>8.15</v>
      </c>
      <c r="C18">
        <v>2</v>
      </c>
      <c r="D18" t="s">
        <v>60</v>
      </c>
      <c r="E18" t="s">
        <v>47</v>
      </c>
      <c r="F18">
        <v>131986276</v>
      </c>
      <c r="G18" t="s">
        <v>70</v>
      </c>
      <c r="H18">
        <v>1124</v>
      </c>
      <c r="I18">
        <v>276</v>
      </c>
      <c r="J18">
        <v>138</v>
      </c>
      <c r="K18">
        <v>4</v>
      </c>
      <c r="L18">
        <v>47.7</v>
      </c>
      <c r="M18">
        <v>-10</v>
      </c>
      <c r="N18" s="10">
        <v>93300</v>
      </c>
      <c r="O18" s="10">
        <v>-8440</v>
      </c>
      <c r="P18" s="10">
        <v>1680</v>
      </c>
      <c r="Q18">
        <v>0</v>
      </c>
      <c r="R18">
        <v>0</v>
      </c>
      <c r="S18" t="s">
        <v>11</v>
      </c>
      <c r="T18" t="s">
        <v>49</v>
      </c>
      <c r="U18" t="s">
        <v>1878</v>
      </c>
      <c r="W18" s="10"/>
    </row>
    <row r="19" spans="1:23" x14ac:dyDescent="0.25">
      <c r="A19">
        <v>131986280</v>
      </c>
      <c r="B19">
        <v>13.77</v>
      </c>
      <c r="C19">
        <v>3</v>
      </c>
      <c r="D19" t="s">
        <v>60</v>
      </c>
      <c r="E19" t="s">
        <v>55</v>
      </c>
      <c r="F19">
        <v>131986280</v>
      </c>
      <c r="G19" t="s">
        <v>71</v>
      </c>
      <c r="H19">
        <v>1739</v>
      </c>
      <c r="I19">
        <v>379</v>
      </c>
      <c r="J19">
        <v>126</v>
      </c>
      <c r="K19">
        <v>5</v>
      </c>
      <c r="L19">
        <v>30</v>
      </c>
      <c r="M19">
        <v>-11.1</v>
      </c>
      <c r="N19" s="10">
        <v>68500</v>
      </c>
      <c r="O19" s="10">
        <v>-8590</v>
      </c>
      <c r="P19" s="10">
        <v>2310</v>
      </c>
      <c r="Q19">
        <v>0</v>
      </c>
      <c r="R19">
        <v>0</v>
      </c>
      <c r="S19" t="s">
        <v>11</v>
      </c>
      <c r="T19" t="s">
        <v>49</v>
      </c>
      <c r="U19" t="s">
        <v>1878</v>
      </c>
      <c r="W19" s="10"/>
    </row>
    <row r="20" spans="1:23" x14ac:dyDescent="0.25">
      <c r="A20">
        <v>131986302</v>
      </c>
      <c r="B20">
        <v>6.6</v>
      </c>
      <c r="C20">
        <v>1</v>
      </c>
      <c r="D20" t="s">
        <v>54</v>
      </c>
      <c r="E20" t="s">
        <v>47</v>
      </c>
      <c r="F20">
        <v>131986302</v>
      </c>
      <c r="G20" t="s">
        <v>72</v>
      </c>
      <c r="H20">
        <v>734</v>
      </c>
      <c r="I20">
        <v>111</v>
      </c>
      <c r="J20">
        <v>111</v>
      </c>
      <c r="K20">
        <v>1</v>
      </c>
      <c r="L20">
        <v>41.9</v>
      </c>
      <c r="M20">
        <v>-6</v>
      </c>
      <c r="N20" s="10">
        <v>82400</v>
      </c>
      <c r="O20" s="10">
        <v>-7550</v>
      </c>
      <c r="P20" s="10">
        <v>530</v>
      </c>
      <c r="Q20">
        <v>4.5</v>
      </c>
      <c r="R20">
        <v>6219</v>
      </c>
      <c r="S20" t="s">
        <v>11</v>
      </c>
      <c r="T20" t="s">
        <v>49</v>
      </c>
      <c r="U20" t="s">
        <v>1878</v>
      </c>
      <c r="W20" s="10"/>
    </row>
    <row r="21" spans="1:23" x14ac:dyDescent="0.25">
      <c r="A21">
        <v>131986311</v>
      </c>
      <c r="B21">
        <v>9.6</v>
      </c>
      <c r="C21">
        <v>2</v>
      </c>
      <c r="D21" t="s">
        <v>60</v>
      </c>
      <c r="E21" t="s">
        <v>47</v>
      </c>
      <c r="F21">
        <v>131986311</v>
      </c>
      <c r="G21" t="s">
        <v>73</v>
      </c>
      <c r="H21">
        <v>2542</v>
      </c>
      <c r="I21">
        <v>530</v>
      </c>
      <c r="J21">
        <v>265</v>
      </c>
      <c r="K21">
        <v>7</v>
      </c>
      <c r="L21">
        <v>108.7</v>
      </c>
      <c r="M21">
        <v>-21.5</v>
      </c>
      <c r="N21" s="10">
        <v>208000</v>
      </c>
      <c r="O21" s="10">
        <v>-19200</v>
      </c>
      <c r="P21" s="10">
        <v>3230</v>
      </c>
      <c r="Q21">
        <v>0</v>
      </c>
      <c r="R21">
        <v>0</v>
      </c>
      <c r="S21" t="s">
        <v>11</v>
      </c>
      <c r="T21" t="s">
        <v>49</v>
      </c>
      <c r="U21" t="s">
        <v>1878</v>
      </c>
      <c r="W21" s="10"/>
    </row>
    <row r="22" spans="1:23" x14ac:dyDescent="0.25">
      <c r="A22">
        <v>131986317</v>
      </c>
      <c r="B22">
        <v>6.9</v>
      </c>
      <c r="C22">
        <v>1</v>
      </c>
      <c r="D22" t="s">
        <v>46</v>
      </c>
      <c r="E22" t="s">
        <v>47</v>
      </c>
      <c r="F22">
        <v>131986317</v>
      </c>
      <c r="G22" t="s">
        <v>74</v>
      </c>
      <c r="H22">
        <v>1357</v>
      </c>
      <c r="I22">
        <v>197</v>
      </c>
      <c r="J22">
        <v>197</v>
      </c>
      <c r="K22">
        <v>3</v>
      </c>
      <c r="L22">
        <v>55.1</v>
      </c>
      <c r="M22">
        <v>-8.8000000000000007</v>
      </c>
      <c r="N22" s="10">
        <v>114000</v>
      </c>
      <c r="O22" s="10">
        <v>-11100</v>
      </c>
      <c r="P22" s="10">
        <v>936</v>
      </c>
      <c r="Q22">
        <v>4.5</v>
      </c>
      <c r="R22">
        <v>6219</v>
      </c>
      <c r="S22" t="s">
        <v>11</v>
      </c>
      <c r="T22" t="s">
        <v>49</v>
      </c>
      <c r="U22" t="s">
        <v>1878</v>
      </c>
      <c r="W22" s="10"/>
    </row>
    <row r="23" spans="1:23" x14ac:dyDescent="0.25">
      <c r="A23">
        <v>131986326</v>
      </c>
      <c r="B23">
        <v>11.15</v>
      </c>
      <c r="C23">
        <v>3</v>
      </c>
      <c r="D23" t="s">
        <v>60</v>
      </c>
      <c r="E23" t="s">
        <v>55</v>
      </c>
      <c r="F23">
        <v>131986326</v>
      </c>
      <c r="G23" t="s">
        <v>75</v>
      </c>
      <c r="H23">
        <v>4036</v>
      </c>
      <c r="I23">
        <v>1086</v>
      </c>
      <c r="J23">
        <v>362</v>
      </c>
      <c r="K23">
        <v>14</v>
      </c>
      <c r="L23">
        <v>92.5</v>
      </c>
      <c r="M23">
        <v>-32.299999999999997</v>
      </c>
      <c r="N23" s="10">
        <v>201000</v>
      </c>
      <c r="O23" s="10">
        <v>-21700</v>
      </c>
      <c r="P23" s="10">
        <v>6620</v>
      </c>
      <c r="Q23">
        <v>0</v>
      </c>
      <c r="R23">
        <v>0</v>
      </c>
      <c r="S23" t="s">
        <v>11</v>
      </c>
      <c r="T23" t="s">
        <v>49</v>
      </c>
      <c r="U23" t="s">
        <v>1878</v>
      </c>
      <c r="W23" s="10"/>
    </row>
    <row r="24" spans="1:23" x14ac:dyDescent="0.25">
      <c r="A24">
        <v>131986355</v>
      </c>
      <c r="B24">
        <v>11.8</v>
      </c>
      <c r="C24">
        <v>3</v>
      </c>
      <c r="D24" t="s">
        <v>60</v>
      </c>
      <c r="E24" t="s">
        <v>47</v>
      </c>
      <c r="F24">
        <v>131986355</v>
      </c>
      <c r="G24" t="s">
        <v>76</v>
      </c>
      <c r="H24">
        <v>4343</v>
      </c>
      <c r="I24">
        <v>1104</v>
      </c>
      <c r="J24">
        <v>368</v>
      </c>
      <c r="K24">
        <v>14</v>
      </c>
      <c r="L24">
        <v>143.9</v>
      </c>
      <c r="M24">
        <v>-35.4</v>
      </c>
      <c r="N24" s="10">
        <v>295000</v>
      </c>
      <c r="O24" s="10">
        <v>-28200</v>
      </c>
      <c r="P24" s="10">
        <v>6730</v>
      </c>
      <c r="Q24">
        <v>0</v>
      </c>
      <c r="R24">
        <v>0</v>
      </c>
      <c r="S24" t="s">
        <v>11</v>
      </c>
      <c r="T24" t="s">
        <v>49</v>
      </c>
      <c r="U24" t="s">
        <v>1878</v>
      </c>
      <c r="W24" s="10"/>
    </row>
    <row r="25" spans="1:23" x14ac:dyDescent="0.25">
      <c r="A25">
        <v>131986365</v>
      </c>
      <c r="B25">
        <v>19.87</v>
      </c>
      <c r="C25">
        <v>5</v>
      </c>
      <c r="D25" t="s">
        <v>60</v>
      </c>
      <c r="E25" t="s">
        <v>51</v>
      </c>
      <c r="F25">
        <v>131986365</v>
      </c>
      <c r="G25" t="s">
        <v>77</v>
      </c>
      <c r="H25">
        <v>11917</v>
      </c>
      <c r="I25">
        <v>2999</v>
      </c>
      <c r="J25">
        <v>600</v>
      </c>
      <c r="K25">
        <v>39</v>
      </c>
      <c r="L25">
        <v>292.89999999999998</v>
      </c>
      <c r="M25">
        <v>-101.8</v>
      </c>
      <c r="N25" s="10">
        <v>608000</v>
      </c>
      <c r="O25" s="10">
        <v>-68700</v>
      </c>
      <c r="P25" s="10">
        <v>18300</v>
      </c>
      <c r="Q25">
        <v>0</v>
      </c>
      <c r="R25">
        <v>0</v>
      </c>
      <c r="S25" t="s">
        <v>11</v>
      </c>
      <c r="T25" t="s">
        <v>49</v>
      </c>
      <c r="U25" t="s">
        <v>1878</v>
      </c>
      <c r="W25" s="10"/>
    </row>
    <row r="26" spans="1:23" x14ac:dyDescent="0.25">
      <c r="A26">
        <v>131986374</v>
      </c>
      <c r="B26">
        <v>8.1999999999999993</v>
      </c>
      <c r="C26">
        <v>2</v>
      </c>
      <c r="D26" t="s">
        <v>60</v>
      </c>
      <c r="E26" t="s">
        <v>47</v>
      </c>
      <c r="F26">
        <v>131986374</v>
      </c>
      <c r="G26" t="s">
        <v>78</v>
      </c>
      <c r="H26">
        <v>1011</v>
      </c>
      <c r="I26">
        <v>247</v>
      </c>
      <c r="J26">
        <v>124</v>
      </c>
      <c r="K26">
        <v>3</v>
      </c>
      <c r="L26">
        <v>45.5</v>
      </c>
      <c r="M26">
        <v>-9.3000000000000007</v>
      </c>
      <c r="N26" s="10">
        <v>87900</v>
      </c>
      <c r="O26" s="10">
        <v>-8110</v>
      </c>
      <c r="P26" s="10">
        <v>1500</v>
      </c>
      <c r="Q26">
        <v>0</v>
      </c>
      <c r="R26">
        <v>0</v>
      </c>
      <c r="S26" t="s">
        <v>11</v>
      </c>
      <c r="T26" t="s">
        <v>49</v>
      </c>
      <c r="U26" t="s">
        <v>1878</v>
      </c>
      <c r="W26" s="10"/>
    </row>
    <row r="27" spans="1:23" x14ac:dyDescent="0.25">
      <c r="A27">
        <v>131986376</v>
      </c>
      <c r="B27">
        <v>11</v>
      </c>
      <c r="C27">
        <v>3</v>
      </c>
      <c r="D27" t="s">
        <v>54</v>
      </c>
      <c r="E27" t="s">
        <v>55</v>
      </c>
      <c r="F27">
        <v>131986376</v>
      </c>
      <c r="G27" t="s">
        <v>79</v>
      </c>
      <c r="H27">
        <v>2346</v>
      </c>
      <c r="I27">
        <v>640</v>
      </c>
      <c r="J27">
        <v>213</v>
      </c>
      <c r="K27">
        <v>8</v>
      </c>
      <c r="L27">
        <v>54.1</v>
      </c>
      <c r="M27">
        <v>-18.399999999999999</v>
      </c>
      <c r="N27" s="10">
        <v>155000</v>
      </c>
      <c r="O27" s="10">
        <v>-21700</v>
      </c>
      <c r="P27" s="10">
        <v>3050</v>
      </c>
      <c r="Q27">
        <v>4.5</v>
      </c>
      <c r="R27">
        <v>6219</v>
      </c>
      <c r="S27" t="s">
        <v>11</v>
      </c>
      <c r="T27" t="s">
        <v>49</v>
      </c>
      <c r="U27" t="s">
        <v>1878</v>
      </c>
      <c r="W27" s="10"/>
    </row>
    <row r="28" spans="1:23" x14ac:dyDescent="0.25">
      <c r="A28">
        <v>131986379</v>
      </c>
      <c r="B28">
        <v>9.1</v>
      </c>
      <c r="C28">
        <v>2</v>
      </c>
      <c r="D28" t="s">
        <v>60</v>
      </c>
      <c r="E28" t="s">
        <v>80</v>
      </c>
      <c r="F28">
        <v>131986379</v>
      </c>
      <c r="G28" t="s">
        <v>81</v>
      </c>
      <c r="H28">
        <v>1803</v>
      </c>
      <c r="I28">
        <v>396</v>
      </c>
      <c r="J28">
        <v>198</v>
      </c>
      <c r="K28">
        <v>5</v>
      </c>
      <c r="L28">
        <v>69.099999999999994</v>
      </c>
      <c r="M28">
        <v>-16.7</v>
      </c>
      <c r="N28" s="10">
        <v>133000</v>
      </c>
      <c r="O28" s="10">
        <v>-14000</v>
      </c>
      <c r="P28" s="10">
        <v>2420</v>
      </c>
      <c r="Q28">
        <v>0</v>
      </c>
      <c r="R28">
        <v>0</v>
      </c>
      <c r="S28" t="s">
        <v>11</v>
      </c>
      <c r="T28" t="s">
        <v>49</v>
      </c>
      <c r="U28" t="s">
        <v>1878</v>
      </c>
      <c r="W28" s="10"/>
    </row>
    <row r="29" spans="1:23" x14ac:dyDescent="0.25">
      <c r="A29">
        <v>131986407</v>
      </c>
      <c r="B29">
        <v>7.43</v>
      </c>
      <c r="C29">
        <v>2</v>
      </c>
      <c r="D29" t="s">
        <v>60</v>
      </c>
      <c r="E29" t="s">
        <v>55</v>
      </c>
      <c r="F29">
        <v>131986407</v>
      </c>
      <c r="G29" t="s">
        <v>82</v>
      </c>
      <c r="H29">
        <v>1750</v>
      </c>
      <c r="I29">
        <v>472</v>
      </c>
      <c r="J29">
        <v>236</v>
      </c>
      <c r="K29">
        <v>6</v>
      </c>
      <c r="L29">
        <v>46.8</v>
      </c>
      <c r="M29">
        <v>-14.1</v>
      </c>
      <c r="N29" s="10">
        <v>98800</v>
      </c>
      <c r="O29" s="10">
        <v>-9750</v>
      </c>
      <c r="P29" s="10">
        <v>2870</v>
      </c>
      <c r="Q29">
        <v>0</v>
      </c>
      <c r="R29">
        <v>0</v>
      </c>
      <c r="S29" t="s">
        <v>11</v>
      </c>
      <c r="T29" t="s">
        <v>49</v>
      </c>
      <c r="U29" t="s">
        <v>1878</v>
      </c>
      <c r="W29" s="10"/>
    </row>
    <row r="30" spans="1:23" x14ac:dyDescent="0.25">
      <c r="A30">
        <v>131986414</v>
      </c>
      <c r="B30">
        <v>10.5</v>
      </c>
      <c r="C30">
        <v>3</v>
      </c>
      <c r="D30" t="s">
        <v>60</v>
      </c>
      <c r="E30" t="s">
        <v>55</v>
      </c>
      <c r="F30">
        <v>131986414</v>
      </c>
      <c r="G30" t="s">
        <v>83</v>
      </c>
      <c r="H30">
        <v>2104</v>
      </c>
      <c r="I30">
        <v>601</v>
      </c>
      <c r="J30">
        <v>200</v>
      </c>
      <c r="K30">
        <v>8</v>
      </c>
      <c r="L30">
        <v>45.9</v>
      </c>
      <c r="M30">
        <v>-17.100000000000001</v>
      </c>
      <c r="N30" s="10">
        <v>102000</v>
      </c>
      <c r="O30" s="10">
        <v>-11000</v>
      </c>
      <c r="P30" s="10">
        <v>3660</v>
      </c>
      <c r="Q30">
        <v>0</v>
      </c>
      <c r="R30">
        <v>0</v>
      </c>
      <c r="S30" t="s">
        <v>11</v>
      </c>
      <c r="T30" t="s">
        <v>49</v>
      </c>
      <c r="U30" t="s">
        <v>1878</v>
      </c>
      <c r="W30" s="10"/>
    </row>
    <row r="31" spans="1:23" x14ac:dyDescent="0.25">
      <c r="A31">
        <v>131986428</v>
      </c>
      <c r="B31">
        <v>13.67</v>
      </c>
      <c r="C31">
        <v>3</v>
      </c>
      <c r="D31" t="s">
        <v>60</v>
      </c>
      <c r="E31" t="s">
        <v>80</v>
      </c>
      <c r="F31">
        <v>131986428</v>
      </c>
      <c r="G31" t="s">
        <v>84</v>
      </c>
      <c r="H31">
        <v>3095</v>
      </c>
      <c r="I31">
        <v>679</v>
      </c>
      <c r="J31">
        <v>226</v>
      </c>
      <c r="K31">
        <v>9</v>
      </c>
      <c r="L31">
        <v>109.2</v>
      </c>
      <c r="M31">
        <v>-28.2</v>
      </c>
      <c r="N31" s="10">
        <v>213000</v>
      </c>
      <c r="O31" s="10">
        <v>-22900</v>
      </c>
      <c r="P31" s="10">
        <v>4140</v>
      </c>
      <c r="Q31">
        <v>0</v>
      </c>
      <c r="R31">
        <v>0</v>
      </c>
      <c r="S31" t="s">
        <v>11</v>
      </c>
      <c r="T31" t="s">
        <v>49</v>
      </c>
      <c r="U31" t="s">
        <v>1878</v>
      </c>
      <c r="W31" s="10"/>
    </row>
    <row r="32" spans="1:23" x14ac:dyDescent="0.25">
      <c r="A32">
        <v>131986440</v>
      </c>
      <c r="B32">
        <v>6.6</v>
      </c>
      <c r="C32">
        <v>1</v>
      </c>
      <c r="D32" t="s">
        <v>60</v>
      </c>
      <c r="E32" t="s">
        <v>47</v>
      </c>
      <c r="F32">
        <v>131986440</v>
      </c>
      <c r="G32" t="s">
        <v>85</v>
      </c>
      <c r="H32">
        <v>1641</v>
      </c>
      <c r="I32">
        <v>249</v>
      </c>
      <c r="J32">
        <v>249</v>
      </c>
      <c r="K32">
        <v>3</v>
      </c>
      <c r="L32">
        <v>91.8</v>
      </c>
      <c r="M32">
        <v>-15</v>
      </c>
      <c r="N32" s="10">
        <v>171000</v>
      </c>
      <c r="O32" s="10">
        <v>-13800</v>
      </c>
      <c r="P32" s="10">
        <v>1520</v>
      </c>
      <c r="Q32">
        <v>0</v>
      </c>
      <c r="R32">
        <v>0</v>
      </c>
      <c r="S32" t="s">
        <v>11</v>
      </c>
      <c r="T32" t="s">
        <v>49</v>
      </c>
      <c r="U32" t="s">
        <v>1878</v>
      </c>
      <c r="W32" s="10"/>
    </row>
    <row r="33" spans="1:23" x14ac:dyDescent="0.25">
      <c r="A33">
        <v>131986483</v>
      </c>
      <c r="B33">
        <v>9.44</v>
      </c>
      <c r="C33">
        <v>2</v>
      </c>
      <c r="D33" t="s">
        <v>60</v>
      </c>
      <c r="E33" t="s">
        <v>51</v>
      </c>
      <c r="F33">
        <v>131986483</v>
      </c>
      <c r="G33" t="s">
        <v>86</v>
      </c>
      <c r="H33">
        <v>3885</v>
      </c>
      <c r="I33">
        <v>823</v>
      </c>
      <c r="J33">
        <v>412</v>
      </c>
      <c r="K33">
        <v>11</v>
      </c>
      <c r="L33">
        <v>92</v>
      </c>
      <c r="M33">
        <v>-28.2</v>
      </c>
      <c r="N33" s="10">
        <v>198000</v>
      </c>
      <c r="O33" s="10">
        <v>-20900</v>
      </c>
      <c r="P33" s="10">
        <v>5020</v>
      </c>
      <c r="Q33">
        <v>0</v>
      </c>
      <c r="R33">
        <v>0</v>
      </c>
      <c r="S33" t="s">
        <v>11</v>
      </c>
      <c r="T33" t="s">
        <v>49</v>
      </c>
      <c r="U33" t="s">
        <v>1878</v>
      </c>
      <c r="W33" s="10"/>
    </row>
    <row r="34" spans="1:23" x14ac:dyDescent="0.25">
      <c r="A34">
        <v>131986489</v>
      </c>
      <c r="B34">
        <v>6.05</v>
      </c>
      <c r="C34">
        <v>1</v>
      </c>
      <c r="D34" t="s">
        <v>60</v>
      </c>
      <c r="E34" t="s">
        <v>47</v>
      </c>
      <c r="F34">
        <v>131986489</v>
      </c>
      <c r="G34" t="s">
        <v>87</v>
      </c>
      <c r="H34">
        <v>537</v>
      </c>
      <c r="I34">
        <v>89</v>
      </c>
      <c r="J34">
        <v>89</v>
      </c>
      <c r="K34">
        <v>1</v>
      </c>
      <c r="L34">
        <v>41.2</v>
      </c>
      <c r="M34">
        <v>-6.2</v>
      </c>
      <c r="N34" s="10">
        <v>75800</v>
      </c>
      <c r="O34" s="10">
        <v>-5790</v>
      </c>
      <c r="P34" s="10">
        <v>541</v>
      </c>
      <c r="Q34">
        <v>0</v>
      </c>
      <c r="R34">
        <v>0</v>
      </c>
      <c r="S34" t="s">
        <v>11</v>
      </c>
      <c r="T34" t="s">
        <v>49</v>
      </c>
      <c r="U34" t="s">
        <v>1878</v>
      </c>
      <c r="W34" s="10"/>
    </row>
    <row r="35" spans="1:23" x14ac:dyDescent="0.25">
      <c r="A35">
        <v>131986502</v>
      </c>
      <c r="B35">
        <v>9.1</v>
      </c>
      <c r="C35">
        <v>2</v>
      </c>
      <c r="D35" t="s">
        <v>60</v>
      </c>
      <c r="E35" t="s">
        <v>47</v>
      </c>
      <c r="F35">
        <v>131986502</v>
      </c>
      <c r="G35" t="s">
        <v>88</v>
      </c>
      <c r="H35">
        <v>2452</v>
      </c>
      <c r="I35">
        <v>539</v>
      </c>
      <c r="J35">
        <v>270</v>
      </c>
      <c r="K35">
        <v>7</v>
      </c>
      <c r="L35">
        <v>120.6</v>
      </c>
      <c r="M35">
        <v>-22.9</v>
      </c>
      <c r="N35" s="10">
        <v>226000</v>
      </c>
      <c r="O35" s="10">
        <v>-19700</v>
      </c>
      <c r="P35" s="10">
        <v>3280</v>
      </c>
      <c r="Q35">
        <v>0</v>
      </c>
      <c r="R35">
        <v>0</v>
      </c>
      <c r="S35" t="s">
        <v>11</v>
      </c>
      <c r="T35" t="s">
        <v>49</v>
      </c>
      <c r="U35" t="s">
        <v>1878</v>
      </c>
      <c r="W35" s="10"/>
    </row>
    <row r="36" spans="1:23" x14ac:dyDescent="0.25">
      <c r="A36">
        <v>131986525</v>
      </c>
      <c r="B36">
        <v>5.2</v>
      </c>
      <c r="C36">
        <v>1</v>
      </c>
      <c r="D36" t="s">
        <v>60</v>
      </c>
      <c r="E36" t="s">
        <v>80</v>
      </c>
      <c r="F36">
        <v>131986525</v>
      </c>
      <c r="G36" t="s">
        <v>89</v>
      </c>
      <c r="H36">
        <v>1762</v>
      </c>
      <c r="I36">
        <v>339</v>
      </c>
      <c r="J36">
        <v>339</v>
      </c>
      <c r="K36">
        <v>4</v>
      </c>
      <c r="L36">
        <v>84.5</v>
      </c>
      <c r="M36">
        <v>-16.5</v>
      </c>
      <c r="N36" s="10">
        <v>160000</v>
      </c>
      <c r="O36" s="10">
        <v>-15200</v>
      </c>
      <c r="P36" s="10">
        <v>2070</v>
      </c>
      <c r="Q36">
        <v>0</v>
      </c>
      <c r="R36">
        <v>0</v>
      </c>
      <c r="S36" t="s">
        <v>11</v>
      </c>
      <c r="T36" t="s">
        <v>49</v>
      </c>
      <c r="U36" t="s">
        <v>1878</v>
      </c>
      <c r="W36" s="10"/>
    </row>
    <row r="37" spans="1:23" x14ac:dyDescent="0.25">
      <c r="A37">
        <v>131986535</v>
      </c>
      <c r="B37">
        <v>6.66</v>
      </c>
      <c r="C37">
        <v>1</v>
      </c>
      <c r="D37" t="s">
        <v>60</v>
      </c>
      <c r="E37" t="s">
        <v>47</v>
      </c>
      <c r="F37">
        <v>131986535</v>
      </c>
      <c r="G37" t="s">
        <v>90</v>
      </c>
      <c r="H37">
        <v>1032</v>
      </c>
      <c r="I37">
        <v>155</v>
      </c>
      <c r="J37">
        <v>155</v>
      </c>
      <c r="K37">
        <v>2</v>
      </c>
      <c r="L37">
        <v>67.900000000000006</v>
      </c>
      <c r="M37">
        <v>-10.5</v>
      </c>
      <c r="N37" s="10">
        <v>126000</v>
      </c>
      <c r="O37" s="10">
        <v>-9740</v>
      </c>
      <c r="P37" s="10">
        <v>945</v>
      </c>
      <c r="Q37">
        <v>0</v>
      </c>
      <c r="R37">
        <v>0</v>
      </c>
      <c r="S37" t="s">
        <v>11</v>
      </c>
      <c r="T37" t="s">
        <v>49</v>
      </c>
      <c r="U37" t="s">
        <v>1878</v>
      </c>
      <c r="W37" s="10"/>
    </row>
    <row r="38" spans="1:23" x14ac:dyDescent="0.25">
      <c r="A38">
        <v>131986539</v>
      </c>
      <c r="B38">
        <v>10.5</v>
      </c>
      <c r="C38">
        <v>3</v>
      </c>
      <c r="D38" t="s">
        <v>60</v>
      </c>
      <c r="E38" t="s">
        <v>51</v>
      </c>
      <c r="F38">
        <v>131986539</v>
      </c>
      <c r="G38" t="s">
        <v>91</v>
      </c>
      <c r="H38">
        <v>4359</v>
      </c>
      <c r="I38">
        <v>1245</v>
      </c>
      <c r="J38">
        <v>415</v>
      </c>
      <c r="K38">
        <v>16</v>
      </c>
      <c r="L38">
        <v>111.2</v>
      </c>
      <c r="M38">
        <v>-37.5</v>
      </c>
      <c r="N38" s="10">
        <v>237000</v>
      </c>
      <c r="O38" s="10">
        <v>-24400</v>
      </c>
      <c r="P38" s="10">
        <v>7590</v>
      </c>
      <c r="Q38">
        <v>0</v>
      </c>
      <c r="R38">
        <v>0</v>
      </c>
      <c r="S38" t="s">
        <v>11</v>
      </c>
      <c r="T38" t="s">
        <v>49</v>
      </c>
      <c r="U38" t="s">
        <v>1878</v>
      </c>
      <c r="W38" s="10"/>
    </row>
    <row r="39" spans="1:23" x14ac:dyDescent="0.25">
      <c r="A39">
        <v>131986563</v>
      </c>
      <c r="B39">
        <v>9.1</v>
      </c>
      <c r="C39">
        <v>2</v>
      </c>
      <c r="D39" t="s">
        <v>60</v>
      </c>
      <c r="E39" t="s">
        <v>47</v>
      </c>
      <c r="F39">
        <v>131986563</v>
      </c>
      <c r="G39" t="s">
        <v>92</v>
      </c>
      <c r="H39">
        <v>1589</v>
      </c>
      <c r="I39">
        <v>349</v>
      </c>
      <c r="J39">
        <v>175</v>
      </c>
      <c r="K39">
        <v>5</v>
      </c>
      <c r="L39">
        <v>60.2</v>
      </c>
      <c r="M39">
        <v>-13</v>
      </c>
      <c r="N39" s="10">
        <v>119000</v>
      </c>
      <c r="O39" s="10">
        <v>-10900</v>
      </c>
      <c r="P39" s="10">
        <v>2130</v>
      </c>
      <c r="Q39">
        <v>0</v>
      </c>
      <c r="R39">
        <v>0</v>
      </c>
      <c r="S39" t="s">
        <v>11</v>
      </c>
      <c r="T39" t="s">
        <v>49</v>
      </c>
      <c r="U39" t="s">
        <v>1878</v>
      </c>
      <c r="W39" s="10"/>
    </row>
    <row r="40" spans="1:23" x14ac:dyDescent="0.25">
      <c r="A40">
        <v>131986576</v>
      </c>
      <c r="B40">
        <v>16.850000000000001</v>
      </c>
      <c r="C40">
        <v>4</v>
      </c>
      <c r="D40" t="s">
        <v>60</v>
      </c>
      <c r="E40" t="s">
        <v>51</v>
      </c>
      <c r="F40">
        <v>131986576</v>
      </c>
      <c r="G40" t="s">
        <v>93</v>
      </c>
      <c r="H40">
        <v>4425</v>
      </c>
      <c r="I40">
        <v>1050</v>
      </c>
      <c r="J40">
        <v>263</v>
      </c>
      <c r="K40">
        <v>14</v>
      </c>
      <c r="L40">
        <v>116.8</v>
      </c>
      <c r="M40">
        <v>-38.5</v>
      </c>
      <c r="N40" s="10">
        <v>238000</v>
      </c>
      <c r="O40" s="10">
        <v>-27600</v>
      </c>
      <c r="P40" s="10">
        <v>6400</v>
      </c>
      <c r="Q40">
        <v>0</v>
      </c>
      <c r="R40">
        <v>0</v>
      </c>
      <c r="S40" t="s">
        <v>11</v>
      </c>
      <c r="T40" t="s">
        <v>49</v>
      </c>
      <c r="U40" t="s">
        <v>1878</v>
      </c>
      <c r="W40" s="10"/>
    </row>
    <row r="41" spans="1:23" x14ac:dyDescent="0.25">
      <c r="A41">
        <v>131986605</v>
      </c>
      <c r="B41">
        <v>12.57</v>
      </c>
      <c r="C41">
        <v>3</v>
      </c>
      <c r="D41" t="s">
        <v>60</v>
      </c>
      <c r="E41" t="s">
        <v>47</v>
      </c>
      <c r="F41">
        <v>131986605</v>
      </c>
      <c r="G41" t="s">
        <v>94</v>
      </c>
      <c r="H41">
        <v>2214</v>
      </c>
      <c r="I41">
        <v>529</v>
      </c>
      <c r="J41">
        <v>176</v>
      </c>
      <c r="K41">
        <v>7</v>
      </c>
      <c r="L41">
        <v>88.7</v>
      </c>
      <c r="M41">
        <v>-20.100000000000001</v>
      </c>
      <c r="N41" s="10">
        <v>174000</v>
      </c>
      <c r="O41" s="10">
        <v>-16500</v>
      </c>
      <c r="P41" s="10">
        <v>3220</v>
      </c>
      <c r="Q41">
        <v>0</v>
      </c>
      <c r="R41">
        <v>0</v>
      </c>
      <c r="S41" t="s">
        <v>11</v>
      </c>
      <c r="T41" t="s">
        <v>49</v>
      </c>
      <c r="U41" t="s">
        <v>1878</v>
      </c>
      <c r="W41" s="10"/>
    </row>
    <row r="42" spans="1:23" x14ac:dyDescent="0.25">
      <c r="A42">
        <v>131986623</v>
      </c>
      <c r="B42">
        <v>6.73</v>
      </c>
      <c r="C42">
        <v>1</v>
      </c>
      <c r="D42" t="s">
        <v>60</v>
      </c>
      <c r="E42" t="s">
        <v>47</v>
      </c>
      <c r="F42">
        <v>131986623</v>
      </c>
      <c r="G42" t="s">
        <v>95</v>
      </c>
      <c r="H42">
        <v>780</v>
      </c>
      <c r="I42">
        <v>116</v>
      </c>
      <c r="J42">
        <v>116</v>
      </c>
      <c r="K42">
        <v>2</v>
      </c>
      <c r="L42">
        <v>58.1</v>
      </c>
      <c r="M42">
        <v>-8.6999999999999993</v>
      </c>
      <c r="N42" s="10">
        <v>108000</v>
      </c>
      <c r="O42" s="10">
        <v>-8420</v>
      </c>
      <c r="P42" s="10">
        <v>706</v>
      </c>
      <c r="Q42">
        <v>0</v>
      </c>
      <c r="R42">
        <v>0</v>
      </c>
      <c r="S42" t="s">
        <v>11</v>
      </c>
      <c r="T42" t="s">
        <v>49</v>
      </c>
      <c r="U42" t="s">
        <v>1878</v>
      </c>
      <c r="W42" s="10"/>
    </row>
    <row r="43" spans="1:23" x14ac:dyDescent="0.25">
      <c r="A43">
        <v>131986637</v>
      </c>
      <c r="B43">
        <v>4.3</v>
      </c>
      <c r="C43">
        <v>1</v>
      </c>
      <c r="D43" t="s">
        <v>60</v>
      </c>
      <c r="E43" t="s">
        <v>51</v>
      </c>
      <c r="F43">
        <v>131986637</v>
      </c>
      <c r="G43" t="s">
        <v>96</v>
      </c>
      <c r="H43">
        <v>1258</v>
      </c>
      <c r="I43">
        <v>293</v>
      </c>
      <c r="J43">
        <v>293</v>
      </c>
      <c r="K43">
        <v>4</v>
      </c>
      <c r="L43">
        <v>51.8</v>
      </c>
      <c r="M43">
        <v>-11.4</v>
      </c>
      <c r="N43" s="10">
        <v>101000</v>
      </c>
      <c r="O43" s="10">
        <v>-8880</v>
      </c>
      <c r="P43" s="10">
        <v>1780</v>
      </c>
      <c r="Q43">
        <v>0</v>
      </c>
      <c r="R43">
        <v>0</v>
      </c>
      <c r="S43" t="s">
        <v>11</v>
      </c>
      <c r="T43" t="s">
        <v>49</v>
      </c>
      <c r="U43" t="s">
        <v>1878</v>
      </c>
      <c r="W43" s="10"/>
    </row>
    <row r="44" spans="1:23" x14ac:dyDescent="0.25">
      <c r="A44">
        <v>131986650</v>
      </c>
      <c r="B44">
        <v>8.8699999999999992</v>
      </c>
      <c r="C44">
        <v>2</v>
      </c>
      <c r="D44" t="s">
        <v>60</v>
      </c>
      <c r="E44" t="s">
        <v>47</v>
      </c>
      <c r="F44">
        <v>131986650</v>
      </c>
      <c r="G44" t="s">
        <v>97</v>
      </c>
      <c r="H44">
        <v>805</v>
      </c>
      <c r="I44">
        <v>182</v>
      </c>
      <c r="J44">
        <v>91</v>
      </c>
      <c r="K44">
        <v>2</v>
      </c>
      <c r="L44">
        <v>48.4</v>
      </c>
      <c r="M44">
        <v>-8.6</v>
      </c>
      <c r="N44" s="10">
        <v>88100</v>
      </c>
      <c r="O44" s="10">
        <v>-7640</v>
      </c>
      <c r="P44" s="10">
        <v>1110</v>
      </c>
      <c r="Q44">
        <v>0</v>
      </c>
      <c r="R44">
        <v>0</v>
      </c>
      <c r="S44" t="s">
        <v>11</v>
      </c>
      <c r="T44" t="s">
        <v>49</v>
      </c>
      <c r="U44" t="s">
        <v>1878</v>
      </c>
      <c r="W44" s="10"/>
    </row>
    <row r="45" spans="1:23" x14ac:dyDescent="0.25">
      <c r="A45">
        <v>131986665</v>
      </c>
      <c r="B45">
        <v>5.8</v>
      </c>
      <c r="C45">
        <v>1</v>
      </c>
      <c r="D45" t="s">
        <v>60</v>
      </c>
      <c r="E45" t="s">
        <v>98</v>
      </c>
      <c r="F45">
        <v>131986665</v>
      </c>
      <c r="G45" t="s">
        <v>99</v>
      </c>
      <c r="H45">
        <v>617</v>
      </c>
      <c r="I45">
        <v>106</v>
      </c>
      <c r="J45">
        <v>106</v>
      </c>
      <c r="K45">
        <v>1</v>
      </c>
      <c r="L45">
        <v>22.9</v>
      </c>
      <c r="M45">
        <v>-6.3</v>
      </c>
      <c r="N45" s="10">
        <v>44300</v>
      </c>
      <c r="O45" s="10">
        <v>-4430</v>
      </c>
      <c r="P45" s="10">
        <v>649</v>
      </c>
      <c r="Q45">
        <v>0</v>
      </c>
      <c r="R45">
        <v>0</v>
      </c>
      <c r="S45" t="s">
        <v>11</v>
      </c>
      <c r="T45" t="s">
        <v>49</v>
      </c>
      <c r="U45" t="s">
        <v>1878</v>
      </c>
      <c r="W45" s="10"/>
    </row>
    <row r="46" spans="1:23" x14ac:dyDescent="0.25">
      <c r="A46">
        <v>131986695</v>
      </c>
      <c r="B46">
        <v>9.7799999999999994</v>
      </c>
      <c r="C46">
        <v>2</v>
      </c>
      <c r="D46" t="s">
        <v>60</v>
      </c>
      <c r="E46" t="s">
        <v>47</v>
      </c>
      <c r="F46">
        <v>131986695</v>
      </c>
      <c r="G46" t="s">
        <v>100</v>
      </c>
      <c r="H46">
        <v>1039</v>
      </c>
      <c r="I46">
        <v>213</v>
      </c>
      <c r="J46">
        <v>107</v>
      </c>
      <c r="K46">
        <v>3</v>
      </c>
      <c r="L46">
        <v>51</v>
      </c>
      <c r="M46">
        <v>-9.6999999999999993</v>
      </c>
      <c r="N46" s="10">
        <v>94500</v>
      </c>
      <c r="O46" s="10">
        <v>-8310</v>
      </c>
      <c r="P46" s="10">
        <v>1300</v>
      </c>
      <c r="Q46">
        <v>0</v>
      </c>
      <c r="R46">
        <v>0</v>
      </c>
      <c r="S46" t="s">
        <v>11</v>
      </c>
      <c r="T46" t="s">
        <v>49</v>
      </c>
      <c r="U46" t="s">
        <v>1878</v>
      </c>
      <c r="W46" s="10"/>
    </row>
    <row r="47" spans="1:23" x14ac:dyDescent="0.25">
      <c r="A47">
        <v>131986703</v>
      </c>
      <c r="B47">
        <v>4.5</v>
      </c>
      <c r="C47">
        <v>1</v>
      </c>
      <c r="D47" t="s">
        <v>46</v>
      </c>
      <c r="E47" t="s">
        <v>47</v>
      </c>
      <c r="F47">
        <v>131986703</v>
      </c>
      <c r="G47" t="s">
        <v>101</v>
      </c>
      <c r="H47">
        <v>1243</v>
      </c>
      <c r="I47">
        <v>276</v>
      </c>
      <c r="J47">
        <v>276</v>
      </c>
      <c r="K47">
        <v>4</v>
      </c>
      <c r="L47">
        <v>62.9</v>
      </c>
      <c r="M47">
        <v>-9.1999999999999993</v>
      </c>
      <c r="N47" s="10">
        <v>134000</v>
      </c>
      <c r="O47" s="10">
        <v>-13000</v>
      </c>
      <c r="P47" s="10">
        <v>1310</v>
      </c>
      <c r="Q47">
        <v>4.5</v>
      </c>
      <c r="R47">
        <v>6219</v>
      </c>
      <c r="S47" t="s">
        <v>11</v>
      </c>
      <c r="T47" t="s">
        <v>49</v>
      </c>
      <c r="U47" t="s">
        <v>1878</v>
      </c>
      <c r="W47" s="10"/>
    </row>
    <row r="48" spans="1:23" x14ac:dyDescent="0.25">
      <c r="A48">
        <v>131986710</v>
      </c>
      <c r="B48">
        <v>10.76</v>
      </c>
      <c r="C48">
        <v>3</v>
      </c>
      <c r="D48" t="s">
        <v>102</v>
      </c>
      <c r="E48" t="s">
        <v>47</v>
      </c>
      <c r="F48">
        <v>131986710</v>
      </c>
      <c r="G48" t="s">
        <v>103</v>
      </c>
      <c r="H48">
        <v>5164</v>
      </c>
      <c r="I48">
        <v>1440</v>
      </c>
      <c r="J48">
        <v>480</v>
      </c>
      <c r="K48">
        <v>19</v>
      </c>
      <c r="L48">
        <v>156.30000000000001</v>
      </c>
      <c r="M48">
        <v>-35</v>
      </c>
      <c r="N48" s="10">
        <v>417000</v>
      </c>
      <c r="O48" s="10">
        <v>-50700</v>
      </c>
      <c r="P48" s="10">
        <v>6850</v>
      </c>
      <c r="Q48">
        <v>0</v>
      </c>
      <c r="R48">
        <v>0</v>
      </c>
      <c r="S48" t="s">
        <v>11</v>
      </c>
      <c r="T48" t="s">
        <v>49</v>
      </c>
      <c r="U48" t="s">
        <v>1878</v>
      </c>
      <c r="W48" s="10"/>
    </row>
    <row r="49" spans="1:23" x14ac:dyDescent="0.25">
      <c r="A49">
        <v>131986711</v>
      </c>
      <c r="B49">
        <v>9.52</v>
      </c>
      <c r="C49">
        <v>2</v>
      </c>
      <c r="D49" t="s">
        <v>104</v>
      </c>
      <c r="E49" t="s">
        <v>55</v>
      </c>
      <c r="F49">
        <v>131986711</v>
      </c>
      <c r="G49" t="s">
        <v>105</v>
      </c>
      <c r="H49">
        <v>6811</v>
      </c>
      <c r="I49">
        <v>1431</v>
      </c>
      <c r="J49">
        <v>716</v>
      </c>
      <c r="K49">
        <v>19</v>
      </c>
      <c r="L49">
        <v>125.4</v>
      </c>
      <c r="M49">
        <v>-149.6</v>
      </c>
      <c r="N49" s="10">
        <v>1460000</v>
      </c>
      <c r="O49" s="10">
        <v>-436000</v>
      </c>
      <c r="P49" s="10">
        <v>52200</v>
      </c>
      <c r="Q49">
        <v>0</v>
      </c>
      <c r="R49">
        <v>0</v>
      </c>
      <c r="S49" t="s">
        <v>11</v>
      </c>
      <c r="T49" t="s">
        <v>49</v>
      </c>
      <c r="U49" t="s">
        <v>1878</v>
      </c>
      <c r="W49" s="10"/>
    </row>
    <row r="50" spans="1:23" x14ac:dyDescent="0.25">
      <c r="A50">
        <v>131986727</v>
      </c>
      <c r="B50">
        <v>11.15</v>
      </c>
      <c r="C50">
        <v>3</v>
      </c>
      <c r="D50" t="s">
        <v>60</v>
      </c>
      <c r="E50" t="s">
        <v>47</v>
      </c>
      <c r="F50">
        <v>131986727</v>
      </c>
      <c r="G50" t="s">
        <v>106</v>
      </c>
      <c r="H50">
        <v>2008</v>
      </c>
      <c r="I50">
        <v>540</v>
      </c>
      <c r="J50">
        <v>180</v>
      </c>
      <c r="K50">
        <v>7</v>
      </c>
      <c r="L50">
        <v>91.5</v>
      </c>
      <c r="M50">
        <v>-19.5</v>
      </c>
      <c r="N50" s="10">
        <v>178000</v>
      </c>
      <c r="O50" s="10">
        <v>-16300</v>
      </c>
      <c r="P50" s="10">
        <v>3290</v>
      </c>
      <c r="Q50">
        <v>0</v>
      </c>
      <c r="R50">
        <v>0</v>
      </c>
      <c r="S50" t="s">
        <v>11</v>
      </c>
      <c r="T50" t="s">
        <v>49</v>
      </c>
      <c r="U50" t="s">
        <v>1878</v>
      </c>
      <c r="W50" s="10"/>
    </row>
    <row r="51" spans="1:23" x14ac:dyDescent="0.25">
      <c r="A51">
        <v>131986738</v>
      </c>
      <c r="B51">
        <v>5.03</v>
      </c>
      <c r="C51">
        <v>1</v>
      </c>
      <c r="D51" t="s">
        <v>60</v>
      </c>
      <c r="E51" t="s">
        <v>47</v>
      </c>
      <c r="F51">
        <v>131986738</v>
      </c>
      <c r="G51" t="s">
        <v>107</v>
      </c>
      <c r="H51">
        <v>474</v>
      </c>
      <c r="I51">
        <v>94</v>
      </c>
      <c r="J51">
        <v>94</v>
      </c>
      <c r="K51">
        <v>1</v>
      </c>
      <c r="L51">
        <v>30.2</v>
      </c>
      <c r="M51">
        <v>-4.9000000000000004</v>
      </c>
      <c r="N51" s="10">
        <v>55800</v>
      </c>
      <c r="O51" s="10">
        <v>-4560</v>
      </c>
      <c r="P51" s="10">
        <v>574</v>
      </c>
      <c r="Q51">
        <v>0</v>
      </c>
      <c r="R51">
        <v>0</v>
      </c>
      <c r="S51" t="s">
        <v>11</v>
      </c>
      <c r="T51" t="s">
        <v>49</v>
      </c>
      <c r="U51" t="s">
        <v>1878</v>
      </c>
      <c r="W51" s="10"/>
    </row>
    <row r="52" spans="1:23" x14ac:dyDescent="0.25">
      <c r="A52">
        <v>131986851</v>
      </c>
      <c r="B52">
        <v>7.7</v>
      </c>
      <c r="C52">
        <v>2</v>
      </c>
      <c r="D52" t="s">
        <v>60</v>
      </c>
      <c r="E52" t="s">
        <v>55</v>
      </c>
      <c r="F52">
        <v>131986851</v>
      </c>
      <c r="G52" t="s">
        <v>108</v>
      </c>
      <c r="H52">
        <v>1107</v>
      </c>
      <c r="I52">
        <v>288</v>
      </c>
      <c r="J52">
        <v>144</v>
      </c>
      <c r="K52">
        <v>4</v>
      </c>
      <c r="L52">
        <v>44.8</v>
      </c>
      <c r="M52">
        <v>-13</v>
      </c>
      <c r="N52" s="10">
        <v>84100</v>
      </c>
      <c r="O52" s="10">
        <v>-9100</v>
      </c>
      <c r="P52" s="10">
        <v>1750</v>
      </c>
      <c r="Q52">
        <v>0</v>
      </c>
      <c r="R52">
        <v>0</v>
      </c>
      <c r="S52" t="s">
        <v>11</v>
      </c>
      <c r="T52" t="s">
        <v>49</v>
      </c>
      <c r="U52" t="s">
        <v>1878</v>
      </c>
      <c r="W52" s="10"/>
    </row>
    <row r="53" spans="1:23" x14ac:dyDescent="0.25">
      <c r="A53">
        <v>131986865</v>
      </c>
      <c r="B53">
        <v>12.13</v>
      </c>
      <c r="C53">
        <v>3</v>
      </c>
      <c r="D53" t="s">
        <v>102</v>
      </c>
      <c r="E53" t="s">
        <v>47</v>
      </c>
      <c r="F53">
        <v>131986865</v>
      </c>
      <c r="G53" t="s">
        <v>109</v>
      </c>
      <c r="H53">
        <v>4030</v>
      </c>
      <c r="I53">
        <v>996</v>
      </c>
      <c r="J53">
        <v>332</v>
      </c>
      <c r="K53">
        <v>13</v>
      </c>
      <c r="L53">
        <v>144.1</v>
      </c>
      <c r="M53">
        <v>-29.1</v>
      </c>
      <c r="N53" s="10">
        <v>344000</v>
      </c>
      <c r="O53" s="10">
        <v>-40000</v>
      </c>
      <c r="P53" s="10">
        <v>4740</v>
      </c>
      <c r="Q53">
        <v>0</v>
      </c>
      <c r="R53">
        <v>0</v>
      </c>
      <c r="S53" t="s">
        <v>11</v>
      </c>
      <c r="T53" t="s">
        <v>49</v>
      </c>
      <c r="U53" t="s">
        <v>1878</v>
      </c>
      <c r="W53" s="10"/>
    </row>
    <row r="54" spans="1:23" x14ac:dyDescent="0.25">
      <c r="A54">
        <v>131986866</v>
      </c>
      <c r="B54">
        <v>4.95</v>
      </c>
      <c r="C54">
        <v>1</v>
      </c>
      <c r="D54" t="s">
        <v>60</v>
      </c>
      <c r="E54" t="s">
        <v>51</v>
      </c>
      <c r="F54">
        <v>131986866</v>
      </c>
      <c r="G54" t="s">
        <v>110</v>
      </c>
      <c r="H54">
        <v>469</v>
      </c>
      <c r="I54">
        <v>95</v>
      </c>
      <c r="J54">
        <v>95</v>
      </c>
      <c r="K54">
        <v>1</v>
      </c>
      <c r="L54">
        <v>21.3</v>
      </c>
      <c r="M54">
        <v>-4.7</v>
      </c>
      <c r="N54" s="10">
        <v>40000</v>
      </c>
      <c r="O54" s="10">
        <v>-3700</v>
      </c>
      <c r="P54" s="10">
        <v>577</v>
      </c>
      <c r="Q54">
        <v>0</v>
      </c>
      <c r="R54">
        <v>0</v>
      </c>
      <c r="S54" t="s">
        <v>11</v>
      </c>
      <c r="T54" t="s">
        <v>49</v>
      </c>
      <c r="U54" t="s">
        <v>1878</v>
      </c>
      <c r="W54" s="10"/>
    </row>
    <row r="55" spans="1:23" x14ac:dyDescent="0.25">
      <c r="A55">
        <v>131986886</v>
      </c>
      <c r="B55">
        <v>14.7</v>
      </c>
      <c r="C55">
        <v>4</v>
      </c>
      <c r="D55" t="s">
        <v>60</v>
      </c>
      <c r="E55" t="s">
        <v>80</v>
      </c>
      <c r="F55">
        <v>131986886</v>
      </c>
      <c r="G55" t="s">
        <v>111</v>
      </c>
      <c r="H55">
        <v>6731</v>
      </c>
      <c r="I55">
        <v>1832</v>
      </c>
      <c r="J55">
        <v>458</v>
      </c>
      <c r="K55">
        <v>24</v>
      </c>
      <c r="L55">
        <v>210.7</v>
      </c>
      <c r="M55">
        <v>-61.2</v>
      </c>
      <c r="N55" s="10">
        <v>428000</v>
      </c>
      <c r="O55" s="10">
        <v>-44600</v>
      </c>
      <c r="P55" s="10">
        <v>11200</v>
      </c>
      <c r="Q55">
        <v>0</v>
      </c>
      <c r="R55">
        <v>0</v>
      </c>
      <c r="S55" t="s">
        <v>11</v>
      </c>
      <c r="T55" t="s">
        <v>49</v>
      </c>
      <c r="U55" t="s">
        <v>1878</v>
      </c>
      <c r="W55" s="10"/>
    </row>
    <row r="56" spans="1:23" x14ac:dyDescent="0.25">
      <c r="A56">
        <v>131986891</v>
      </c>
      <c r="B56">
        <v>12.74</v>
      </c>
      <c r="C56">
        <v>3</v>
      </c>
      <c r="D56" t="s">
        <v>60</v>
      </c>
      <c r="E56" t="s">
        <v>55</v>
      </c>
      <c r="F56">
        <v>131986891</v>
      </c>
      <c r="G56" t="s">
        <v>112</v>
      </c>
      <c r="H56">
        <v>4229</v>
      </c>
      <c r="I56">
        <v>996</v>
      </c>
      <c r="J56">
        <v>332</v>
      </c>
      <c r="K56">
        <v>13</v>
      </c>
      <c r="L56">
        <v>81.7</v>
      </c>
      <c r="M56">
        <v>-28.4</v>
      </c>
      <c r="N56" s="10">
        <v>185000</v>
      </c>
      <c r="O56" s="10">
        <v>-21600</v>
      </c>
      <c r="P56" s="10">
        <v>6070</v>
      </c>
      <c r="Q56">
        <v>0</v>
      </c>
      <c r="R56">
        <v>0</v>
      </c>
      <c r="S56" t="s">
        <v>11</v>
      </c>
      <c r="T56" t="s">
        <v>49</v>
      </c>
      <c r="U56" t="s">
        <v>1878</v>
      </c>
      <c r="W56" s="10"/>
    </row>
    <row r="57" spans="1:23" x14ac:dyDescent="0.25">
      <c r="A57">
        <v>131986909</v>
      </c>
      <c r="B57">
        <v>11.24</v>
      </c>
      <c r="C57">
        <v>3</v>
      </c>
      <c r="D57" t="s">
        <v>60</v>
      </c>
      <c r="E57" t="s">
        <v>47</v>
      </c>
      <c r="F57">
        <v>131986909</v>
      </c>
      <c r="G57" t="s">
        <v>113</v>
      </c>
      <c r="H57">
        <v>2141</v>
      </c>
      <c r="I57">
        <v>572</v>
      </c>
      <c r="J57">
        <v>191</v>
      </c>
      <c r="K57">
        <v>7</v>
      </c>
      <c r="L57">
        <v>104.1</v>
      </c>
      <c r="M57">
        <v>-21.3</v>
      </c>
      <c r="N57" s="10">
        <v>198000</v>
      </c>
      <c r="O57" s="10">
        <v>-18700</v>
      </c>
      <c r="P57" s="10">
        <v>3480</v>
      </c>
      <c r="Q57">
        <v>0</v>
      </c>
      <c r="R57">
        <v>0</v>
      </c>
      <c r="S57" t="s">
        <v>11</v>
      </c>
      <c r="T57" t="s">
        <v>49</v>
      </c>
      <c r="U57" t="s">
        <v>1878</v>
      </c>
      <c r="W57" s="10"/>
    </row>
    <row r="58" spans="1:23" x14ac:dyDescent="0.25">
      <c r="A58">
        <v>131986929</v>
      </c>
      <c r="B58">
        <v>6.93</v>
      </c>
      <c r="C58">
        <v>1</v>
      </c>
      <c r="D58" t="s">
        <v>60</v>
      </c>
      <c r="E58" t="s">
        <v>47</v>
      </c>
      <c r="F58">
        <v>131986929</v>
      </c>
      <c r="G58" t="s">
        <v>114</v>
      </c>
      <c r="H58">
        <v>806</v>
      </c>
      <c r="I58">
        <v>116</v>
      </c>
      <c r="J58">
        <v>116</v>
      </c>
      <c r="K58">
        <v>2</v>
      </c>
      <c r="L58">
        <v>46.6</v>
      </c>
      <c r="M58">
        <v>-7.3</v>
      </c>
      <c r="N58" s="10">
        <v>88000</v>
      </c>
      <c r="O58" s="10">
        <v>-6940</v>
      </c>
      <c r="P58" s="10">
        <v>709</v>
      </c>
      <c r="Q58">
        <v>0</v>
      </c>
      <c r="R58">
        <v>0</v>
      </c>
      <c r="S58" t="s">
        <v>11</v>
      </c>
      <c r="T58" t="s">
        <v>49</v>
      </c>
      <c r="U58" t="s">
        <v>1878</v>
      </c>
      <c r="W58" s="10"/>
    </row>
    <row r="59" spans="1:23" x14ac:dyDescent="0.25">
      <c r="A59">
        <v>131986939</v>
      </c>
      <c r="B59">
        <v>9.77</v>
      </c>
      <c r="C59">
        <v>2</v>
      </c>
      <c r="D59" t="s">
        <v>54</v>
      </c>
      <c r="E59" t="s">
        <v>47</v>
      </c>
      <c r="F59">
        <v>131986939</v>
      </c>
      <c r="G59" t="s">
        <v>115</v>
      </c>
      <c r="H59">
        <v>3604</v>
      </c>
      <c r="I59">
        <v>738</v>
      </c>
      <c r="J59">
        <v>369</v>
      </c>
      <c r="K59">
        <v>10</v>
      </c>
      <c r="L59">
        <v>103</v>
      </c>
      <c r="M59">
        <v>-20.6</v>
      </c>
      <c r="N59" s="10">
        <v>253000</v>
      </c>
      <c r="O59" s="10">
        <v>-27900</v>
      </c>
      <c r="P59" s="10">
        <v>3510</v>
      </c>
      <c r="Q59">
        <v>8</v>
      </c>
      <c r="R59">
        <v>11056</v>
      </c>
      <c r="S59" t="s">
        <v>11</v>
      </c>
      <c r="T59" t="s">
        <v>49</v>
      </c>
      <c r="U59" t="s">
        <v>1878</v>
      </c>
      <c r="W59" s="10"/>
    </row>
    <row r="60" spans="1:23" x14ac:dyDescent="0.25">
      <c r="A60">
        <v>131986945</v>
      </c>
      <c r="B60">
        <v>14.4</v>
      </c>
      <c r="C60">
        <v>4</v>
      </c>
      <c r="D60" t="s">
        <v>60</v>
      </c>
      <c r="E60" t="s">
        <v>51</v>
      </c>
      <c r="F60">
        <v>131986945</v>
      </c>
      <c r="G60" t="s">
        <v>116</v>
      </c>
      <c r="H60">
        <v>6223</v>
      </c>
      <c r="I60">
        <v>1728</v>
      </c>
      <c r="J60">
        <v>432</v>
      </c>
      <c r="K60">
        <v>22</v>
      </c>
      <c r="L60">
        <v>166</v>
      </c>
      <c r="M60">
        <v>-55.7</v>
      </c>
      <c r="N60" s="10">
        <v>342000</v>
      </c>
      <c r="O60" s="10">
        <v>-36700</v>
      </c>
      <c r="P60" s="10">
        <v>10500</v>
      </c>
      <c r="Q60">
        <v>0</v>
      </c>
      <c r="R60">
        <v>0</v>
      </c>
      <c r="S60" t="s">
        <v>11</v>
      </c>
      <c r="T60" t="s">
        <v>49</v>
      </c>
      <c r="U60" t="s">
        <v>1878</v>
      </c>
      <c r="W60" s="10"/>
    </row>
    <row r="61" spans="1:23" x14ac:dyDescent="0.25">
      <c r="A61">
        <v>131986949</v>
      </c>
      <c r="B61">
        <v>6.6</v>
      </c>
      <c r="C61">
        <v>1</v>
      </c>
      <c r="D61" t="s">
        <v>60</v>
      </c>
      <c r="E61" t="s">
        <v>47</v>
      </c>
      <c r="F61">
        <v>131986949</v>
      </c>
      <c r="G61" t="s">
        <v>117</v>
      </c>
      <c r="H61">
        <v>2275</v>
      </c>
      <c r="I61">
        <v>345</v>
      </c>
      <c r="J61">
        <v>345</v>
      </c>
      <c r="K61">
        <v>4</v>
      </c>
      <c r="L61">
        <v>96.7</v>
      </c>
      <c r="M61">
        <v>-17.5</v>
      </c>
      <c r="N61" s="10">
        <v>185000</v>
      </c>
      <c r="O61" s="10">
        <v>-16300</v>
      </c>
      <c r="P61" s="10">
        <v>2100</v>
      </c>
      <c r="Q61">
        <v>0</v>
      </c>
      <c r="R61">
        <v>0</v>
      </c>
      <c r="S61" t="s">
        <v>11</v>
      </c>
      <c r="T61" t="s">
        <v>49</v>
      </c>
      <c r="U61" t="s">
        <v>1878</v>
      </c>
      <c r="W61" s="10"/>
    </row>
    <row r="62" spans="1:23" x14ac:dyDescent="0.25">
      <c r="A62">
        <v>131986983</v>
      </c>
      <c r="B62">
        <v>7.42</v>
      </c>
      <c r="C62">
        <v>2</v>
      </c>
      <c r="D62" t="s">
        <v>54</v>
      </c>
      <c r="E62" t="s">
        <v>51</v>
      </c>
      <c r="F62">
        <v>131986983</v>
      </c>
      <c r="G62" t="s">
        <v>118</v>
      </c>
      <c r="H62">
        <v>1880</v>
      </c>
      <c r="I62">
        <v>507</v>
      </c>
      <c r="J62">
        <v>254</v>
      </c>
      <c r="K62">
        <v>7</v>
      </c>
      <c r="L62">
        <v>37.799999999999997</v>
      </c>
      <c r="M62">
        <v>-10.8</v>
      </c>
      <c r="N62" s="10">
        <v>118000</v>
      </c>
      <c r="O62" s="10">
        <v>-15000</v>
      </c>
      <c r="P62" s="10">
        <v>2410</v>
      </c>
      <c r="Q62">
        <v>4.5</v>
      </c>
      <c r="R62">
        <v>6219</v>
      </c>
      <c r="S62" t="s">
        <v>11</v>
      </c>
      <c r="T62" t="s">
        <v>49</v>
      </c>
      <c r="U62" t="s">
        <v>1878</v>
      </c>
      <c r="W62" s="10"/>
    </row>
    <row r="63" spans="1:23" x14ac:dyDescent="0.25">
      <c r="A63">
        <v>131986995</v>
      </c>
      <c r="B63">
        <v>3.65</v>
      </c>
      <c r="C63">
        <v>1</v>
      </c>
      <c r="D63" t="s">
        <v>102</v>
      </c>
      <c r="E63" t="s">
        <v>47</v>
      </c>
      <c r="F63">
        <v>131986995</v>
      </c>
      <c r="G63" t="s">
        <v>119</v>
      </c>
      <c r="H63">
        <v>698</v>
      </c>
      <c r="I63">
        <v>191</v>
      </c>
      <c r="J63">
        <v>191</v>
      </c>
      <c r="K63">
        <v>2</v>
      </c>
      <c r="L63">
        <v>52.9</v>
      </c>
      <c r="M63">
        <v>-7.4</v>
      </c>
      <c r="N63" s="10">
        <v>108000</v>
      </c>
      <c r="O63" s="10">
        <v>-10200</v>
      </c>
      <c r="P63" s="10">
        <v>910</v>
      </c>
      <c r="Q63">
        <v>0</v>
      </c>
      <c r="R63">
        <v>0</v>
      </c>
      <c r="S63" t="s">
        <v>11</v>
      </c>
      <c r="T63" t="s">
        <v>49</v>
      </c>
      <c r="U63" t="s">
        <v>1878</v>
      </c>
      <c r="W63" s="10"/>
    </row>
    <row r="64" spans="1:23" x14ac:dyDescent="0.25">
      <c r="A64">
        <v>131986998</v>
      </c>
      <c r="B64">
        <v>6.6</v>
      </c>
      <c r="C64">
        <v>1</v>
      </c>
      <c r="D64" t="s">
        <v>60</v>
      </c>
      <c r="E64" t="s">
        <v>51</v>
      </c>
      <c r="F64">
        <v>131986998</v>
      </c>
      <c r="G64" t="s">
        <v>120</v>
      </c>
      <c r="H64">
        <v>1526</v>
      </c>
      <c r="I64">
        <v>231</v>
      </c>
      <c r="J64">
        <v>231</v>
      </c>
      <c r="K64">
        <v>3</v>
      </c>
      <c r="L64">
        <v>53.8</v>
      </c>
      <c r="M64">
        <v>-12.6</v>
      </c>
      <c r="N64" s="10">
        <v>104000</v>
      </c>
      <c r="O64" s="10">
        <v>-10500</v>
      </c>
      <c r="P64" s="10">
        <v>1410</v>
      </c>
      <c r="Q64">
        <v>0</v>
      </c>
      <c r="R64">
        <v>0</v>
      </c>
      <c r="S64" t="s">
        <v>11</v>
      </c>
      <c r="T64" t="s">
        <v>49</v>
      </c>
      <c r="U64" t="s">
        <v>1878</v>
      </c>
      <c r="W64" s="10"/>
    </row>
    <row r="65" spans="1:23" x14ac:dyDescent="0.25">
      <c r="A65">
        <v>131987005</v>
      </c>
      <c r="B65">
        <v>12.53</v>
      </c>
      <c r="C65">
        <v>3</v>
      </c>
      <c r="D65" t="s">
        <v>60</v>
      </c>
      <c r="E65" t="s">
        <v>80</v>
      </c>
      <c r="F65">
        <v>131987005</v>
      </c>
      <c r="G65" t="s">
        <v>121</v>
      </c>
      <c r="H65">
        <v>3582</v>
      </c>
      <c r="I65">
        <v>857</v>
      </c>
      <c r="J65">
        <v>286</v>
      </c>
      <c r="K65">
        <v>11</v>
      </c>
      <c r="L65">
        <v>116.1</v>
      </c>
      <c r="M65">
        <v>-30.7</v>
      </c>
      <c r="N65" s="10">
        <v>232000</v>
      </c>
      <c r="O65" s="10">
        <v>-24300</v>
      </c>
      <c r="P65" s="10">
        <v>5230</v>
      </c>
      <c r="Q65">
        <v>0</v>
      </c>
      <c r="R65">
        <v>0</v>
      </c>
      <c r="S65" t="s">
        <v>11</v>
      </c>
      <c r="T65" t="s">
        <v>49</v>
      </c>
      <c r="U65" t="s">
        <v>1878</v>
      </c>
      <c r="W65" s="10"/>
    </row>
    <row r="66" spans="1:23" x14ac:dyDescent="0.25">
      <c r="A66">
        <v>131987025</v>
      </c>
      <c r="B66">
        <v>8.6999999999999993</v>
      </c>
      <c r="C66">
        <v>2</v>
      </c>
      <c r="D66" t="s">
        <v>60</v>
      </c>
      <c r="E66" t="s">
        <v>47</v>
      </c>
      <c r="F66">
        <v>131987025</v>
      </c>
      <c r="G66" t="s">
        <v>122</v>
      </c>
      <c r="H66">
        <v>1398</v>
      </c>
      <c r="I66">
        <v>321</v>
      </c>
      <c r="J66">
        <v>161</v>
      </c>
      <c r="K66">
        <v>4</v>
      </c>
      <c r="L66">
        <v>77.7</v>
      </c>
      <c r="M66">
        <v>-14.3</v>
      </c>
      <c r="N66" s="10">
        <v>142000</v>
      </c>
      <c r="O66" s="10">
        <v>-12400</v>
      </c>
      <c r="P66" s="10">
        <v>1960</v>
      </c>
      <c r="Q66">
        <v>0</v>
      </c>
      <c r="R66">
        <v>0</v>
      </c>
      <c r="S66" t="s">
        <v>11</v>
      </c>
      <c r="T66" t="s">
        <v>49</v>
      </c>
      <c r="U66" t="s">
        <v>1878</v>
      </c>
      <c r="W66" s="10"/>
    </row>
    <row r="67" spans="1:23" x14ac:dyDescent="0.25">
      <c r="A67">
        <v>131987027</v>
      </c>
      <c r="B67">
        <v>12.3</v>
      </c>
      <c r="C67">
        <v>3</v>
      </c>
      <c r="D67" t="s">
        <v>60</v>
      </c>
      <c r="E67" t="s">
        <v>47</v>
      </c>
      <c r="F67">
        <v>131987027</v>
      </c>
      <c r="G67" t="s">
        <v>123</v>
      </c>
      <c r="H67">
        <v>2917</v>
      </c>
      <c r="I67">
        <v>712</v>
      </c>
      <c r="J67">
        <v>237</v>
      </c>
      <c r="K67">
        <v>9</v>
      </c>
      <c r="L67">
        <v>134.80000000000001</v>
      </c>
      <c r="M67">
        <v>-28</v>
      </c>
      <c r="N67" s="10">
        <v>256000</v>
      </c>
      <c r="O67" s="10">
        <v>-23300</v>
      </c>
      <c r="P67" s="10">
        <v>4340</v>
      </c>
      <c r="Q67">
        <v>0</v>
      </c>
      <c r="R67">
        <v>0</v>
      </c>
      <c r="S67" t="s">
        <v>11</v>
      </c>
      <c r="T67" t="s">
        <v>49</v>
      </c>
      <c r="U67" t="s">
        <v>1878</v>
      </c>
      <c r="W67" s="10"/>
    </row>
    <row r="68" spans="1:23" x14ac:dyDescent="0.25">
      <c r="A68">
        <v>131987029</v>
      </c>
      <c r="B68">
        <v>10.53</v>
      </c>
      <c r="C68">
        <v>3</v>
      </c>
      <c r="D68" t="s">
        <v>60</v>
      </c>
      <c r="E68" t="s">
        <v>80</v>
      </c>
      <c r="F68">
        <v>131987029</v>
      </c>
      <c r="G68" t="s">
        <v>124</v>
      </c>
      <c r="H68">
        <v>1761</v>
      </c>
      <c r="I68">
        <v>502</v>
      </c>
      <c r="J68">
        <v>167</v>
      </c>
      <c r="K68">
        <v>7</v>
      </c>
      <c r="L68">
        <v>59.7</v>
      </c>
      <c r="M68">
        <v>-16.399999999999999</v>
      </c>
      <c r="N68" s="10">
        <v>122000</v>
      </c>
      <c r="O68" s="10">
        <v>-12600</v>
      </c>
      <c r="P68" s="10">
        <v>3060</v>
      </c>
      <c r="Q68">
        <v>0</v>
      </c>
      <c r="R68">
        <v>0</v>
      </c>
      <c r="S68" t="s">
        <v>11</v>
      </c>
      <c r="T68" t="s">
        <v>49</v>
      </c>
      <c r="U68" t="s">
        <v>1878</v>
      </c>
      <c r="W68" s="10"/>
    </row>
    <row r="69" spans="1:23" x14ac:dyDescent="0.25">
      <c r="A69">
        <v>131987035</v>
      </c>
      <c r="B69">
        <v>8.33</v>
      </c>
      <c r="C69">
        <v>2</v>
      </c>
      <c r="D69" t="s">
        <v>54</v>
      </c>
      <c r="E69" t="s">
        <v>47</v>
      </c>
      <c r="F69">
        <v>131987035</v>
      </c>
      <c r="G69" t="s">
        <v>125</v>
      </c>
      <c r="H69">
        <v>3541</v>
      </c>
      <c r="I69">
        <v>850</v>
      </c>
      <c r="J69">
        <v>425</v>
      </c>
      <c r="K69">
        <v>11</v>
      </c>
      <c r="L69">
        <v>98.5</v>
      </c>
      <c r="M69">
        <v>-20.6</v>
      </c>
      <c r="N69" s="10">
        <v>259000</v>
      </c>
      <c r="O69" s="10">
        <v>-29600</v>
      </c>
      <c r="P69" s="10">
        <v>4040</v>
      </c>
      <c r="Q69">
        <v>8</v>
      </c>
      <c r="R69">
        <v>11056</v>
      </c>
      <c r="S69" t="s">
        <v>11</v>
      </c>
      <c r="T69" t="s">
        <v>49</v>
      </c>
      <c r="U69" t="s">
        <v>1878</v>
      </c>
      <c r="W69" s="10"/>
    </row>
    <row r="70" spans="1:23" x14ac:dyDescent="0.25">
      <c r="A70">
        <v>131987045</v>
      </c>
      <c r="B70">
        <v>13.82</v>
      </c>
      <c r="C70">
        <v>3</v>
      </c>
      <c r="D70" t="s">
        <v>60</v>
      </c>
      <c r="E70" t="s">
        <v>55</v>
      </c>
      <c r="F70">
        <v>131987045</v>
      </c>
      <c r="G70" t="s">
        <v>126</v>
      </c>
      <c r="H70">
        <v>3515</v>
      </c>
      <c r="I70">
        <v>763</v>
      </c>
      <c r="J70">
        <v>254</v>
      </c>
      <c r="K70">
        <v>10</v>
      </c>
      <c r="L70">
        <v>77.7</v>
      </c>
      <c r="M70">
        <v>-26.4</v>
      </c>
      <c r="N70" s="10">
        <v>166000</v>
      </c>
      <c r="O70" s="10">
        <v>-18800</v>
      </c>
      <c r="P70" s="10">
        <v>4650</v>
      </c>
      <c r="Q70">
        <v>0</v>
      </c>
      <c r="R70">
        <v>0</v>
      </c>
      <c r="S70" t="s">
        <v>11</v>
      </c>
      <c r="T70" t="s">
        <v>49</v>
      </c>
      <c r="U70" t="s">
        <v>1878</v>
      </c>
      <c r="W70" s="10"/>
    </row>
    <row r="71" spans="1:23" x14ac:dyDescent="0.25">
      <c r="A71">
        <v>131987056</v>
      </c>
      <c r="B71">
        <v>5.18</v>
      </c>
      <c r="C71">
        <v>1</v>
      </c>
      <c r="D71" t="s">
        <v>60</v>
      </c>
      <c r="E71" t="s">
        <v>58</v>
      </c>
      <c r="F71">
        <v>131987056</v>
      </c>
      <c r="G71" t="s">
        <v>127</v>
      </c>
      <c r="H71">
        <v>651</v>
      </c>
      <c r="I71">
        <v>126</v>
      </c>
      <c r="J71">
        <v>126</v>
      </c>
      <c r="K71">
        <v>2</v>
      </c>
      <c r="L71">
        <v>29.9</v>
      </c>
      <c r="M71">
        <v>-7.3</v>
      </c>
      <c r="N71" s="10">
        <v>56900</v>
      </c>
      <c r="O71" s="10">
        <v>-5450</v>
      </c>
      <c r="P71" s="10">
        <v>767</v>
      </c>
      <c r="Q71">
        <v>0</v>
      </c>
      <c r="R71">
        <v>0</v>
      </c>
      <c r="S71" t="s">
        <v>11</v>
      </c>
      <c r="T71" t="s">
        <v>49</v>
      </c>
      <c r="U71" t="s">
        <v>1878</v>
      </c>
      <c r="W71" s="10"/>
    </row>
    <row r="72" spans="1:23" x14ac:dyDescent="0.25">
      <c r="A72">
        <v>131987063</v>
      </c>
      <c r="B72">
        <v>17.97</v>
      </c>
      <c r="C72">
        <v>5</v>
      </c>
      <c r="D72" t="s">
        <v>54</v>
      </c>
      <c r="E72" t="s">
        <v>55</v>
      </c>
      <c r="F72">
        <v>131987063</v>
      </c>
      <c r="G72" t="s">
        <v>128</v>
      </c>
      <c r="H72">
        <v>6430</v>
      </c>
      <c r="I72">
        <v>1790</v>
      </c>
      <c r="J72">
        <v>358</v>
      </c>
      <c r="K72">
        <v>23</v>
      </c>
      <c r="L72">
        <v>126.5</v>
      </c>
      <c r="M72">
        <v>-49.2</v>
      </c>
      <c r="N72" s="10">
        <v>388000</v>
      </c>
      <c r="O72" s="10">
        <v>-59600</v>
      </c>
      <c r="P72" s="10">
        <v>8520</v>
      </c>
      <c r="Q72">
        <v>8</v>
      </c>
      <c r="R72">
        <v>11056</v>
      </c>
      <c r="S72" t="s">
        <v>11</v>
      </c>
      <c r="T72" t="s">
        <v>49</v>
      </c>
      <c r="U72" t="s">
        <v>1878</v>
      </c>
      <c r="W72" s="10"/>
    </row>
    <row r="73" spans="1:23" x14ac:dyDescent="0.25">
      <c r="A73">
        <v>131987071</v>
      </c>
      <c r="B73">
        <v>6.5</v>
      </c>
      <c r="C73">
        <v>1</v>
      </c>
      <c r="D73" t="s">
        <v>46</v>
      </c>
      <c r="E73" t="s">
        <v>47</v>
      </c>
      <c r="F73">
        <v>131987071</v>
      </c>
      <c r="G73" t="s">
        <v>129</v>
      </c>
      <c r="H73">
        <v>1269</v>
      </c>
      <c r="I73">
        <v>195</v>
      </c>
      <c r="J73">
        <v>195</v>
      </c>
      <c r="K73">
        <v>3</v>
      </c>
      <c r="L73">
        <v>64.400000000000006</v>
      </c>
      <c r="M73">
        <v>-9.5</v>
      </c>
      <c r="N73" s="10">
        <v>128000</v>
      </c>
      <c r="O73" s="10">
        <v>-11700</v>
      </c>
      <c r="P73" s="10">
        <v>929</v>
      </c>
      <c r="Q73">
        <v>4.5</v>
      </c>
      <c r="R73">
        <v>6219</v>
      </c>
      <c r="S73" t="s">
        <v>11</v>
      </c>
      <c r="T73" t="s">
        <v>49</v>
      </c>
      <c r="U73" t="s">
        <v>1878</v>
      </c>
      <c r="W73" s="10"/>
    </row>
    <row r="74" spans="1:23" x14ac:dyDescent="0.25">
      <c r="A74">
        <v>131987095</v>
      </c>
      <c r="B74">
        <v>6.5</v>
      </c>
      <c r="C74">
        <v>1</v>
      </c>
      <c r="D74" t="s">
        <v>60</v>
      </c>
      <c r="E74" t="s">
        <v>47</v>
      </c>
      <c r="F74">
        <v>131987095</v>
      </c>
      <c r="G74" t="s">
        <v>130</v>
      </c>
      <c r="H74">
        <v>2115</v>
      </c>
      <c r="I74">
        <v>325</v>
      </c>
      <c r="J74">
        <v>325</v>
      </c>
      <c r="K74">
        <v>4</v>
      </c>
      <c r="L74">
        <v>107.4</v>
      </c>
      <c r="M74">
        <v>-18.100000000000001</v>
      </c>
      <c r="N74" s="10">
        <v>202000</v>
      </c>
      <c r="O74" s="10">
        <v>-17200</v>
      </c>
      <c r="P74" s="10">
        <v>1980</v>
      </c>
      <c r="Q74">
        <v>0</v>
      </c>
      <c r="R74">
        <v>0</v>
      </c>
      <c r="S74" t="s">
        <v>11</v>
      </c>
      <c r="T74" t="s">
        <v>49</v>
      </c>
      <c r="U74" t="s">
        <v>1878</v>
      </c>
      <c r="W74" s="10"/>
    </row>
    <row r="75" spans="1:23" x14ac:dyDescent="0.25">
      <c r="A75">
        <v>131987112</v>
      </c>
      <c r="B75">
        <v>7.3</v>
      </c>
      <c r="C75">
        <v>2</v>
      </c>
      <c r="D75" t="s">
        <v>60</v>
      </c>
      <c r="E75" t="s">
        <v>58</v>
      </c>
      <c r="F75">
        <v>131987112</v>
      </c>
      <c r="G75" t="s">
        <v>131</v>
      </c>
      <c r="H75">
        <v>869</v>
      </c>
      <c r="I75">
        <v>238</v>
      </c>
      <c r="J75">
        <v>119</v>
      </c>
      <c r="K75">
        <v>3</v>
      </c>
      <c r="L75">
        <v>31</v>
      </c>
      <c r="M75">
        <v>-9.3000000000000007</v>
      </c>
      <c r="N75" s="10">
        <v>61300</v>
      </c>
      <c r="O75" s="10">
        <v>-6210</v>
      </c>
      <c r="P75" s="10">
        <v>1450</v>
      </c>
      <c r="Q75">
        <v>0</v>
      </c>
      <c r="R75">
        <v>0</v>
      </c>
      <c r="S75" t="s">
        <v>11</v>
      </c>
      <c r="T75" t="s">
        <v>49</v>
      </c>
      <c r="U75" t="s">
        <v>1878</v>
      </c>
      <c r="W75" s="10"/>
    </row>
    <row r="76" spans="1:23" x14ac:dyDescent="0.25">
      <c r="A76">
        <v>131987114</v>
      </c>
      <c r="B76">
        <v>2.0499999999999998</v>
      </c>
      <c r="C76">
        <v>1</v>
      </c>
      <c r="D76" t="s">
        <v>54</v>
      </c>
      <c r="E76" t="s">
        <v>47</v>
      </c>
      <c r="F76">
        <v>131987114</v>
      </c>
      <c r="G76" t="s">
        <v>132</v>
      </c>
      <c r="H76">
        <v>359</v>
      </c>
      <c r="I76">
        <v>175</v>
      </c>
      <c r="J76">
        <v>175</v>
      </c>
      <c r="K76">
        <v>2</v>
      </c>
      <c r="L76">
        <v>42.2</v>
      </c>
      <c r="M76">
        <v>-6</v>
      </c>
      <c r="N76" s="10">
        <v>86800</v>
      </c>
      <c r="O76" s="10">
        <v>-8310</v>
      </c>
      <c r="P76" s="10">
        <v>834</v>
      </c>
      <c r="Q76">
        <v>4.5</v>
      </c>
      <c r="R76">
        <v>6219</v>
      </c>
      <c r="S76" t="s">
        <v>11</v>
      </c>
      <c r="T76" t="s">
        <v>49</v>
      </c>
      <c r="U76" t="s">
        <v>1878</v>
      </c>
      <c r="W76" s="10"/>
    </row>
    <row r="77" spans="1:23" x14ac:dyDescent="0.25">
      <c r="A77">
        <v>131987119</v>
      </c>
      <c r="B77">
        <v>14.72</v>
      </c>
      <c r="C77">
        <v>4</v>
      </c>
      <c r="D77" t="s">
        <v>60</v>
      </c>
      <c r="E77" t="s">
        <v>51</v>
      </c>
      <c r="F77">
        <v>131987119</v>
      </c>
      <c r="G77" t="s">
        <v>133</v>
      </c>
      <c r="H77">
        <v>5354</v>
      </c>
      <c r="I77">
        <v>1455</v>
      </c>
      <c r="J77">
        <v>364</v>
      </c>
      <c r="K77">
        <v>19</v>
      </c>
      <c r="L77">
        <v>113.7</v>
      </c>
      <c r="M77">
        <v>-42.6</v>
      </c>
      <c r="N77" s="10">
        <v>251000</v>
      </c>
      <c r="O77" s="10">
        <v>-27600</v>
      </c>
      <c r="P77" s="10">
        <v>8870</v>
      </c>
      <c r="Q77">
        <v>0</v>
      </c>
      <c r="R77">
        <v>0</v>
      </c>
      <c r="S77" t="s">
        <v>11</v>
      </c>
      <c r="T77" t="s">
        <v>49</v>
      </c>
      <c r="U77" t="s">
        <v>1878</v>
      </c>
      <c r="W77" s="10"/>
    </row>
    <row r="78" spans="1:23" x14ac:dyDescent="0.25">
      <c r="A78">
        <v>131987132</v>
      </c>
      <c r="B78">
        <v>10.18</v>
      </c>
      <c r="C78">
        <v>2</v>
      </c>
      <c r="D78" t="s">
        <v>54</v>
      </c>
      <c r="E78" t="s">
        <v>47</v>
      </c>
      <c r="F78">
        <v>131987132</v>
      </c>
      <c r="G78" t="s">
        <v>134</v>
      </c>
      <c r="H78">
        <v>4874</v>
      </c>
      <c r="I78">
        <v>958</v>
      </c>
      <c r="J78">
        <v>479</v>
      </c>
      <c r="K78">
        <v>12</v>
      </c>
      <c r="L78">
        <v>151.80000000000001</v>
      </c>
      <c r="M78">
        <v>-29.3</v>
      </c>
      <c r="N78" s="10">
        <v>356000</v>
      </c>
      <c r="O78" s="10">
        <v>-38900</v>
      </c>
      <c r="P78" s="10">
        <v>4560</v>
      </c>
      <c r="Q78">
        <v>8</v>
      </c>
      <c r="R78">
        <v>11056</v>
      </c>
      <c r="S78" t="s">
        <v>11</v>
      </c>
      <c r="T78" t="s">
        <v>49</v>
      </c>
      <c r="U78" t="s">
        <v>1878</v>
      </c>
      <c r="W78" s="10"/>
    </row>
    <row r="79" spans="1:23" x14ac:dyDescent="0.25">
      <c r="A79">
        <v>131987141</v>
      </c>
      <c r="B79">
        <v>13.5</v>
      </c>
      <c r="C79">
        <v>3</v>
      </c>
      <c r="D79" t="s">
        <v>54</v>
      </c>
      <c r="E79" t="s">
        <v>47</v>
      </c>
      <c r="F79">
        <v>131987141</v>
      </c>
      <c r="G79" t="s">
        <v>135</v>
      </c>
      <c r="H79">
        <v>4822</v>
      </c>
      <c r="I79">
        <v>1072</v>
      </c>
      <c r="J79">
        <v>357</v>
      </c>
      <c r="K79">
        <v>14</v>
      </c>
      <c r="L79">
        <v>140.5</v>
      </c>
      <c r="M79">
        <v>-30.2</v>
      </c>
      <c r="N79" s="10">
        <v>349000</v>
      </c>
      <c r="O79" s="10">
        <v>-40500</v>
      </c>
      <c r="P79" s="10">
        <v>5100</v>
      </c>
      <c r="Q79">
        <v>8</v>
      </c>
      <c r="R79">
        <v>11056</v>
      </c>
      <c r="S79" t="s">
        <v>11</v>
      </c>
      <c r="T79" t="s">
        <v>49</v>
      </c>
      <c r="U79" t="s">
        <v>1878</v>
      </c>
      <c r="W79" s="10"/>
    </row>
    <row r="80" spans="1:23" x14ac:dyDescent="0.25">
      <c r="A80">
        <v>131987144</v>
      </c>
      <c r="B80">
        <v>9</v>
      </c>
      <c r="C80">
        <v>2</v>
      </c>
      <c r="D80" t="s">
        <v>60</v>
      </c>
      <c r="E80" t="s">
        <v>80</v>
      </c>
      <c r="F80">
        <v>131987144</v>
      </c>
      <c r="G80" t="s">
        <v>136</v>
      </c>
      <c r="H80">
        <v>1144</v>
      </c>
      <c r="I80">
        <v>254</v>
      </c>
      <c r="J80">
        <v>127</v>
      </c>
      <c r="K80">
        <v>3</v>
      </c>
      <c r="L80">
        <v>39.5</v>
      </c>
      <c r="M80">
        <v>-10</v>
      </c>
      <c r="N80" s="10">
        <v>78700</v>
      </c>
      <c r="O80" s="10">
        <v>-7860</v>
      </c>
      <c r="P80" s="10">
        <v>1550</v>
      </c>
      <c r="Q80">
        <v>0</v>
      </c>
      <c r="R80">
        <v>0</v>
      </c>
      <c r="S80" t="s">
        <v>11</v>
      </c>
      <c r="T80" t="s">
        <v>49</v>
      </c>
      <c r="U80" t="s">
        <v>1878</v>
      </c>
      <c r="W80" s="10"/>
    </row>
    <row r="81" spans="1:23" x14ac:dyDescent="0.25">
      <c r="A81">
        <v>131987166</v>
      </c>
      <c r="B81">
        <v>9.83</v>
      </c>
      <c r="C81">
        <v>2</v>
      </c>
      <c r="D81" t="s">
        <v>46</v>
      </c>
      <c r="E81" t="s">
        <v>47</v>
      </c>
      <c r="F81">
        <v>131987166</v>
      </c>
      <c r="G81" t="s">
        <v>137</v>
      </c>
      <c r="H81">
        <v>4416</v>
      </c>
      <c r="I81">
        <v>898</v>
      </c>
      <c r="J81">
        <v>449</v>
      </c>
      <c r="K81">
        <v>12</v>
      </c>
      <c r="L81">
        <v>138.9</v>
      </c>
      <c r="M81">
        <v>-26.9</v>
      </c>
      <c r="N81" s="10">
        <v>328000</v>
      </c>
      <c r="O81" s="10">
        <v>-36800</v>
      </c>
      <c r="P81" s="10">
        <v>4270</v>
      </c>
      <c r="Q81">
        <v>8</v>
      </c>
      <c r="R81">
        <v>11056</v>
      </c>
      <c r="S81" t="s">
        <v>11</v>
      </c>
      <c r="T81" t="s">
        <v>49</v>
      </c>
      <c r="U81" t="s">
        <v>1878</v>
      </c>
      <c r="W81" s="10"/>
    </row>
    <row r="82" spans="1:23" x14ac:dyDescent="0.25">
      <c r="A82">
        <v>131987237</v>
      </c>
      <c r="B82">
        <v>6.53</v>
      </c>
      <c r="C82">
        <v>1</v>
      </c>
      <c r="D82" t="s">
        <v>54</v>
      </c>
      <c r="E82" t="s">
        <v>55</v>
      </c>
      <c r="F82">
        <v>131987237</v>
      </c>
      <c r="G82" t="s">
        <v>138</v>
      </c>
      <c r="H82">
        <v>3906</v>
      </c>
      <c r="I82">
        <v>598</v>
      </c>
      <c r="J82">
        <v>598</v>
      </c>
      <c r="K82">
        <v>8</v>
      </c>
      <c r="L82">
        <v>116.3</v>
      </c>
      <c r="M82">
        <v>-26.7</v>
      </c>
      <c r="N82" s="10">
        <v>259000</v>
      </c>
      <c r="O82" s="10">
        <v>-30400</v>
      </c>
      <c r="P82" s="10">
        <v>2850</v>
      </c>
      <c r="Q82">
        <v>8</v>
      </c>
      <c r="R82">
        <v>11056</v>
      </c>
      <c r="S82" t="s">
        <v>11</v>
      </c>
      <c r="T82" t="s">
        <v>49</v>
      </c>
      <c r="U82" t="s">
        <v>1878</v>
      </c>
      <c r="W82" s="10"/>
    </row>
    <row r="83" spans="1:23" x14ac:dyDescent="0.25">
      <c r="A83">
        <v>131987249</v>
      </c>
      <c r="B83">
        <v>7.1</v>
      </c>
      <c r="C83">
        <v>2</v>
      </c>
      <c r="D83" t="s">
        <v>60</v>
      </c>
      <c r="E83" t="s">
        <v>55</v>
      </c>
      <c r="F83">
        <v>131987249</v>
      </c>
      <c r="G83" t="s">
        <v>139</v>
      </c>
      <c r="H83">
        <v>1517</v>
      </c>
      <c r="I83">
        <v>427</v>
      </c>
      <c r="J83">
        <v>214</v>
      </c>
      <c r="K83">
        <v>6</v>
      </c>
      <c r="L83">
        <v>53.5</v>
      </c>
      <c r="M83">
        <v>-15.3</v>
      </c>
      <c r="N83" s="10">
        <v>106000</v>
      </c>
      <c r="O83" s="10">
        <v>-10800</v>
      </c>
      <c r="P83" s="10">
        <v>2600</v>
      </c>
      <c r="Q83">
        <v>0</v>
      </c>
      <c r="R83">
        <v>0</v>
      </c>
      <c r="S83" t="s">
        <v>11</v>
      </c>
      <c r="T83" t="s">
        <v>49</v>
      </c>
      <c r="U83" t="s">
        <v>1878</v>
      </c>
      <c r="W83" s="10"/>
    </row>
    <row r="84" spans="1:23" x14ac:dyDescent="0.25">
      <c r="A84">
        <v>131987279</v>
      </c>
      <c r="B84">
        <v>8.32</v>
      </c>
      <c r="C84">
        <v>2</v>
      </c>
      <c r="D84" t="s">
        <v>54</v>
      </c>
      <c r="E84" t="s">
        <v>47</v>
      </c>
      <c r="F84">
        <v>131987279</v>
      </c>
      <c r="G84" t="s">
        <v>140</v>
      </c>
      <c r="H84">
        <v>1589</v>
      </c>
      <c r="I84">
        <v>382</v>
      </c>
      <c r="J84">
        <v>191</v>
      </c>
      <c r="K84">
        <v>5</v>
      </c>
      <c r="L84">
        <v>70.099999999999994</v>
      </c>
      <c r="M84">
        <v>-12.3</v>
      </c>
      <c r="N84" s="10">
        <v>155000</v>
      </c>
      <c r="O84" s="10">
        <v>-17100</v>
      </c>
      <c r="P84" s="10">
        <v>1820</v>
      </c>
      <c r="Q84">
        <v>4.5</v>
      </c>
      <c r="R84">
        <v>6219</v>
      </c>
      <c r="S84" t="s">
        <v>11</v>
      </c>
      <c r="T84" t="s">
        <v>49</v>
      </c>
      <c r="U84" t="s">
        <v>1878</v>
      </c>
      <c r="W84" s="10"/>
    </row>
    <row r="85" spans="1:23" x14ac:dyDescent="0.25">
      <c r="A85">
        <v>131987280</v>
      </c>
      <c r="B85">
        <v>4.63</v>
      </c>
      <c r="C85">
        <v>1</v>
      </c>
      <c r="D85" t="s">
        <v>60</v>
      </c>
      <c r="E85" t="s">
        <v>47</v>
      </c>
      <c r="F85">
        <v>131987280</v>
      </c>
      <c r="G85" t="s">
        <v>141</v>
      </c>
      <c r="H85">
        <v>2623</v>
      </c>
      <c r="I85">
        <v>566</v>
      </c>
      <c r="J85">
        <v>566</v>
      </c>
      <c r="K85">
        <v>7</v>
      </c>
      <c r="L85">
        <v>147</v>
      </c>
      <c r="M85">
        <v>-24.6</v>
      </c>
      <c r="N85" s="10">
        <v>274000</v>
      </c>
      <c r="O85" s="10">
        <v>-22600</v>
      </c>
      <c r="P85" s="10">
        <v>3450</v>
      </c>
      <c r="Q85">
        <v>0</v>
      </c>
      <c r="R85">
        <v>0</v>
      </c>
      <c r="S85" t="s">
        <v>11</v>
      </c>
      <c r="T85" t="s">
        <v>49</v>
      </c>
      <c r="U85" t="s">
        <v>1878</v>
      </c>
      <c r="W85" s="10"/>
    </row>
    <row r="86" spans="1:23" x14ac:dyDescent="0.25">
      <c r="A86">
        <v>131987284</v>
      </c>
      <c r="B86">
        <v>9.4499999999999993</v>
      </c>
      <c r="C86">
        <v>2</v>
      </c>
      <c r="D86" t="s">
        <v>54</v>
      </c>
      <c r="E86" t="s">
        <v>55</v>
      </c>
      <c r="F86">
        <v>131987284</v>
      </c>
      <c r="G86" t="s">
        <v>142</v>
      </c>
      <c r="H86">
        <v>3075</v>
      </c>
      <c r="I86">
        <v>651</v>
      </c>
      <c r="J86">
        <v>326</v>
      </c>
      <c r="K86">
        <v>8</v>
      </c>
      <c r="L86">
        <v>74.599999999999994</v>
      </c>
      <c r="M86">
        <v>-21.6</v>
      </c>
      <c r="N86" s="10">
        <v>190000</v>
      </c>
      <c r="O86" s="10">
        <v>-24500</v>
      </c>
      <c r="P86" s="10">
        <v>3100</v>
      </c>
      <c r="Q86">
        <v>8</v>
      </c>
      <c r="R86">
        <v>11056</v>
      </c>
      <c r="S86" t="s">
        <v>11</v>
      </c>
      <c r="T86" t="s">
        <v>49</v>
      </c>
      <c r="U86" t="s">
        <v>1878</v>
      </c>
      <c r="W86" s="10"/>
    </row>
    <row r="87" spans="1:23" x14ac:dyDescent="0.25">
      <c r="A87">
        <v>131987312</v>
      </c>
      <c r="B87">
        <v>5.0999999999999996</v>
      </c>
      <c r="C87">
        <v>1</v>
      </c>
      <c r="D87" t="s">
        <v>60</v>
      </c>
      <c r="E87" t="s">
        <v>51</v>
      </c>
      <c r="F87">
        <v>131987312</v>
      </c>
      <c r="G87" t="s">
        <v>143</v>
      </c>
      <c r="H87">
        <v>1028</v>
      </c>
      <c r="I87">
        <v>201</v>
      </c>
      <c r="J87">
        <v>201</v>
      </c>
      <c r="K87">
        <v>3</v>
      </c>
      <c r="L87">
        <v>43.8</v>
      </c>
      <c r="M87">
        <v>-9.8000000000000007</v>
      </c>
      <c r="N87" s="10">
        <v>83700</v>
      </c>
      <c r="O87" s="10">
        <v>-7710</v>
      </c>
      <c r="P87" s="10">
        <v>1230</v>
      </c>
      <c r="Q87">
        <v>0</v>
      </c>
      <c r="R87">
        <v>0</v>
      </c>
      <c r="S87" t="s">
        <v>11</v>
      </c>
      <c r="T87" t="s">
        <v>49</v>
      </c>
      <c r="U87" t="s">
        <v>1878</v>
      </c>
      <c r="W87" s="10"/>
    </row>
    <row r="88" spans="1:23" x14ac:dyDescent="0.25">
      <c r="A88">
        <v>131987313</v>
      </c>
      <c r="B88">
        <v>7.3</v>
      </c>
      <c r="C88">
        <v>2</v>
      </c>
      <c r="D88" t="s">
        <v>60</v>
      </c>
      <c r="E88" t="s">
        <v>51</v>
      </c>
      <c r="F88">
        <v>131987313</v>
      </c>
      <c r="G88" t="s">
        <v>144</v>
      </c>
      <c r="H88">
        <v>955</v>
      </c>
      <c r="I88">
        <v>262</v>
      </c>
      <c r="J88">
        <v>131</v>
      </c>
      <c r="K88">
        <v>3</v>
      </c>
      <c r="L88">
        <v>37.5</v>
      </c>
      <c r="M88">
        <v>-10</v>
      </c>
      <c r="N88" s="10">
        <v>71500</v>
      </c>
      <c r="O88" s="10">
        <v>-7440</v>
      </c>
      <c r="P88" s="10">
        <v>1590</v>
      </c>
      <c r="Q88">
        <v>0</v>
      </c>
      <c r="R88">
        <v>0</v>
      </c>
      <c r="S88" t="s">
        <v>11</v>
      </c>
      <c r="T88" t="s">
        <v>49</v>
      </c>
      <c r="U88" t="s">
        <v>1878</v>
      </c>
      <c r="W88" s="10"/>
    </row>
    <row r="89" spans="1:23" x14ac:dyDescent="0.25">
      <c r="A89">
        <v>131987327</v>
      </c>
      <c r="B89">
        <v>13.55</v>
      </c>
      <c r="C89">
        <v>3</v>
      </c>
      <c r="D89" t="s">
        <v>46</v>
      </c>
      <c r="E89" t="s">
        <v>47</v>
      </c>
      <c r="F89">
        <v>131987327</v>
      </c>
      <c r="G89" t="s">
        <v>145</v>
      </c>
      <c r="H89">
        <v>12186</v>
      </c>
      <c r="I89">
        <v>2698</v>
      </c>
      <c r="J89">
        <v>899</v>
      </c>
      <c r="K89">
        <v>35</v>
      </c>
      <c r="L89">
        <v>342.8</v>
      </c>
      <c r="M89">
        <v>-73.7</v>
      </c>
      <c r="N89" s="10">
        <v>865000</v>
      </c>
      <c r="O89" s="10">
        <v>-103000</v>
      </c>
      <c r="P89" s="10">
        <v>12800</v>
      </c>
      <c r="Q89">
        <v>8</v>
      </c>
      <c r="R89">
        <v>11056</v>
      </c>
      <c r="S89" t="s">
        <v>11</v>
      </c>
      <c r="T89" t="s">
        <v>49</v>
      </c>
      <c r="U89" t="s">
        <v>1878</v>
      </c>
      <c r="W89" s="10"/>
    </row>
    <row r="90" spans="1:23" x14ac:dyDescent="0.25">
      <c r="A90">
        <v>131987329</v>
      </c>
      <c r="B90">
        <v>5.34</v>
      </c>
      <c r="C90">
        <v>1</v>
      </c>
      <c r="D90" t="s">
        <v>102</v>
      </c>
      <c r="E90" t="s">
        <v>47</v>
      </c>
      <c r="F90">
        <v>131987329</v>
      </c>
      <c r="G90" t="s">
        <v>146</v>
      </c>
      <c r="H90">
        <v>2681</v>
      </c>
      <c r="I90">
        <v>502</v>
      </c>
      <c r="J90">
        <v>502</v>
      </c>
      <c r="K90">
        <v>7</v>
      </c>
      <c r="L90">
        <v>110.4</v>
      </c>
      <c r="M90">
        <v>-16.899999999999999</v>
      </c>
      <c r="N90" s="10">
        <v>238000</v>
      </c>
      <c r="O90" s="10">
        <v>-24000</v>
      </c>
      <c r="P90" s="10">
        <v>2390</v>
      </c>
      <c r="Q90">
        <v>0</v>
      </c>
      <c r="R90">
        <v>0</v>
      </c>
      <c r="S90" t="s">
        <v>11</v>
      </c>
      <c r="T90" t="s">
        <v>49</v>
      </c>
      <c r="U90" t="s">
        <v>1878</v>
      </c>
      <c r="W90" s="10"/>
    </row>
    <row r="91" spans="1:23" x14ac:dyDescent="0.25">
      <c r="A91">
        <v>131987413</v>
      </c>
      <c r="B91">
        <v>13.5</v>
      </c>
      <c r="C91">
        <v>3</v>
      </c>
      <c r="D91" t="s">
        <v>60</v>
      </c>
      <c r="E91" t="s">
        <v>51</v>
      </c>
      <c r="F91">
        <v>131987413</v>
      </c>
      <c r="G91" t="s">
        <v>147</v>
      </c>
      <c r="H91">
        <v>7171</v>
      </c>
      <c r="I91">
        <v>1594</v>
      </c>
      <c r="J91">
        <v>531</v>
      </c>
      <c r="K91">
        <v>21</v>
      </c>
      <c r="L91">
        <v>181.7</v>
      </c>
      <c r="M91">
        <v>-57.8</v>
      </c>
      <c r="N91" s="10">
        <v>375000</v>
      </c>
      <c r="O91" s="10">
        <v>-41000</v>
      </c>
      <c r="P91" s="10">
        <v>9710</v>
      </c>
      <c r="Q91">
        <v>0</v>
      </c>
      <c r="R91">
        <v>0</v>
      </c>
      <c r="S91" t="s">
        <v>11</v>
      </c>
      <c r="T91" t="s">
        <v>49</v>
      </c>
      <c r="U91" t="s">
        <v>1878</v>
      </c>
      <c r="W91" s="10"/>
    </row>
    <row r="92" spans="1:23" x14ac:dyDescent="0.25">
      <c r="A92">
        <v>131987415</v>
      </c>
      <c r="B92">
        <v>5.86</v>
      </c>
      <c r="C92">
        <v>1</v>
      </c>
      <c r="D92" t="s">
        <v>104</v>
      </c>
      <c r="E92" t="s">
        <v>51</v>
      </c>
      <c r="F92">
        <v>131987415</v>
      </c>
      <c r="G92" t="s">
        <v>148</v>
      </c>
      <c r="H92">
        <v>1267</v>
      </c>
      <c r="I92">
        <v>216</v>
      </c>
      <c r="J92">
        <v>216</v>
      </c>
      <c r="K92">
        <v>3</v>
      </c>
      <c r="L92">
        <v>41.3</v>
      </c>
      <c r="M92">
        <v>-22.6</v>
      </c>
      <c r="N92" s="10">
        <v>262000</v>
      </c>
      <c r="O92" s="10">
        <v>-68000</v>
      </c>
      <c r="P92" s="10">
        <v>7900</v>
      </c>
      <c r="Q92">
        <v>0</v>
      </c>
      <c r="R92">
        <v>0</v>
      </c>
      <c r="S92" t="s">
        <v>11</v>
      </c>
      <c r="T92" t="s">
        <v>49</v>
      </c>
      <c r="U92" t="s">
        <v>1878</v>
      </c>
      <c r="W92" s="10"/>
    </row>
    <row r="93" spans="1:23" x14ac:dyDescent="0.25">
      <c r="A93">
        <v>131987440</v>
      </c>
      <c r="B93">
        <v>4.9000000000000004</v>
      </c>
      <c r="C93">
        <v>1</v>
      </c>
      <c r="D93" t="s">
        <v>60</v>
      </c>
      <c r="E93" t="s">
        <v>51</v>
      </c>
      <c r="F93">
        <v>131987440</v>
      </c>
      <c r="G93" t="s">
        <v>149</v>
      </c>
      <c r="H93">
        <v>632</v>
      </c>
      <c r="I93">
        <v>129</v>
      </c>
      <c r="J93">
        <v>129</v>
      </c>
      <c r="K93">
        <v>2</v>
      </c>
      <c r="L93">
        <v>28.9</v>
      </c>
      <c r="M93">
        <v>-6.4</v>
      </c>
      <c r="N93" s="10">
        <v>54800</v>
      </c>
      <c r="O93" s="10">
        <v>-5110</v>
      </c>
      <c r="P93" s="10">
        <v>787</v>
      </c>
      <c r="Q93">
        <v>0</v>
      </c>
      <c r="R93">
        <v>0</v>
      </c>
      <c r="S93" t="s">
        <v>11</v>
      </c>
      <c r="T93" t="s">
        <v>49</v>
      </c>
      <c r="U93" t="s">
        <v>1878</v>
      </c>
      <c r="W93" s="10"/>
    </row>
    <row r="94" spans="1:23" x14ac:dyDescent="0.25">
      <c r="A94">
        <v>131987451</v>
      </c>
      <c r="B94">
        <v>6.63</v>
      </c>
      <c r="C94">
        <v>1</v>
      </c>
      <c r="D94" t="s">
        <v>60</v>
      </c>
      <c r="E94" t="s">
        <v>58</v>
      </c>
      <c r="F94">
        <v>131987451</v>
      </c>
      <c r="G94" t="s">
        <v>150</v>
      </c>
      <c r="H94">
        <v>2439</v>
      </c>
      <c r="I94">
        <v>368</v>
      </c>
      <c r="J94">
        <v>368</v>
      </c>
      <c r="K94">
        <v>5</v>
      </c>
      <c r="L94">
        <v>77.900000000000006</v>
      </c>
      <c r="M94">
        <v>-19.5</v>
      </c>
      <c r="N94" s="10">
        <v>155000</v>
      </c>
      <c r="O94" s="10">
        <v>-15500</v>
      </c>
      <c r="P94" s="10">
        <v>2240</v>
      </c>
      <c r="Q94">
        <v>0</v>
      </c>
      <c r="R94">
        <v>0</v>
      </c>
      <c r="S94" t="s">
        <v>11</v>
      </c>
      <c r="T94" t="s">
        <v>49</v>
      </c>
      <c r="U94" t="s">
        <v>1878</v>
      </c>
      <c r="W94" s="10"/>
    </row>
    <row r="95" spans="1:23" x14ac:dyDescent="0.25">
      <c r="A95">
        <v>131987471</v>
      </c>
      <c r="B95">
        <v>5.5</v>
      </c>
      <c r="C95">
        <v>1</v>
      </c>
      <c r="D95" t="s">
        <v>46</v>
      </c>
      <c r="E95" t="s">
        <v>55</v>
      </c>
      <c r="F95">
        <v>131987471</v>
      </c>
      <c r="G95" t="s">
        <v>151</v>
      </c>
      <c r="H95">
        <v>781</v>
      </c>
      <c r="I95">
        <v>142</v>
      </c>
      <c r="J95">
        <v>142</v>
      </c>
      <c r="K95">
        <v>2</v>
      </c>
      <c r="L95">
        <v>30.7</v>
      </c>
      <c r="M95">
        <v>-7.2</v>
      </c>
      <c r="N95" s="10">
        <v>66000</v>
      </c>
      <c r="O95" s="10">
        <v>-7820</v>
      </c>
      <c r="P95" s="10">
        <v>676</v>
      </c>
      <c r="Q95">
        <v>4.5</v>
      </c>
      <c r="R95">
        <v>6219</v>
      </c>
      <c r="S95" t="s">
        <v>11</v>
      </c>
      <c r="T95" t="s">
        <v>49</v>
      </c>
      <c r="U95" t="s">
        <v>1878</v>
      </c>
      <c r="W95" s="10"/>
    </row>
    <row r="96" spans="1:23" x14ac:dyDescent="0.25">
      <c r="A96">
        <v>131987472</v>
      </c>
      <c r="B96">
        <v>13.8</v>
      </c>
      <c r="C96">
        <v>3</v>
      </c>
      <c r="D96" t="s">
        <v>60</v>
      </c>
      <c r="E96" t="s">
        <v>55</v>
      </c>
      <c r="F96">
        <v>131987472</v>
      </c>
      <c r="G96" t="s">
        <v>152</v>
      </c>
      <c r="H96">
        <v>5944</v>
      </c>
      <c r="I96">
        <v>1292</v>
      </c>
      <c r="J96">
        <v>431</v>
      </c>
      <c r="K96">
        <v>17</v>
      </c>
      <c r="L96">
        <v>146.9</v>
      </c>
      <c r="M96">
        <v>-48.4</v>
      </c>
      <c r="N96" s="10">
        <v>304000</v>
      </c>
      <c r="O96" s="10">
        <v>-35100</v>
      </c>
      <c r="P96" s="10">
        <v>7880</v>
      </c>
      <c r="Q96">
        <v>0</v>
      </c>
      <c r="R96">
        <v>0</v>
      </c>
      <c r="S96" t="s">
        <v>11</v>
      </c>
      <c r="T96" t="s">
        <v>49</v>
      </c>
      <c r="U96" t="s">
        <v>1878</v>
      </c>
      <c r="W96" s="10"/>
    </row>
    <row r="97" spans="1:23" x14ac:dyDescent="0.25">
      <c r="A97">
        <v>131987475</v>
      </c>
      <c r="B97">
        <v>16</v>
      </c>
      <c r="C97">
        <v>4</v>
      </c>
      <c r="D97" t="s">
        <v>60</v>
      </c>
      <c r="E97" t="s">
        <v>51</v>
      </c>
      <c r="F97">
        <v>131987475</v>
      </c>
      <c r="G97" t="s">
        <v>153</v>
      </c>
      <c r="H97">
        <v>6876</v>
      </c>
      <c r="I97">
        <v>1719</v>
      </c>
      <c r="J97">
        <v>430</v>
      </c>
      <c r="K97">
        <v>22</v>
      </c>
      <c r="L97">
        <v>179.3</v>
      </c>
      <c r="M97">
        <v>-59.7</v>
      </c>
      <c r="N97" s="10">
        <v>367000</v>
      </c>
      <c r="O97" s="10">
        <v>-39700</v>
      </c>
      <c r="P97" s="10">
        <v>10500</v>
      </c>
      <c r="Q97">
        <v>0</v>
      </c>
      <c r="R97">
        <v>0</v>
      </c>
      <c r="S97" t="s">
        <v>11</v>
      </c>
      <c r="T97" t="s">
        <v>49</v>
      </c>
      <c r="U97" t="s">
        <v>1878</v>
      </c>
      <c r="W97" s="10"/>
    </row>
    <row r="98" spans="1:23" x14ac:dyDescent="0.25">
      <c r="A98">
        <v>131987477</v>
      </c>
      <c r="B98">
        <v>9.1300000000000008</v>
      </c>
      <c r="C98">
        <v>2</v>
      </c>
      <c r="D98" t="s">
        <v>54</v>
      </c>
      <c r="E98" t="s">
        <v>55</v>
      </c>
      <c r="F98">
        <v>131987477</v>
      </c>
      <c r="G98" t="s">
        <v>154</v>
      </c>
      <c r="H98">
        <v>7779</v>
      </c>
      <c r="I98">
        <v>1704</v>
      </c>
      <c r="J98">
        <v>852</v>
      </c>
      <c r="K98">
        <v>22</v>
      </c>
      <c r="L98">
        <v>141.30000000000001</v>
      </c>
      <c r="M98">
        <v>-43.4</v>
      </c>
      <c r="N98" s="10">
        <v>416000</v>
      </c>
      <c r="O98" s="10">
        <v>-54300</v>
      </c>
      <c r="P98" s="10">
        <v>8110</v>
      </c>
      <c r="Q98">
        <v>8</v>
      </c>
      <c r="R98">
        <v>11056</v>
      </c>
      <c r="S98" t="s">
        <v>11</v>
      </c>
      <c r="T98" t="s">
        <v>49</v>
      </c>
      <c r="U98" t="s">
        <v>1878</v>
      </c>
      <c r="W98" s="10"/>
    </row>
    <row r="99" spans="1:23" x14ac:dyDescent="0.25">
      <c r="A99">
        <v>131987488</v>
      </c>
      <c r="B99">
        <v>11.16</v>
      </c>
      <c r="C99">
        <v>3</v>
      </c>
      <c r="D99" t="s">
        <v>46</v>
      </c>
      <c r="E99" t="s">
        <v>47</v>
      </c>
      <c r="F99">
        <v>131987488</v>
      </c>
      <c r="G99" t="s">
        <v>155</v>
      </c>
      <c r="H99">
        <v>11382</v>
      </c>
      <c r="I99">
        <v>3061</v>
      </c>
      <c r="J99">
        <v>1020</v>
      </c>
      <c r="K99">
        <v>40</v>
      </c>
      <c r="L99">
        <v>393.1</v>
      </c>
      <c r="M99">
        <v>-81.599999999999994</v>
      </c>
      <c r="N99" s="10">
        <v>980000</v>
      </c>
      <c r="O99" s="10">
        <v>-115000</v>
      </c>
      <c r="P99" s="10">
        <v>14600</v>
      </c>
      <c r="Q99">
        <v>25</v>
      </c>
      <c r="R99">
        <v>34550</v>
      </c>
      <c r="S99" t="s">
        <v>11</v>
      </c>
      <c r="T99" t="s">
        <v>49</v>
      </c>
      <c r="U99" t="s">
        <v>1878</v>
      </c>
      <c r="W99" s="10"/>
    </row>
    <row r="100" spans="1:23" x14ac:dyDescent="0.25">
      <c r="A100">
        <v>131987510</v>
      </c>
      <c r="B100">
        <v>14.65</v>
      </c>
      <c r="C100">
        <v>4</v>
      </c>
      <c r="D100" t="s">
        <v>102</v>
      </c>
      <c r="E100" t="s">
        <v>58</v>
      </c>
      <c r="F100">
        <v>131987510</v>
      </c>
      <c r="G100" t="s">
        <v>156</v>
      </c>
      <c r="H100">
        <v>12887</v>
      </c>
      <c r="I100">
        <v>3519</v>
      </c>
      <c r="J100">
        <v>880</v>
      </c>
      <c r="K100">
        <v>46</v>
      </c>
      <c r="L100">
        <v>185.5</v>
      </c>
      <c r="M100">
        <v>-73.099999999999994</v>
      </c>
      <c r="N100" s="10">
        <v>679000</v>
      </c>
      <c r="O100" s="10">
        <v>-97000</v>
      </c>
      <c r="P100" s="10">
        <v>16700</v>
      </c>
      <c r="Q100">
        <v>0</v>
      </c>
      <c r="R100">
        <v>0</v>
      </c>
      <c r="S100" t="s">
        <v>11</v>
      </c>
      <c r="T100" t="s">
        <v>49</v>
      </c>
      <c r="U100" t="s">
        <v>1878</v>
      </c>
      <c r="W100" s="10"/>
    </row>
    <row r="101" spans="1:23" x14ac:dyDescent="0.25">
      <c r="A101">
        <v>131987523</v>
      </c>
      <c r="B101">
        <v>6.03</v>
      </c>
      <c r="C101">
        <v>1</v>
      </c>
      <c r="D101" t="s">
        <v>54</v>
      </c>
      <c r="E101" t="s">
        <v>47</v>
      </c>
      <c r="F101">
        <v>131987523</v>
      </c>
      <c r="G101" t="s">
        <v>157</v>
      </c>
      <c r="H101">
        <v>3909</v>
      </c>
      <c r="I101">
        <v>648</v>
      </c>
      <c r="J101">
        <v>648</v>
      </c>
      <c r="K101">
        <v>8</v>
      </c>
      <c r="L101">
        <v>124.6</v>
      </c>
      <c r="M101">
        <v>-20</v>
      </c>
      <c r="N101" s="10">
        <v>279000</v>
      </c>
      <c r="O101" s="10">
        <v>-28600</v>
      </c>
      <c r="P101" s="10">
        <v>3080</v>
      </c>
      <c r="Q101">
        <v>8</v>
      </c>
      <c r="R101">
        <v>11056</v>
      </c>
      <c r="S101" t="s">
        <v>11</v>
      </c>
      <c r="T101" t="s">
        <v>49</v>
      </c>
      <c r="U101" t="s">
        <v>1878</v>
      </c>
      <c r="W101" s="10"/>
    </row>
    <row r="102" spans="1:23" x14ac:dyDescent="0.25">
      <c r="A102">
        <v>131987525</v>
      </c>
      <c r="B102">
        <v>10.9</v>
      </c>
      <c r="C102">
        <v>3</v>
      </c>
      <c r="D102" t="s">
        <v>104</v>
      </c>
      <c r="E102" t="s">
        <v>55</v>
      </c>
      <c r="F102">
        <v>131987525</v>
      </c>
      <c r="G102" t="s">
        <v>158</v>
      </c>
      <c r="H102">
        <v>2538</v>
      </c>
      <c r="I102">
        <v>698</v>
      </c>
      <c r="J102">
        <v>233</v>
      </c>
      <c r="K102">
        <v>9</v>
      </c>
      <c r="L102">
        <v>49.7</v>
      </c>
      <c r="M102">
        <v>-62.9</v>
      </c>
      <c r="N102" s="10">
        <v>690000</v>
      </c>
      <c r="O102" s="10">
        <v>-214000</v>
      </c>
      <c r="P102" s="10">
        <v>25500</v>
      </c>
      <c r="Q102">
        <v>0</v>
      </c>
      <c r="R102">
        <v>0</v>
      </c>
      <c r="S102" t="s">
        <v>11</v>
      </c>
      <c r="T102" t="s">
        <v>49</v>
      </c>
      <c r="U102" t="s">
        <v>1878</v>
      </c>
      <c r="W102" s="10"/>
    </row>
    <row r="103" spans="1:23" x14ac:dyDescent="0.25">
      <c r="A103">
        <v>131987539</v>
      </c>
      <c r="B103">
        <v>8.9499999999999993</v>
      </c>
      <c r="C103">
        <v>2</v>
      </c>
      <c r="D103" t="s">
        <v>60</v>
      </c>
      <c r="E103" t="s">
        <v>51</v>
      </c>
      <c r="F103">
        <v>131987539</v>
      </c>
      <c r="G103" t="s">
        <v>159</v>
      </c>
      <c r="H103">
        <v>1534</v>
      </c>
      <c r="I103">
        <v>343</v>
      </c>
      <c r="J103">
        <v>172</v>
      </c>
      <c r="K103">
        <v>4</v>
      </c>
      <c r="L103">
        <v>55</v>
      </c>
      <c r="M103">
        <v>-14.9</v>
      </c>
      <c r="N103" s="10">
        <v>105000</v>
      </c>
      <c r="O103" s="10">
        <v>-11200</v>
      </c>
      <c r="P103" s="10">
        <v>2090</v>
      </c>
      <c r="Q103">
        <v>0</v>
      </c>
      <c r="R103">
        <v>0</v>
      </c>
      <c r="S103" t="s">
        <v>11</v>
      </c>
      <c r="T103" t="s">
        <v>49</v>
      </c>
      <c r="U103" t="s">
        <v>1878</v>
      </c>
      <c r="W103" s="10"/>
    </row>
    <row r="104" spans="1:23" x14ac:dyDescent="0.25">
      <c r="A104">
        <v>131987545</v>
      </c>
      <c r="B104">
        <v>9.0500000000000007</v>
      </c>
      <c r="C104">
        <v>2</v>
      </c>
      <c r="D104" t="s">
        <v>60</v>
      </c>
      <c r="E104" t="s">
        <v>51</v>
      </c>
      <c r="F104">
        <v>131987545</v>
      </c>
      <c r="G104" t="s">
        <v>160</v>
      </c>
      <c r="H104">
        <v>2335</v>
      </c>
      <c r="I104">
        <v>516</v>
      </c>
      <c r="J104">
        <v>258</v>
      </c>
      <c r="K104">
        <v>7</v>
      </c>
      <c r="L104">
        <v>63</v>
      </c>
      <c r="M104">
        <v>-18.399999999999999</v>
      </c>
      <c r="N104" s="10">
        <v>130000</v>
      </c>
      <c r="O104" s="10">
        <v>-13400</v>
      </c>
      <c r="P104" s="10">
        <v>3150</v>
      </c>
      <c r="Q104">
        <v>0</v>
      </c>
      <c r="R104">
        <v>0</v>
      </c>
      <c r="S104" t="s">
        <v>11</v>
      </c>
      <c r="T104" t="s">
        <v>49</v>
      </c>
      <c r="U104" t="s">
        <v>1878</v>
      </c>
      <c r="W104" s="10"/>
    </row>
    <row r="105" spans="1:23" x14ac:dyDescent="0.25">
      <c r="A105">
        <v>131987559</v>
      </c>
      <c r="B105">
        <v>10.32</v>
      </c>
      <c r="C105">
        <v>2</v>
      </c>
      <c r="D105" t="s">
        <v>54</v>
      </c>
      <c r="E105" t="s">
        <v>47</v>
      </c>
      <c r="F105">
        <v>131987559</v>
      </c>
      <c r="G105" t="s">
        <v>161</v>
      </c>
      <c r="H105">
        <v>3415</v>
      </c>
      <c r="I105">
        <v>662</v>
      </c>
      <c r="J105">
        <v>331</v>
      </c>
      <c r="K105">
        <v>9</v>
      </c>
      <c r="L105">
        <v>122.8</v>
      </c>
      <c r="M105">
        <v>-22</v>
      </c>
      <c r="N105" s="10">
        <v>273000</v>
      </c>
      <c r="O105" s="10">
        <v>-30000</v>
      </c>
      <c r="P105" s="10">
        <v>3150</v>
      </c>
      <c r="Q105">
        <v>8</v>
      </c>
      <c r="R105">
        <v>11056</v>
      </c>
      <c r="S105" t="s">
        <v>11</v>
      </c>
      <c r="T105" t="s">
        <v>49</v>
      </c>
      <c r="U105" t="s">
        <v>1878</v>
      </c>
      <c r="W105" s="10"/>
    </row>
    <row r="106" spans="1:23" x14ac:dyDescent="0.25">
      <c r="A106">
        <v>131987574</v>
      </c>
      <c r="B106">
        <v>10.5</v>
      </c>
      <c r="C106">
        <v>3</v>
      </c>
      <c r="D106" t="s">
        <v>60</v>
      </c>
      <c r="E106" t="s">
        <v>51</v>
      </c>
      <c r="F106">
        <v>131987574</v>
      </c>
      <c r="G106" t="s">
        <v>162</v>
      </c>
      <c r="H106">
        <v>2466</v>
      </c>
      <c r="I106">
        <v>704</v>
      </c>
      <c r="J106">
        <v>235</v>
      </c>
      <c r="K106">
        <v>9</v>
      </c>
      <c r="L106">
        <v>79.5</v>
      </c>
      <c r="M106">
        <v>-24.2</v>
      </c>
      <c r="N106" s="10">
        <v>158000</v>
      </c>
      <c r="O106" s="10">
        <v>-16900</v>
      </c>
      <c r="P106" s="10">
        <v>4290</v>
      </c>
      <c r="Q106">
        <v>0</v>
      </c>
      <c r="R106">
        <v>0</v>
      </c>
      <c r="S106" t="s">
        <v>11</v>
      </c>
      <c r="T106" t="s">
        <v>49</v>
      </c>
      <c r="U106" t="s">
        <v>1878</v>
      </c>
      <c r="W106" s="10"/>
    </row>
    <row r="107" spans="1:23" x14ac:dyDescent="0.25">
      <c r="A107">
        <v>131987578</v>
      </c>
      <c r="B107">
        <v>7.72</v>
      </c>
      <c r="C107">
        <v>2</v>
      </c>
      <c r="D107" t="s">
        <v>54</v>
      </c>
      <c r="E107" t="s">
        <v>51</v>
      </c>
      <c r="F107">
        <v>131987578</v>
      </c>
      <c r="G107" t="s">
        <v>163</v>
      </c>
      <c r="H107">
        <v>4248</v>
      </c>
      <c r="I107">
        <v>1101</v>
      </c>
      <c r="J107">
        <v>551</v>
      </c>
      <c r="K107">
        <v>14</v>
      </c>
      <c r="L107">
        <v>91.3</v>
      </c>
      <c r="M107">
        <v>-25.4</v>
      </c>
      <c r="N107" s="10">
        <v>270000</v>
      </c>
      <c r="O107" s="10">
        <v>-34200</v>
      </c>
      <c r="P107" s="10">
        <v>5240</v>
      </c>
      <c r="Q107">
        <v>8</v>
      </c>
      <c r="R107">
        <v>11056</v>
      </c>
      <c r="S107" t="s">
        <v>11</v>
      </c>
      <c r="T107" t="s">
        <v>49</v>
      </c>
      <c r="U107" t="s">
        <v>1878</v>
      </c>
      <c r="W107" s="10"/>
    </row>
    <row r="108" spans="1:23" x14ac:dyDescent="0.25">
      <c r="A108">
        <v>131987586</v>
      </c>
      <c r="B108">
        <v>5.98</v>
      </c>
      <c r="C108">
        <v>1</v>
      </c>
      <c r="D108" t="s">
        <v>60</v>
      </c>
      <c r="E108" t="s">
        <v>47</v>
      </c>
      <c r="F108">
        <v>131987586</v>
      </c>
      <c r="G108" t="s">
        <v>164</v>
      </c>
      <c r="H108">
        <v>2246</v>
      </c>
      <c r="I108">
        <v>376</v>
      </c>
      <c r="J108">
        <v>376</v>
      </c>
      <c r="K108">
        <v>5</v>
      </c>
      <c r="L108">
        <v>123.1</v>
      </c>
      <c r="M108">
        <v>-20.399999999999999</v>
      </c>
      <c r="N108" s="10">
        <v>230000</v>
      </c>
      <c r="O108" s="10">
        <v>-19300</v>
      </c>
      <c r="P108" s="10">
        <v>2290</v>
      </c>
      <c r="Q108">
        <v>0</v>
      </c>
      <c r="R108">
        <v>0</v>
      </c>
      <c r="S108" t="s">
        <v>11</v>
      </c>
      <c r="T108" t="s">
        <v>49</v>
      </c>
      <c r="U108" t="s">
        <v>1878</v>
      </c>
      <c r="W108" s="10"/>
    </row>
    <row r="109" spans="1:23" x14ac:dyDescent="0.25">
      <c r="A109">
        <v>131987588</v>
      </c>
      <c r="B109">
        <v>12.38</v>
      </c>
      <c r="C109">
        <v>3</v>
      </c>
      <c r="D109" t="s">
        <v>60</v>
      </c>
      <c r="E109" t="s">
        <v>51</v>
      </c>
      <c r="F109">
        <v>131987588</v>
      </c>
      <c r="G109" t="s">
        <v>165</v>
      </c>
      <c r="H109">
        <v>4287</v>
      </c>
      <c r="I109">
        <v>1039</v>
      </c>
      <c r="J109">
        <v>346</v>
      </c>
      <c r="K109">
        <v>13</v>
      </c>
      <c r="L109">
        <v>112</v>
      </c>
      <c r="M109">
        <v>-36.200000000000003</v>
      </c>
      <c r="N109" s="10">
        <v>232000</v>
      </c>
      <c r="O109" s="10">
        <v>-24800</v>
      </c>
      <c r="P109" s="10">
        <v>6330</v>
      </c>
      <c r="Q109">
        <v>0</v>
      </c>
      <c r="R109">
        <v>0</v>
      </c>
      <c r="S109" t="s">
        <v>11</v>
      </c>
      <c r="T109" t="s">
        <v>49</v>
      </c>
      <c r="U109" t="s">
        <v>1878</v>
      </c>
      <c r="W109" s="10"/>
    </row>
    <row r="110" spans="1:23" x14ac:dyDescent="0.25">
      <c r="A110">
        <v>131987590</v>
      </c>
      <c r="B110">
        <v>3.82</v>
      </c>
      <c r="C110">
        <v>1</v>
      </c>
      <c r="D110" t="s">
        <v>104</v>
      </c>
      <c r="E110" t="s">
        <v>47</v>
      </c>
      <c r="F110">
        <v>131987590</v>
      </c>
      <c r="G110" t="s">
        <v>166</v>
      </c>
      <c r="H110">
        <v>744</v>
      </c>
      <c r="I110">
        <v>195</v>
      </c>
      <c r="J110">
        <v>195</v>
      </c>
      <c r="K110">
        <v>3</v>
      </c>
      <c r="L110">
        <v>53</v>
      </c>
      <c r="M110">
        <v>-19.600000000000001</v>
      </c>
      <c r="N110" s="10">
        <v>265000</v>
      </c>
      <c r="O110" s="10">
        <v>-62500</v>
      </c>
      <c r="P110" s="10">
        <v>7110</v>
      </c>
      <c r="Q110">
        <v>0</v>
      </c>
      <c r="R110">
        <v>0</v>
      </c>
      <c r="S110" t="s">
        <v>11</v>
      </c>
      <c r="T110" t="s">
        <v>49</v>
      </c>
      <c r="U110" t="s">
        <v>1878</v>
      </c>
      <c r="W110" s="10"/>
    </row>
    <row r="111" spans="1:23" x14ac:dyDescent="0.25">
      <c r="A111">
        <v>131987608</v>
      </c>
      <c r="B111">
        <v>9.35</v>
      </c>
      <c r="C111">
        <v>2</v>
      </c>
      <c r="D111" t="s">
        <v>102</v>
      </c>
      <c r="E111" t="s">
        <v>47</v>
      </c>
      <c r="F111">
        <v>131987608</v>
      </c>
      <c r="G111" t="s">
        <v>167</v>
      </c>
      <c r="H111">
        <v>19340</v>
      </c>
      <c r="I111">
        <v>4137</v>
      </c>
      <c r="J111">
        <v>2069</v>
      </c>
      <c r="K111">
        <v>54</v>
      </c>
      <c r="L111">
        <v>541.29999999999995</v>
      </c>
      <c r="M111">
        <v>-110</v>
      </c>
      <c r="N111" s="10">
        <v>1360000</v>
      </c>
      <c r="O111" s="10">
        <v>-158000</v>
      </c>
      <c r="P111" s="10">
        <v>19700</v>
      </c>
      <c r="Q111">
        <v>0</v>
      </c>
      <c r="R111">
        <v>0</v>
      </c>
      <c r="S111" t="s">
        <v>11</v>
      </c>
      <c r="T111" t="s">
        <v>49</v>
      </c>
      <c r="U111" t="s">
        <v>1878</v>
      </c>
      <c r="W111" s="10"/>
    </row>
    <row r="112" spans="1:23" x14ac:dyDescent="0.25">
      <c r="A112">
        <v>131987616</v>
      </c>
      <c r="B112">
        <v>10.34</v>
      </c>
      <c r="C112">
        <v>2</v>
      </c>
      <c r="D112" t="s">
        <v>46</v>
      </c>
      <c r="E112" t="s">
        <v>47</v>
      </c>
      <c r="F112">
        <v>131987616</v>
      </c>
      <c r="G112" t="s">
        <v>168</v>
      </c>
      <c r="H112">
        <v>23196</v>
      </c>
      <c r="I112">
        <v>4487</v>
      </c>
      <c r="J112">
        <v>2244</v>
      </c>
      <c r="K112">
        <v>58</v>
      </c>
      <c r="L112">
        <v>565.1</v>
      </c>
      <c r="M112">
        <v>-117.9</v>
      </c>
      <c r="N112" s="10">
        <v>1450000</v>
      </c>
      <c r="O112" s="10">
        <v>-168000</v>
      </c>
      <c r="P112" s="10">
        <v>21400</v>
      </c>
      <c r="Q112">
        <v>25</v>
      </c>
      <c r="R112">
        <v>34550</v>
      </c>
      <c r="S112" t="s">
        <v>11</v>
      </c>
      <c r="T112" t="s">
        <v>49</v>
      </c>
      <c r="U112" t="s">
        <v>1878</v>
      </c>
      <c r="W112" s="10"/>
    </row>
    <row r="113" spans="1:23" x14ac:dyDescent="0.25">
      <c r="A113">
        <v>131987618</v>
      </c>
      <c r="B113">
        <v>5.08</v>
      </c>
      <c r="C113">
        <v>1</v>
      </c>
      <c r="D113" t="s">
        <v>54</v>
      </c>
      <c r="E113" t="s">
        <v>47</v>
      </c>
      <c r="F113">
        <v>131987618</v>
      </c>
      <c r="G113" t="s">
        <v>169</v>
      </c>
      <c r="H113">
        <v>4636</v>
      </c>
      <c r="I113">
        <v>912</v>
      </c>
      <c r="J113">
        <v>912</v>
      </c>
      <c r="K113">
        <v>12</v>
      </c>
      <c r="L113">
        <v>194.8</v>
      </c>
      <c r="M113">
        <v>-29.8</v>
      </c>
      <c r="N113" s="10">
        <v>421000</v>
      </c>
      <c r="O113" s="10">
        <v>-42100</v>
      </c>
      <c r="P113" s="10">
        <v>4340</v>
      </c>
      <c r="Q113">
        <v>8</v>
      </c>
      <c r="R113">
        <v>11056</v>
      </c>
      <c r="S113" t="s">
        <v>11</v>
      </c>
      <c r="T113" t="s">
        <v>49</v>
      </c>
      <c r="U113" t="s">
        <v>1878</v>
      </c>
      <c r="W113" s="10"/>
    </row>
    <row r="114" spans="1:23" x14ac:dyDescent="0.25">
      <c r="A114">
        <v>131987637</v>
      </c>
      <c r="B114">
        <v>9.67</v>
      </c>
      <c r="C114">
        <v>2</v>
      </c>
      <c r="D114" t="s">
        <v>104</v>
      </c>
      <c r="E114" t="s">
        <v>47</v>
      </c>
      <c r="F114">
        <v>131987637</v>
      </c>
      <c r="G114" t="s">
        <v>170</v>
      </c>
      <c r="H114">
        <v>9916</v>
      </c>
      <c r="I114">
        <v>2052</v>
      </c>
      <c r="J114">
        <v>1026</v>
      </c>
      <c r="K114">
        <v>27</v>
      </c>
      <c r="L114">
        <v>336.3</v>
      </c>
      <c r="M114">
        <v>-192</v>
      </c>
      <c r="N114" s="10">
        <v>2380000</v>
      </c>
      <c r="O114" s="10">
        <v>-636000</v>
      </c>
      <c r="P114" s="10">
        <v>74900</v>
      </c>
      <c r="Q114">
        <v>0</v>
      </c>
      <c r="R114">
        <v>0</v>
      </c>
      <c r="S114" t="s">
        <v>11</v>
      </c>
      <c r="T114" t="s">
        <v>49</v>
      </c>
      <c r="U114" t="s">
        <v>1878</v>
      </c>
      <c r="W114" s="10"/>
    </row>
    <row r="115" spans="1:23" x14ac:dyDescent="0.25">
      <c r="A115">
        <v>131987640</v>
      </c>
      <c r="B115">
        <v>6.63</v>
      </c>
      <c r="C115">
        <v>1</v>
      </c>
      <c r="D115" t="s">
        <v>60</v>
      </c>
      <c r="E115" t="s">
        <v>47</v>
      </c>
      <c r="F115">
        <v>131987640</v>
      </c>
      <c r="G115" t="s">
        <v>171</v>
      </c>
      <c r="H115">
        <v>2490</v>
      </c>
      <c r="I115">
        <v>375</v>
      </c>
      <c r="J115">
        <v>375</v>
      </c>
      <c r="K115">
        <v>5</v>
      </c>
      <c r="L115">
        <v>134</v>
      </c>
      <c r="M115">
        <v>-22.1</v>
      </c>
      <c r="N115" s="10">
        <v>250000</v>
      </c>
      <c r="O115" s="10">
        <v>-20500</v>
      </c>
      <c r="P115" s="10">
        <v>2290</v>
      </c>
      <c r="Q115">
        <v>0</v>
      </c>
      <c r="R115">
        <v>0</v>
      </c>
      <c r="S115" t="s">
        <v>11</v>
      </c>
      <c r="T115" t="s">
        <v>49</v>
      </c>
      <c r="U115" t="s">
        <v>1878</v>
      </c>
      <c r="W115" s="10"/>
    </row>
    <row r="116" spans="1:23" x14ac:dyDescent="0.25">
      <c r="A116">
        <v>131987646</v>
      </c>
      <c r="B116">
        <v>6.85</v>
      </c>
      <c r="C116">
        <v>1</v>
      </c>
      <c r="D116" t="s">
        <v>60</v>
      </c>
      <c r="E116" t="s">
        <v>55</v>
      </c>
      <c r="F116">
        <v>131987646</v>
      </c>
      <c r="G116" t="s">
        <v>172</v>
      </c>
      <c r="H116">
        <v>1010</v>
      </c>
      <c r="I116">
        <v>147</v>
      </c>
      <c r="J116">
        <v>147</v>
      </c>
      <c r="K116">
        <v>2</v>
      </c>
      <c r="L116">
        <v>37.799999999999997</v>
      </c>
      <c r="M116">
        <v>-9.4</v>
      </c>
      <c r="N116" s="10">
        <v>73100</v>
      </c>
      <c r="O116" s="10">
        <v>-7520</v>
      </c>
      <c r="P116" s="10">
        <v>899</v>
      </c>
      <c r="Q116">
        <v>0</v>
      </c>
      <c r="R116">
        <v>0</v>
      </c>
      <c r="S116" t="s">
        <v>11</v>
      </c>
      <c r="T116" t="s">
        <v>49</v>
      </c>
      <c r="U116" t="s">
        <v>1878</v>
      </c>
      <c r="W116" s="10"/>
    </row>
    <row r="117" spans="1:23" x14ac:dyDescent="0.25">
      <c r="A117">
        <v>131987650</v>
      </c>
      <c r="B117">
        <v>12.22</v>
      </c>
      <c r="C117">
        <v>3</v>
      </c>
      <c r="D117" t="s">
        <v>60</v>
      </c>
      <c r="E117" t="s">
        <v>47</v>
      </c>
      <c r="F117">
        <v>131987650</v>
      </c>
      <c r="G117" t="s">
        <v>173</v>
      </c>
      <c r="H117">
        <v>9889</v>
      </c>
      <c r="I117">
        <v>2428</v>
      </c>
      <c r="J117">
        <v>809</v>
      </c>
      <c r="K117">
        <v>32</v>
      </c>
      <c r="L117">
        <v>396.2</v>
      </c>
      <c r="M117">
        <v>-88</v>
      </c>
      <c r="N117" s="10">
        <v>776000</v>
      </c>
      <c r="O117" s="10">
        <v>-71500</v>
      </c>
      <c r="P117" s="10">
        <v>14800</v>
      </c>
      <c r="Q117">
        <v>0</v>
      </c>
      <c r="R117">
        <v>0</v>
      </c>
      <c r="S117" t="s">
        <v>11</v>
      </c>
      <c r="T117" t="s">
        <v>49</v>
      </c>
      <c r="U117" t="s">
        <v>1878</v>
      </c>
      <c r="W117" s="10"/>
    </row>
    <row r="118" spans="1:23" x14ac:dyDescent="0.25">
      <c r="A118">
        <v>131987659</v>
      </c>
      <c r="B118">
        <v>10.55</v>
      </c>
      <c r="C118">
        <v>3</v>
      </c>
      <c r="D118" t="s">
        <v>60</v>
      </c>
      <c r="E118" t="s">
        <v>51</v>
      </c>
      <c r="F118">
        <v>131987659</v>
      </c>
      <c r="G118" t="s">
        <v>174</v>
      </c>
      <c r="H118">
        <v>3676</v>
      </c>
      <c r="I118">
        <v>1045</v>
      </c>
      <c r="J118">
        <v>348</v>
      </c>
      <c r="K118">
        <v>14</v>
      </c>
      <c r="L118">
        <v>107.1</v>
      </c>
      <c r="M118">
        <v>-33.4</v>
      </c>
      <c r="N118" s="10">
        <v>219000</v>
      </c>
      <c r="O118" s="10">
        <v>-23200</v>
      </c>
      <c r="P118" s="10">
        <v>6370</v>
      </c>
      <c r="Q118">
        <v>0</v>
      </c>
      <c r="R118">
        <v>0</v>
      </c>
      <c r="S118" t="s">
        <v>11</v>
      </c>
      <c r="T118" t="s">
        <v>49</v>
      </c>
      <c r="U118" t="s">
        <v>1878</v>
      </c>
      <c r="W118" s="10"/>
    </row>
    <row r="119" spans="1:23" x14ac:dyDescent="0.25">
      <c r="A119">
        <v>131987684</v>
      </c>
      <c r="B119">
        <v>9.75</v>
      </c>
      <c r="C119">
        <v>2</v>
      </c>
      <c r="D119" t="s">
        <v>60</v>
      </c>
      <c r="E119" t="s">
        <v>47</v>
      </c>
      <c r="F119">
        <v>131987684</v>
      </c>
      <c r="G119" t="s">
        <v>175</v>
      </c>
      <c r="H119">
        <v>5457</v>
      </c>
      <c r="I119">
        <v>1119</v>
      </c>
      <c r="J119">
        <v>560</v>
      </c>
      <c r="K119">
        <v>15</v>
      </c>
      <c r="L119">
        <v>229.2</v>
      </c>
      <c r="M119">
        <v>-46.3</v>
      </c>
      <c r="N119" s="10">
        <v>441000</v>
      </c>
      <c r="O119" s="10">
        <v>-39700</v>
      </c>
      <c r="P119" s="10">
        <v>6820</v>
      </c>
      <c r="Q119">
        <v>0</v>
      </c>
      <c r="R119">
        <v>0</v>
      </c>
      <c r="S119" t="s">
        <v>11</v>
      </c>
      <c r="T119" t="s">
        <v>49</v>
      </c>
      <c r="U119" t="s">
        <v>1878</v>
      </c>
      <c r="W119" s="10"/>
    </row>
    <row r="120" spans="1:23" x14ac:dyDescent="0.25">
      <c r="A120">
        <v>131987686</v>
      </c>
      <c r="B120">
        <v>5.76</v>
      </c>
      <c r="C120">
        <v>1</v>
      </c>
      <c r="D120" t="s">
        <v>60</v>
      </c>
      <c r="E120" t="s">
        <v>47</v>
      </c>
      <c r="F120">
        <v>131987686</v>
      </c>
      <c r="G120" t="s">
        <v>176</v>
      </c>
      <c r="H120">
        <v>2963</v>
      </c>
      <c r="I120">
        <v>514</v>
      </c>
      <c r="J120">
        <v>514</v>
      </c>
      <c r="K120">
        <v>7</v>
      </c>
      <c r="L120">
        <v>150.80000000000001</v>
      </c>
      <c r="M120">
        <v>-25.5</v>
      </c>
      <c r="N120" s="10">
        <v>284000</v>
      </c>
      <c r="O120" s="10">
        <v>-23700</v>
      </c>
      <c r="P120" s="10">
        <v>3130</v>
      </c>
      <c r="Q120">
        <v>0</v>
      </c>
      <c r="R120">
        <v>0</v>
      </c>
      <c r="S120" t="s">
        <v>11</v>
      </c>
      <c r="T120" t="s">
        <v>49</v>
      </c>
      <c r="U120" t="s">
        <v>1878</v>
      </c>
      <c r="W120" s="10"/>
    </row>
    <row r="121" spans="1:23" x14ac:dyDescent="0.25">
      <c r="A121">
        <v>131987694</v>
      </c>
      <c r="B121">
        <v>5.2</v>
      </c>
      <c r="C121">
        <v>1</v>
      </c>
      <c r="D121" t="s">
        <v>46</v>
      </c>
      <c r="E121" t="s">
        <v>55</v>
      </c>
      <c r="F121">
        <v>131987694</v>
      </c>
      <c r="G121" t="s">
        <v>177</v>
      </c>
      <c r="H121">
        <v>1485</v>
      </c>
      <c r="I121">
        <v>286</v>
      </c>
      <c r="J121">
        <v>286</v>
      </c>
      <c r="K121">
        <v>4</v>
      </c>
      <c r="L121">
        <v>50.2</v>
      </c>
      <c r="M121">
        <v>-11.2</v>
      </c>
      <c r="N121" s="10">
        <v>114000</v>
      </c>
      <c r="O121" s="10">
        <v>-13000</v>
      </c>
      <c r="P121" s="10">
        <v>1360</v>
      </c>
      <c r="Q121">
        <v>4.5</v>
      </c>
      <c r="R121">
        <v>6219</v>
      </c>
      <c r="S121" t="s">
        <v>11</v>
      </c>
      <c r="T121" t="s">
        <v>49</v>
      </c>
      <c r="U121" t="s">
        <v>1878</v>
      </c>
      <c r="W121" s="10"/>
    </row>
    <row r="122" spans="1:23" x14ac:dyDescent="0.25">
      <c r="A122">
        <v>131987702</v>
      </c>
      <c r="B122">
        <v>14.5</v>
      </c>
      <c r="C122">
        <v>4</v>
      </c>
      <c r="D122" t="s">
        <v>60</v>
      </c>
      <c r="E122" t="s">
        <v>47</v>
      </c>
      <c r="F122">
        <v>131987702</v>
      </c>
      <c r="G122" t="s">
        <v>178</v>
      </c>
      <c r="H122">
        <v>10173</v>
      </c>
      <c r="I122">
        <v>2806</v>
      </c>
      <c r="J122">
        <v>702</v>
      </c>
      <c r="K122">
        <v>36</v>
      </c>
      <c r="L122">
        <v>387.4</v>
      </c>
      <c r="M122">
        <v>-93.2</v>
      </c>
      <c r="N122" s="10">
        <v>777000</v>
      </c>
      <c r="O122" s="10">
        <v>-75300</v>
      </c>
      <c r="P122" s="10">
        <v>17100</v>
      </c>
      <c r="Q122">
        <v>0</v>
      </c>
      <c r="R122">
        <v>0</v>
      </c>
      <c r="S122" t="s">
        <v>11</v>
      </c>
      <c r="T122" t="s">
        <v>49</v>
      </c>
      <c r="U122" t="s">
        <v>1878</v>
      </c>
      <c r="W122" s="10"/>
    </row>
    <row r="123" spans="1:23" x14ac:dyDescent="0.25">
      <c r="A123">
        <v>131987743</v>
      </c>
      <c r="B123">
        <v>9.8800000000000008</v>
      </c>
      <c r="C123">
        <v>2</v>
      </c>
      <c r="D123" t="s">
        <v>60</v>
      </c>
      <c r="E123" t="s">
        <v>47</v>
      </c>
      <c r="F123">
        <v>131987743</v>
      </c>
      <c r="G123" t="s">
        <v>179</v>
      </c>
      <c r="H123">
        <v>7259</v>
      </c>
      <c r="I123">
        <v>1470</v>
      </c>
      <c r="J123">
        <v>735</v>
      </c>
      <c r="K123">
        <v>19</v>
      </c>
      <c r="L123">
        <v>295.10000000000002</v>
      </c>
      <c r="M123">
        <v>-60.1</v>
      </c>
      <c r="N123" s="10">
        <v>571000</v>
      </c>
      <c r="O123" s="10">
        <v>-52100</v>
      </c>
      <c r="P123" s="10">
        <v>8960</v>
      </c>
      <c r="Q123">
        <v>0</v>
      </c>
      <c r="R123">
        <v>0</v>
      </c>
      <c r="S123" t="s">
        <v>11</v>
      </c>
      <c r="T123" t="s">
        <v>49</v>
      </c>
      <c r="U123" t="s">
        <v>1878</v>
      </c>
      <c r="W123" s="10"/>
    </row>
    <row r="124" spans="1:23" x14ac:dyDescent="0.25">
      <c r="A124">
        <v>131987768</v>
      </c>
      <c r="B124">
        <v>7.66</v>
      </c>
      <c r="C124">
        <v>2</v>
      </c>
      <c r="D124" t="s">
        <v>46</v>
      </c>
      <c r="E124" t="s">
        <v>51</v>
      </c>
      <c r="F124">
        <v>131987768</v>
      </c>
      <c r="G124" t="s">
        <v>180</v>
      </c>
      <c r="H124">
        <v>7805</v>
      </c>
      <c r="I124">
        <v>2039</v>
      </c>
      <c r="J124">
        <v>1020</v>
      </c>
      <c r="K124">
        <v>26</v>
      </c>
      <c r="L124">
        <v>173.4</v>
      </c>
      <c r="M124">
        <v>-48.7</v>
      </c>
      <c r="N124" s="10">
        <v>505000</v>
      </c>
      <c r="O124" s="10">
        <v>-63700</v>
      </c>
      <c r="P124" s="10">
        <v>9700</v>
      </c>
      <c r="Q124">
        <v>25</v>
      </c>
      <c r="R124">
        <v>34550</v>
      </c>
      <c r="S124" t="s">
        <v>11</v>
      </c>
      <c r="T124" t="s">
        <v>49</v>
      </c>
      <c r="U124" t="s">
        <v>1878</v>
      </c>
      <c r="W124" s="10"/>
    </row>
    <row r="125" spans="1:23" x14ac:dyDescent="0.25">
      <c r="A125">
        <v>131987780</v>
      </c>
      <c r="B125">
        <v>13.1</v>
      </c>
      <c r="C125">
        <v>3</v>
      </c>
      <c r="D125" t="s">
        <v>60</v>
      </c>
      <c r="E125" t="s">
        <v>55</v>
      </c>
      <c r="F125">
        <v>131987780</v>
      </c>
      <c r="G125" t="s">
        <v>181</v>
      </c>
      <c r="H125">
        <v>12471</v>
      </c>
      <c r="I125">
        <v>2856</v>
      </c>
      <c r="J125">
        <v>952</v>
      </c>
      <c r="K125">
        <v>37</v>
      </c>
      <c r="L125">
        <v>320.3</v>
      </c>
      <c r="M125">
        <v>-105</v>
      </c>
      <c r="N125" s="10">
        <v>657000</v>
      </c>
      <c r="O125" s="10">
        <v>-72900</v>
      </c>
      <c r="P125" s="10">
        <v>17400</v>
      </c>
      <c r="Q125">
        <v>0</v>
      </c>
      <c r="R125">
        <v>0</v>
      </c>
      <c r="S125" t="s">
        <v>11</v>
      </c>
      <c r="T125" t="s">
        <v>49</v>
      </c>
      <c r="U125" t="s">
        <v>1878</v>
      </c>
      <c r="W125" s="10"/>
    </row>
    <row r="126" spans="1:23" x14ac:dyDescent="0.25">
      <c r="A126">
        <v>131987790</v>
      </c>
      <c r="B126">
        <v>14.6</v>
      </c>
      <c r="C126">
        <v>4</v>
      </c>
      <c r="D126" t="s">
        <v>46</v>
      </c>
      <c r="E126" t="s">
        <v>55</v>
      </c>
      <c r="F126">
        <v>131987790</v>
      </c>
      <c r="G126" t="s">
        <v>182</v>
      </c>
      <c r="H126">
        <v>16465</v>
      </c>
      <c r="I126">
        <v>4511</v>
      </c>
      <c r="J126">
        <v>1128</v>
      </c>
      <c r="K126">
        <v>59</v>
      </c>
      <c r="L126">
        <v>289.7</v>
      </c>
      <c r="M126">
        <v>-107</v>
      </c>
      <c r="N126" s="10">
        <v>947000</v>
      </c>
      <c r="O126" s="10">
        <v>-136000</v>
      </c>
      <c r="P126" s="10">
        <v>21500</v>
      </c>
      <c r="Q126">
        <v>25</v>
      </c>
      <c r="R126">
        <v>34550</v>
      </c>
      <c r="S126" t="s">
        <v>11</v>
      </c>
      <c r="T126" t="s">
        <v>49</v>
      </c>
      <c r="U126" t="s">
        <v>1878</v>
      </c>
      <c r="W126" s="10"/>
    </row>
    <row r="127" spans="1:23" x14ac:dyDescent="0.25">
      <c r="A127">
        <v>131987809</v>
      </c>
      <c r="B127">
        <v>11.86</v>
      </c>
      <c r="C127">
        <v>3</v>
      </c>
      <c r="D127" t="s">
        <v>60</v>
      </c>
      <c r="E127" t="s">
        <v>55</v>
      </c>
      <c r="F127">
        <v>131987809</v>
      </c>
      <c r="G127" t="s">
        <v>183</v>
      </c>
      <c r="H127">
        <v>6119</v>
      </c>
      <c r="I127">
        <v>1548</v>
      </c>
      <c r="J127">
        <v>516</v>
      </c>
      <c r="K127">
        <v>20</v>
      </c>
      <c r="L127">
        <v>150</v>
      </c>
      <c r="M127">
        <v>-51.3</v>
      </c>
      <c r="N127" s="10">
        <v>317000</v>
      </c>
      <c r="O127" s="10">
        <v>-34900</v>
      </c>
      <c r="P127" s="10">
        <v>9440</v>
      </c>
      <c r="Q127">
        <v>0</v>
      </c>
      <c r="R127">
        <v>0</v>
      </c>
      <c r="S127" t="s">
        <v>11</v>
      </c>
      <c r="T127" t="s">
        <v>49</v>
      </c>
      <c r="U127" t="s">
        <v>1878</v>
      </c>
      <c r="W127" s="10"/>
    </row>
    <row r="128" spans="1:23" x14ac:dyDescent="0.25">
      <c r="A128">
        <v>131987811</v>
      </c>
      <c r="B128">
        <v>7.59</v>
      </c>
      <c r="C128">
        <v>2</v>
      </c>
      <c r="D128" t="s">
        <v>60</v>
      </c>
      <c r="E128" t="s">
        <v>47</v>
      </c>
      <c r="F128">
        <v>131987811</v>
      </c>
      <c r="G128" t="s">
        <v>184</v>
      </c>
      <c r="H128">
        <v>4413</v>
      </c>
      <c r="I128">
        <v>1163</v>
      </c>
      <c r="J128">
        <v>582</v>
      </c>
      <c r="K128">
        <v>15</v>
      </c>
      <c r="L128">
        <v>183.8</v>
      </c>
      <c r="M128">
        <v>-38.9</v>
      </c>
      <c r="N128" s="10">
        <v>363000</v>
      </c>
      <c r="O128" s="10">
        <v>-32600</v>
      </c>
      <c r="P128" s="10">
        <v>7090</v>
      </c>
      <c r="Q128">
        <v>0</v>
      </c>
      <c r="R128">
        <v>0</v>
      </c>
      <c r="S128" t="s">
        <v>11</v>
      </c>
      <c r="T128" t="s">
        <v>49</v>
      </c>
      <c r="U128" t="s">
        <v>1878</v>
      </c>
      <c r="W128" s="10"/>
    </row>
    <row r="129" spans="1:23" x14ac:dyDescent="0.25">
      <c r="A129">
        <v>131987817</v>
      </c>
      <c r="B129">
        <v>11.32</v>
      </c>
      <c r="C129">
        <v>3</v>
      </c>
      <c r="D129" t="s">
        <v>60</v>
      </c>
      <c r="E129" t="s">
        <v>51</v>
      </c>
      <c r="F129">
        <v>131987817</v>
      </c>
      <c r="G129" t="s">
        <v>185</v>
      </c>
      <c r="H129">
        <v>11505</v>
      </c>
      <c r="I129">
        <v>3049</v>
      </c>
      <c r="J129">
        <v>1016</v>
      </c>
      <c r="K129">
        <v>40</v>
      </c>
      <c r="L129">
        <v>270.2</v>
      </c>
      <c r="M129">
        <v>-90</v>
      </c>
      <c r="N129" s="10">
        <v>582000</v>
      </c>
      <c r="O129" s="10">
        <v>-61900</v>
      </c>
      <c r="P129" s="10">
        <v>18600</v>
      </c>
      <c r="Q129">
        <v>0</v>
      </c>
      <c r="R129">
        <v>0</v>
      </c>
      <c r="S129" t="s">
        <v>11</v>
      </c>
      <c r="T129" t="s">
        <v>49</v>
      </c>
      <c r="U129" t="s">
        <v>1878</v>
      </c>
      <c r="W129" s="10"/>
    </row>
    <row r="130" spans="1:23" x14ac:dyDescent="0.25">
      <c r="A130">
        <v>131987832</v>
      </c>
      <c r="B130">
        <v>12.99</v>
      </c>
      <c r="C130">
        <v>3</v>
      </c>
      <c r="D130" t="s">
        <v>60</v>
      </c>
      <c r="E130" t="s">
        <v>51</v>
      </c>
      <c r="F130">
        <v>131987832</v>
      </c>
      <c r="G130" t="s">
        <v>186</v>
      </c>
      <c r="H130">
        <v>43158</v>
      </c>
      <c r="I130">
        <v>9968</v>
      </c>
      <c r="J130">
        <v>3323</v>
      </c>
      <c r="K130">
        <v>129</v>
      </c>
      <c r="L130">
        <v>821.5</v>
      </c>
      <c r="M130">
        <v>-293.5</v>
      </c>
      <c r="N130" s="10">
        <v>1850000</v>
      </c>
      <c r="O130" s="10">
        <v>-216000</v>
      </c>
      <c r="P130" s="10">
        <v>60800</v>
      </c>
      <c r="Q130">
        <v>0</v>
      </c>
      <c r="R130">
        <v>0</v>
      </c>
      <c r="S130" t="s">
        <v>11</v>
      </c>
      <c r="T130" t="s">
        <v>49</v>
      </c>
      <c r="U130" t="s">
        <v>1878</v>
      </c>
      <c r="W130" s="10"/>
    </row>
    <row r="131" spans="1:23" x14ac:dyDescent="0.25">
      <c r="A131">
        <v>131987833</v>
      </c>
      <c r="B131">
        <v>7.7</v>
      </c>
      <c r="C131">
        <v>2</v>
      </c>
      <c r="D131" t="s">
        <v>102</v>
      </c>
      <c r="E131" t="s">
        <v>47</v>
      </c>
      <c r="F131">
        <v>131987833</v>
      </c>
      <c r="G131" t="s">
        <v>187</v>
      </c>
      <c r="H131">
        <v>9993</v>
      </c>
      <c r="I131">
        <v>2596</v>
      </c>
      <c r="J131">
        <v>1298</v>
      </c>
      <c r="K131">
        <v>34</v>
      </c>
      <c r="L131">
        <v>308.60000000000002</v>
      </c>
      <c r="M131">
        <v>-64.7</v>
      </c>
      <c r="N131" s="10">
        <v>800000</v>
      </c>
      <c r="O131" s="10">
        <v>-92600</v>
      </c>
      <c r="P131" s="10">
        <v>12400</v>
      </c>
      <c r="Q131">
        <v>0</v>
      </c>
      <c r="R131">
        <v>0</v>
      </c>
      <c r="S131" t="s">
        <v>11</v>
      </c>
      <c r="T131" t="s">
        <v>49</v>
      </c>
      <c r="U131" t="s">
        <v>1878</v>
      </c>
      <c r="W131" s="10"/>
    </row>
    <row r="132" spans="1:23" x14ac:dyDescent="0.25">
      <c r="A132">
        <v>131987834</v>
      </c>
      <c r="B132">
        <v>13.62</v>
      </c>
      <c r="C132">
        <v>3</v>
      </c>
      <c r="D132" t="s">
        <v>60</v>
      </c>
      <c r="E132" t="s">
        <v>80</v>
      </c>
      <c r="F132">
        <v>131987834</v>
      </c>
      <c r="G132" t="s">
        <v>188</v>
      </c>
      <c r="H132">
        <v>10134</v>
      </c>
      <c r="I132">
        <v>2233</v>
      </c>
      <c r="J132">
        <v>744</v>
      </c>
      <c r="K132">
        <v>29</v>
      </c>
      <c r="L132">
        <v>295.2</v>
      </c>
      <c r="M132">
        <v>-82.1</v>
      </c>
      <c r="N132" s="10">
        <v>603000</v>
      </c>
      <c r="O132" s="10">
        <v>-63200</v>
      </c>
      <c r="P132" s="10">
        <v>13600</v>
      </c>
      <c r="Q132">
        <v>0</v>
      </c>
      <c r="R132">
        <v>0</v>
      </c>
      <c r="S132" t="s">
        <v>11</v>
      </c>
      <c r="T132" t="s">
        <v>49</v>
      </c>
      <c r="U132" t="s">
        <v>1878</v>
      </c>
      <c r="W132" s="10"/>
    </row>
    <row r="133" spans="1:23" x14ac:dyDescent="0.25">
      <c r="A133">
        <v>131987849</v>
      </c>
      <c r="B133">
        <v>14.5</v>
      </c>
      <c r="C133">
        <v>4</v>
      </c>
      <c r="D133" t="s">
        <v>60</v>
      </c>
      <c r="E133" t="s">
        <v>80</v>
      </c>
      <c r="F133">
        <v>131987849</v>
      </c>
      <c r="G133" t="s">
        <v>189</v>
      </c>
      <c r="H133">
        <v>17025</v>
      </c>
      <c r="I133">
        <v>4696</v>
      </c>
      <c r="J133">
        <v>1174</v>
      </c>
      <c r="K133">
        <v>61</v>
      </c>
      <c r="L133">
        <v>515</v>
      </c>
      <c r="M133">
        <v>-153.5</v>
      </c>
      <c r="N133" s="10">
        <v>1060000</v>
      </c>
      <c r="O133" s="10">
        <v>-115000</v>
      </c>
      <c r="P133" s="10">
        <v>28600</v>
      </c>
      <c r="Q133">
        <v>0</v>
      </c>
      <c r="R133">
        <v>0</v>
      </c>
      <c r="S133" t="s">
        <v>11</v>
      </c>
      <c r="T133" t="s">
        <v>49</v>
      </c>
      <c r="U133" t="s">
        <v>1878</v>
      </c>
      <c r="W133" s="10"/>
    </row>
    <row r="134" spans="1:23" x14ac:dyDescent="0.25">
      <c r="A134">
        <v>131987852</v>
      </c>
      <c r="B134">
        <v>8.58</v>
      </c>
      <c r="C134">
        <v>2</v>
      </c>
      <c r="D134" t="s">
        <v>60</v>
      </c>
      <c r="E134" t="s">
        <v>80</v>
      </c>
      <c r="F134">
        <v>131987852</v>
      </c>
      <c r="G134" t="s">
        <v>190</v>
      </c>
      <c r="H134">
        <v>6498</v>
      </c>
      <c r="I134">
        <v>1516</v>
      </c>
      <c r="J134">
        <v>758</v>
      </c>
      <c r="K134">
        <v>20</v>
      </c>
      <c r="L134">
        <v>247.1</v>
      </c>
      <c r="M134">
        <v>-59.3</v>
      </c>
      <c r="N134" s="10">
        <v>484000</v>
      </c>
      <c r="O134" s="10">
        <v>-49000</v>
      </c>
      <c r="P134" s="10">
        <v>9240</v>
      </c>
      <c r="Q134">
        <v>0</v>
      </c>
      <c r="R134">
        <v>0</v>
      </c>
      <c r="S134" t="s">
        <v>11</v>
      </c>
      <c r="T134" t="s">
        <v>49</v>
      </c>
      <c r="U134" t="s">
        <v>1878</v>
      </c>
      <c r="W134" s="10"/>
    </row>
    <row r="135" spans="1:23" x14ac:dyDescent="0.25">
      <c r="A135">
        <v>131987897</v>
      </c>
      <c r="B135">
        <v>13.57</v>
      </c>
      <c r="C135">
        <v>3</v>
      </c>
      <c r="D135" t="s">
        <v>46</v>
      </c>
      <c r="E135" t="s">
        <v>47</v>
      </c>
      <c r="F135">
        <v>131987897</v>
      </c>
      <c r="G135" t="s">
        <v>191</v>
      </c>
      <c r="H135">
        <v>30271</v>
      </c>
      <c r="I135">
        <v>6694</v>
      </c>
      <c r="J135">
        <v>2231</v>
      </c>
      <c r="K135">
        <v>87</v>
      </c>
      <c r="L135">
        <v>675.2</v>
      </c>
      <c r="M135">
        <v>-161.80000000000001</v>
      </c>
      <c r="N135" s="10">
        <v>1870000</v>
      </c>
      <c r="O135" s="10">
        <v>-227000</v>
      </c>
      <c r="P135" s="10">
        <v>31900</v>
      </c>
      <c r="Q135">
        <v>25</v>
      </c>
      <c r="R135">
        <v>34550</v>
      </c>
      <c r="S135" t="s">
        <v>11</v>
      </c>
      <c r="T135" t="s">
        <v>49</v>
      </c>
      <c r="U135" t="s">
        <v>1878</v>
      </c>
      <c r="W135" s="10"/>
    </row>
    <row r="136" spans="1:23" x14ac:dyDescent="0.25">
      <c r="A136">
        <v>131987909</v>
      </c>
      <c r="B136">
        <v>9.5</v>
      </c>
      <c r="C136">
        <v>2</v>
      </c>
      <c r="D136" t="s">
        <v>46</v>
      </c>
      <c r="E136" t="s">
        <v>47</v>
      </c>
      <c r="F136">
        <v>131987909</v>
      </c>
      <c r="G136" t="s">
        <v>192</v>
      </c>
      <c r="H136">
        <v>9663</v>
      </c>
      <c r="I136">
        <v>2034</v>
      </c>
      <c r="J136">
        <v>1017</v>
      </c>
      <c r="K136">
        <v>26</v>
      </c>
      <c r="L136">
        <v>357.5</v>
      </c>
      <c r="M136">
        <v>-64.599999999999994</v>
      </c>
      <c r="N136" s="10">
        <v>806000</v>
      </c>
      <c r="O136" s="10">
        <v>-88000</v>
      </c>
      <c r="P136" s="10">
        <v>9680</v>
      </c>
      <c r="Q136">
        <v>25</v>
      </c>
      <c r="R136">
        <v>34550</v>
      </c>
      <c r="S136" t="s">
        <v>11</v>
      </c>
      <c r="T136" t="s">
        <v>49</v>
      </c>
      <c r="U136" t="s">
        <v>1878</v>
      </c>
      <c r="W136" s="10"/>
    </row>
    <row r="137" spans="1:23" x14ac:dyDescent="0.25">
      <c r="A137">
        <v>131987931</v>
      </c>
      <c r="B137">
        <v>12.1</v>
      </c>
      <c r="C137">
        <v>3</v>
      </c>
      <c r="D137" t="s">
        <v>60</v>
      </c>
      <c r="E137" t="s">
        <v>55</v>
      </c>
      <c r="F137">
        <v>131987931</v>
      </c>
      <c r="G137" t="s">
        <v>193</v>
      </c>
      <c r="H137">
        <v>1536</v>
      </c>
      <c r="I137">
        <v>381</v>
      </c>
      <c r="J137">
        <v>127</v>
      </c>
      <c r="K137">
        <v>5</v>
      </c>
      <c r="L137">
        <v>50.5</v>
      </c>
      <c r="M137">
        <v>-15.9</v>
      </c>
      <c r="N137" s="10">
        <v>98200</v>
      </c>
      <c r="O137" s="10">
        <v>-11500</v>
      </c>
      <c r="P137" s="10">
        <v>2320</v>
      </c>
      <c r="Q137">
        <v>0</v>
      </c>
      <c r="R137">
        <v>0</v>
      </c>
      <c r="S137" t="s">
        <v>11</v>
      </c>
      <c r="T137" t="s">
        <v>49</v>
      </c>
      <c r="U137" t="s">
        <v>1878</v>
      </c>
      <c r="W137" s="10"/>
    </row>
    <row r="138" spans="1:23" x14ac:dyDescent="0.25">
      <c r="A138">
        <v>131988148</v>
      </c>
      <c r="B138">
        <v>8.25</v>
      </c>
      <c r="C138">
        <v>2</v>
      </c>
      <c r="D138" t="s">
        <v>60</v>
      </c>
      <c r="E138" t="s">
        <v>47</v>
      </c>
      <c r="F138">
        <v>131988148</v>
      </c>
      <c r="G138" t="s">
        <v>194</v>
      </c>
      <c r="H138">
        <v>848</v>
      </c>
      <c r="I138">
        <v>206</v>
      </c>
      <c r="J138">
        <v>103</v>
      </c>
      <c r="K138">
        <v>3</v>
      </c>
      <c r="L138">
        <v>38.5</v>
      </c>
      <c r="M138">
        <v>-7.9</v>
      </c>
      <c r="N138" s="10">
        <v>74500</v>
      </c>
      <c r="O138" s="10">
        <v>-6950</v>
      </c>
      <c r="P138" s="10">
        <v>1250</v>
      </c>
      <c r="Q138">
        <v>0</v>
      </c>
      <c r="R138">
        <v>0</v>
      </c>
      <c r="S138" t="s">
        <v>11</v>
      </c>
      <c r="T138" t="s">
        <v>49</v>
      </c>
      <c r="U138" t="s">
        <v>1878</v>
      </c>
      <c r="W138" s="10"/>
    </row>
    <row r="139" spans="1:23" x14ac:dyDescent="0.25">
      <c r="A139">
        <v>131988159</v>
      </c>
      <c r="B139">
        <v>11.7</v>
      </c>
      <c r="C139">
        <v>3</v>
      </c>
      <c r="D139" t="s">
        <v>104</v>
      </c>
      <c r="E139" t="s">
        <v>47</v>
      </c>
      <c r="F139">
        <v>131988159</v>
      </c>
      <c r="G139" t="s">
        <v>195</v>
      </c>
      <c r="H139">
        <v>1943</v>
      </c>
      <c r="I139">
        <v>498</v>
      </c>
      <c r="J139">
        <v>166</v>
      </c>
      <c r="K139">
        <v>6</v>
      </c>
      <c r="L139">
        <v>42.7</v>
      </c>
      <c r="M139">
        <v>-50.4</v>
      </c>
      <c r="N139" s="10">
        <v>507000</v>
      </c>
      <c r="O139" s="10">
        <v>-152000</v>
      </c>
      <c r="P139" s="10">
        <v>18200</v>
      </c>
      <c r="Q139">
        <v>0</v>
      </c>
      <c r="R139">
        <v>0</v>
      </c>
      <c r="S139" t="s">
        <v>11</v>
      </c>
      <c r="T139" t="s">
        <v>49</v>
      </c>
      <c r="U139" t="s">
        <v>1878</v>
      </c>
      <c r="W139" s="10"/>
    </row>
    <row r="140" spans="1:23" x14ac:dyDescent="0.25">
      <c r="A140">
        <v>131988183</v>
      </c>
      <c r="B140">
        <v>9.6300000000000008</v>
      </c>
      <c r="C140">
        <v>2</v>
      </c>
      <c r="D140" t="s">
        <v>54</v>
      </c>
      <c r="E140" t="s">
        <v>47</v>
      </c>
      <c r="F140">
        <v>131988183</v>
      </c>
      <c r="G140" t="s">
        <v>196</v>
      </c>
      <c r="H140">
        <v>1559</v>
      </c>
      <c r="I140">
        <v>324</v>
      </c>
      <c r="J140">
        <v>162</v>
      </c>
      <c r="K140">
        <v>4</v>
      </c>
      <c r="L140">
        <v>59.7</v>
      </c>
      <c r="M140">
        <v>-11</v>
      </c>
      <c r="N140" s="10">
        <v>132000</v>
      </c>
      <c r="O140" s="10">
        <v>-14100</v>
      </c>
      <c r="P140" s="10">
        <v>1540</v>
      </c>
      <c r="Q140">
        <v>4.5</v>
      </c>
      <c r="R140">
        <v>6219</v>
      </c>
      <c r="S140" t="s">
        <v>11</v>
      </c>
      <c r="T140" t="s">
        <v>49</v>
      </c>
      <c r="U140" t="s">
        <v>1878</v>
      </c>
      <c r="W140" s="10"/>
    </row>
    <row r="141" spans="1:23" x14ac:dyDescent="0.25">
      <c r="A141">
        <v>131988205</v>
      </c>
      <c r="B141">
        <v>8.1999999999999993</v>
      </c>
      <c r="C141">
        <v>2</v>
      </c>
      <c r="D141" t="s">
        <v>54</v>
      </c>
      <c r="E141" t="s">
        <v>47</v>
      </c>
      <c r="F141">
        <v>131988205</v>
      </c>
      <c r="G141" t="s">
        <v>197</v>
      </c>
      <c r="H141">
        <v>1402</v>
      </c>
      <c r="I141">
        <v>342</v>
      </c>
      <c r="J141">
        <v>171</v>
      </c>
      <c r="K141">
        <v>4</v>
      </c>
      <c r="L141">
        <v>67.400000000000006</v>
      </c>
      <c r="M141">
        <v>-11.6</v>
      </c>
      <c r="N141" s="10">
        <v>145000</v>
      </c>
      <c r="O141" s="10">
        <v>-15500</v>
      </c>
      <c r="P141" s="10">
        <v>1630</v>
      </c>
      <c r="Q141">
        <v>4.5</v>
      </c>
      <c r="R141">
        <v>6219</v>
      </c>
      <c r="S141" t="s">
        <v>11</v>
      </c>
      <c r="T141" t="s">
        <v>49</v>
      </c>
      <c r="U141" t="s">
        <v>1878</v>
      </c>
      <c r="W141" s="10"/>
    </row>
    <row r="142" spans="1:23" x14ac:dyDescent="0.25">
      <c r="A142">
        <v>131988414</v>
      </c>
      <c r="B142">
        <v>10.45</v>
      </c>
      <c r="C142">
        <v>2</v>
      </c>
      <c r="D142" t="s">
        <v>60</v>
      </c>
      <c r="E142" t="s">
        <v>47</v>
      </c>
      <c r="F142">
        <v>131988414</v>
      </c>
      <c r="G142" t="s">
        <v>198</v>
      </c>
      <c r="H142">
        <v>2479</v>
      </c>
      <c r="I142">
        <v>475</v>
      </c>
      <c r="J142">
        <v>238</v>
      </c>
      <c r="K142">
        <v>6</v>
      </c>
      <c r="L142">
        <v>84.9</v>
      </c>
      <c r="M142">
        <v>-18.7</v>
      </c>
      <c r="N142" s="10">
        <v>169000</v>
      </c>
      <c r="O142" s="10">
        <v>-15800</v>
      </c>
      <c r="P142" s="10">
        <v>2890</v>
      </c>
      <c r="Q142">
        <v>0</v>
      </c>
      <c r="R142">
        <v>0</v>
      </c>
      <c r="S142" t="s">
        <v>11</v>
      </c>
      <c r="T142" t="s">
        <v>49</v>
      </c>
      <c r="U142" t="s">
        <v>1878</v>
      </c>
      <c r="W142" s="10"/>
    </row>
    <row r="143" spans="1:23" x14ac:dyDescent="0.25">
      <c r="A143">
        <v>131988500</v>
      </c>
      <c r="B143">
        <v>5.9</v>
      </c>
      <c r="C143">
        <v>1</v>
      </c>
      <c r="D143" t="s">
        <v>60</v>
      </c>
      <c r="E143" t="s">
        <v>47</v>
      </c>
      <c r="F143">
        <v>131988500</v>
      </c>
      <c r="G143" t="s">
        <v>199</v>
      </c>
      <c r="H143">
        <v>662</v>
      </c>
      <c r="I143">
        <v>112</v>
      </c>
      <c r="J143">
        <v>112</v>
      </c>
      <c r="K143">
        <v>1</v>
      </c>
      <c r="L143">
        <v>47.4</v>
      </c>
      <c r="M143">
        <v>-7.3</v>
      </c>
      <c r="N143" s="10">
        <v>87200</v>
      </c>
      <c r="O143" s="10">
        <v>-7010</v>
      </c>
      <c r="P143" s="10">
        <v>684</v>
      </c>
      <c r="Q143">
        <v>0</v>
      </c>
      <c r="R143">
        <v>0</v>
      </c>
      <c r="S143" t="s">
        <v>11</v>
      </c>
      <c r="T143" t="s">
        <v>49</v>
      </c>
      <c r="U143" t="s">
        <v>1878</v>
      </c>
      <c r="W143" s="10"/>
    </row>
    <row r="144" spans="1:23" x14ac:dyDescent="0.25">
      <c r="A144">
        <v>131988692</v>
      </c>
      <c r="B144">
        <v>11.9</v>
      </c>
      <c r="C144">
        <v>3</v>
      </c>
      <c r="D144" t="s">
        <v>60</v>
      </c>
      <c r="E144" t="s">
        <v>47</v>
      </c>
      <c r="F144">
        <v>131988692</v>
      </c>
      <c r="G144" t="s">
        <v>200</v>
      </c>
      <c r="H144">
        <v>1714</v>
      </c>
      <c r="I144">
        <v>432</v>
      </c>
      <c r="J144">
        <v>144</v>
      </c>
      <c r="K144">
        <v>6</v>
      </c>
      <c r="L144">
        <v>88.1</v>
      </c>
      <c r="M144">
        <v>-17.600000000000001</v>
      </c>
      <c r="N144" s="10">
        <v>165000</v>
      </c>
      <c r="O144" s="10">
        <v>-15000</v>
      </c>
      <c r="P144" s="10">
        <v>2630</v>
      </c>
      <c r="Q144">
        <v>0</v>
      </c>
      <c r="R144">
        <v>0</v>
      </c>
      <c r="S144" t="s">
        <v>11</v>
      </c>
      <c r="T144" t="s">
        <v>49</v>
      </c>
      <c r="U144" t="s">
        <v>1878</v>
      </c>
      <c r="W144" s="10"/>
    </row>
    <row r="145" spans="1:23" x14ac:dyDescent="0.25">
      <c r="A145">
        <v>131988897</v>
      </c>
      <c r="B145">
        <v>9.9</v>
      </c>
      <c r="C145">
        <v>2</v>
      </c>
      <c r="D145" t="s">
        <v>60</v>
      </c>
      <c r="E145" t="s">
        <v>47</v>
      </c>
      <c r="F145">
        <v>131988897</v>
      </c>
      <c r="G145" t="s">
        <v>201</v>
      </c>
      <c r="H145">
        <v>726</v>
      </c>
      <c r="I145">
        <v>147</v>
      </c>
      <c r="J145">
        <v>74</v>
      </c>
      <c r="K145">
        <v>2</v>
      </c>
      <c r="L145">
        <v>38.799999999999997</v>
      </c>
      <c r="M145">
        <v>-6.8</v>
      </c>
      <c r="N145" s="10">
        <v>72000</v>
      </c>
      <c r="O145" s="10">
        <v>-5930</v>
      </c>
      <c r="P145" s="10">
        <v>894</v>
      </c>
      <c r="Q145">
        <v>0</v>
      </c>
      <c r="R145">
        <v>0</v>
      </c>
      <c r="S145" t="s">
        <v>11</v>
      </c>
      <c r="T145" t="s">
        <v>49</v>
      </c>
      <c r="U145" t="s">
        <v>1878</v>
      </c>
      <c r="W145" s="10"/>
    </row>
    <row r="146" spans="1:23" x14ac:dyDescent="0.25">
      <c r="A146">
        <v>131988941</v>
      </c>
      <c r="B146">
        <v>7.9</v>
      </c>
      <c r="C146">
        <v>2</v>
      </c>
      <c r="D146" t="s">
        <v>60</v>
      </c>
      <c r="E146" t="s">
        <v>80</v>
      </c>
      <c r="F146">
        <v>131988941</v>
      </c>
      <c r="G146" t="s">
        <v>202</v>
      </c>
      <c r="H146">
        <v>822</v>
      </c>
      <c r="I146">
        <v>208</v>
      </c>
      <c r="J146">
        <v>104</v>
      </c>
      <c r="K146">
        <v>3</v>
      </c>
      <c r="L146">
        <v>33.4</v>
      </c>
      <c r="M146">
        <v>-8.6</v>
      </c>
      <c r="N146" s="10">
        <v>66100</v>
      </c>
      <c r="O146" s="10">
        <v>-6310</v>
      </c>
      <c r="P146" s="10">
        <v>1270</v>
      </c>
      <c r="Q146">
        <v>0</v>
      </c>
      <c r="R146">
        <v>0</v>
      </c>
      <c r="S146" t="s">
        <v>11</v>
      </c>
      <c r="T146" t="s">
        <v>49</v>
      </c>
      <c r="U146" t="s">
        <v>1878</v>
      </c>
      <c r="W146" s="10"/>
    </row>
    <row r="147" spans="1:23" x14ac:dyDescent="0.25">
      <c r="A147">
        <v>131989122</v>
      </c>
      <c r="B147">
        <v>10.5</v>
      </c>
      <c r="C147">
        <v>3</v>
      </c>
      <c r="D147" t="s">
        <v>54</v>
      </c>
      <c r="E147" t="s">
        <v>47</v>
      </c>
      <c r="F147">
        <v>131989122</v>
      </c>
      <c r="G147" t="s">
        <v>203</v>
      </c>
      <c r="H147">
        <v>1932</v>
      </c>
      <c r="I147">
        <v>552</v>
      </c>
      <c r="J147">
        <v>184</v>
      </c>
      <c r="K147">
        <v>7</v>
      </c>
      <c r="L147">
        <v>85.9</v>
      </c>
      <c r="M147">
        <v>-16.399999999999999</v>
      </c>
      <c r="N147" s="10">
        <v>199000</v>
      </c>
      <c r="O147" s="10">
        <v>-23100</v>
      </c>
      <c r="P147" s="10">
        <v>2630</v>
      </c>
      <c r="Q147">
        <v>4.5</v>
      </c>
      <c r="R147">
        <v>6219</v>
      </c>
      <c r="S147" t="s">
        <v>11</v>
      </c>
      <c r="T147" t="s">
        <v>49</v>
      </c>
      <c r="U147" t="s">
        <v>1878</v>
      </c>
      <c r="W147" s="10"/>
    </row>
    <row r="148" spans="1:23" x14ac:dyDescent="0.25">
      <c r="A148">
        <v>131989128</v>
      </c>
      <c r="B148">
        <v>7.27</v>
      </c>
      <c r="C148">
        <v>2</v>
      </c>
      <c r="D148" t="s">
        <v>60</v>
      </c>
      <c r="E148" t="s">
        <v>47</v>
      </c>
      <c r="F148">
        <v>131989128</v>
      </c>
      <c r="G148" t="s">
        <v>204</v>
      </c>
      <c r="H148">
        <v>2020</v>
      </c>
      <c r="I148">
        <v>556</v>
      </c>
      <c r="J148">
        <v>278</v>
      </c>
      <c r="K148">
        <v>7</v>
      </c>
      <c r="L148">
        <v>102.9</v>
      </c>
      <c r="M148">
        <v>-20.399999999999999</v>
      </c>
      <c r="N148" s="10">
        <v>196000</v>
      </c>
      <c r="O148" s="10">
        <v>-17600</v>
      </c>
      <c r="P148" s="10">
        <v>3390</v>
      </c>
      <c r="Q148">
        <v>0</v>
      </c>
      <c r="R148">
        <v>0</v>
      </c>
      <c r="S148" t="s">
        <v>11</v>
      </c>
      <c r="T148" t="s">
        <v>49</v>
      </c>
      <c r="U148" t="s">
        <v>1878</v>
      </c>
      <c r="W148" s="10"/>
    </row>
    <row r="149" spans="1:23" x14ac:dyDescent="0.25">
      <c r="A149">
        <v>131989147</v>
      </c>
      <c r="B149">
        <v>9</v>
      </c>
      <c r="C149">
        <v>2</v>
      </c>
      <c r="D149" t="s">
        <v>54</v>
      </c>
      <c r="E149" t="s">
        <v>80</v>
      </c>
      <c r="F149">
        <v>131989147</v>
      </c>
      <c r="G149" t="s">
        <v>205</v>
      </c>
      <c r="H149">
        <v>1433</v>
      </c>
      <c r="I149">
        <v>318</v>
      </c>
      <c r="J149">
        <v>159</v>
      </c>
      <c r="K149">
        <v>4</v>
      </c>
      <c r="L149">
        <v>54</v>
      </c>
      <c r="M149">
        <v>-11.7</v>
      </c>
      <c r="N149" s="10">
        <v>121000</v>
      </c>
      <c r="O149" s="10">
        <v>-14500</v>
      </c>
      <c r="P149" s="10">
        <v>1520</v>
      </c>
      <c r="Q149">
        <v>4.5</v>
      </c>
      <c r="R149">
        <v>6219</v>
      </c>
      <c r="S149" t="s">
        <v>11</v>
      </c>
      <c r="T149" t="s">
        <v>49</v>
      </c>
      <c r="U149" t="s">
        <v>1878</v>
      </c>
      <c r="W149" s="10"/>
    </row>
    <row r="150" spans="1:23" x14ac:dyDescent="0.25">
      <c r="A150">
        <v>131989260</v>
      </c>
      <c r="B150">
        <v>6.05</v>
      </c>
      <c r="C150">
        <v>1</v>
      </c>
      <c r="D150" t="s">
        <v>54</v>
      </c>
      <c r="E150" t="s">
        <v>47</v>
      </c>
      <c r="F150">
        <v>131989260</v>
      </c>
      <c r="G150" t="s">
        <v>206</v>
      </c>
      <c r="H150">
        <v>548</v>
      </c>
      <c r="I150">
        <v>91</v>
      </c>
      <c r="J150">
        <v>91</v>
      </c>
      <c r="K150">
        <v>1</v>
      </c>
      <c r="L150">
        <v>29.9</v>
      </c>
      <c r="M150">
        <v>-4.0999999999999996</v>
      </c>
      <c r="N150" s="10">
        <v>60200</v>
      </c>
      <c r="O150" s="10">
        <v>-5320</v>
      </c>
      <c r="P150" s="10">
        <v>431</v>
      </c>
      <c r="Q150">
        <v>3</v>
      </c>
      <c r="R150">
        <v>4146</v>
      </c>
      <c r="S150" t="s">
        <v>11</v>
      </c>
      <c r="T150" t="s">
        <v>49</v>
      </c>
      <c r="U150" t="s">
        <v>1878</v>
      </c>
      <c r="W150" s="10"/>
    </row>
    <row r="151" spans="1:23" x14ac:dyDescent="0.25">
      <c r="A151">
        <v>131989348</v>
      </c>
      <c r="B151">
        <v>7.7</v>
      </c>
      <c r="C151">
        <v>2</v>
      </c>
      <c r="D151" t="s">
        <v>54</v>
      </c>
      <c r="E151" t="s">
        <v>47</v>
      </c>
      <c r="F151">
        <v>131989348</v>
      </c>
      <c r="G151" t="s">
        <v>207</v>
      </c>
      <c r="H151">
        <v>1025</v>
      </c>
      <c r="I151">
        <v>266</v>
      </c>
      <c r="J151">
        <v>133</v>
      </c>
      <c r="K151">
        <v>3</v>
      </c>
      <c r="L151">
        <v>36.299999999999997</v>
      </c>
      <c r="M151">
        <v>-7.1</v>
      </c>
      <c r="N151" s="10">
        <v>89500</v>
      </c>
      <c r="O151" s="10">
        <v>-10400</v>
      </c>
      <c r="P151" s="10">
        <v>1270</v>
      </c>
      <c r="Q151">
        <v>4.5</v>
      </c>
      <c r="R151">
        <v>6219</v>
      </c>
      <c r="S151" t="s">
        <v>11</v>
      </c>
      <c r="T151" t="s">
        <v>49</v>
      </c>
      <c r="U151" t="s">
        <v>1878</v>
      </c>
      <c r="W151" s="10"/>
    </row>
    <row r="152" spans="1:23" x14ac:dyDescent="0.25">
      <c r="A152">
        <v>131989375</v>
      </c>
      <c r="B152">
        <v>11.5</v>
      </c>
      <c r="C152">
        <v>3</v>
      </c>
      <c r="D152" t="s">
        <v>60</v>
      </c>
      <c r="E152" t="s">
        <v>55</v>
      </c>
      <c r="F152">
        <v>131989375</v>
      </c>
      <c r="G152" t="s">
        <v>208</v>
      </c>
      <c r="H152">
        <v>2237</v>
      </c>
      <c r="I152">
        <v>584</v>
      </c>
      <c r="J152">
        <v>195</v>
      </c>
      <c r="K152">
        <v>8</v>
      </c>
      <c r="L152">
        <v>59.1</v>
      </c>
      <c r="M152">
        <v>-19.2</v>
      </c>
      <c r="N152" s="10">
        <v>122000</v>
      </c>
      <c r="O152" s="10">
        <v>-13300</v>
      </c>
      <c r="P152" s="10">
        <v>3560</v>
      </c>
      <c r="Q152">
        <v>0</v>
      </c>
      <c r="R152">
        <v>0</v>
      </c>
      <c r="S152" t="s">
        <v>11</v>
      </c>
      <c r="T152" t="s">
        <v>49</v>
      </c>
      <c r="U152" t="s">
        <v>1878</v>
      </c>
      <c r="W152" s="10"/>
    </row>
    <row r="153" spans="1:23" x14ac:dyDescent="0.25">
      <c r="A153">
        <v>131989414</v>
      </c>
      <c r="B153">
        <v>7.2</v>
      </c>
      <c r="C153">
        <v>2</v>
      </c>
      <c r="D153" t="s">
        <v>54</v>
      </c>
      <c r="E153" t="s">
        <v>47</v>
      </c>
      <c r="F153">
        <v>131989414</v>
      </c>
      <c r="G153" t="s">
        <v>209</v>
      </c>
      <c r="H153">
        <v>804</v>
      </c>
      <c r="I153">
        <v>223</v>
      </c>
      <c r="J153">
        <v>112</v>
      </c>
      <c r="K153">
        <v>3</v>
      </c>
      <c r="L153">
        <v>46.3</v>
      </c>
      <c r="M153">
        <v>-7.7</v>
      </c>
      <c r="N153" s="10">
        <v>98100</v>
      </c>
      <c r="O153" s="10">
        <v>-10600</v>
      </c>
      <c r="P153" s="10">
        <v>1060</v>
      </c>
      <c r="Q153">
        <v>4.5</v>
      </c>
      <c r="R153">
        <v>6219</v>
      </c>
      <c r="S153" t="s">
        <v>11</v>
      </c>
      <c r="T153" t="s">
        <v>49</v>
      </c>
      <c r="U153" t="s">
        <v>1878</v>
      </c>
      <c r="W153" s="10"/>
    </row>
    <row r="154" spans="1:23" x14ac:dyDescent="0.25">
      <c r="A154">
        <v>131989544</v>
      </c>
      <c r="B154">
        <v>6.85</v>
      </c>
      <c r="C154">
        <v>1</v>
      </c>
      <c r="D154" t="s">
        <v>54</v>
      </c>
      <c r="E154" t="s">
        <v>47</v>
      </c>
      <c r="F154">
        <v>131989544</v>
      </c>
      <c r="G154" t="s">
        <v>210</v>
      </c>
      <c r="H154">
        <v>867</v>
      </c>
      <c r="I154">
        <v>127</v>
      </c>
      <c r="J154">
        <v>127</v>
      </c>
      <c r="K154">
        <v>2</v>
      </c>
      <c r="L154">
        <v>30.5</v>
      </c>
      <c r="M154">
        <v>-4.8</v>
      </c>
      <c r="N154" s="10">
        <v>64400</v>
      </c>
      <c r="O154" s="10">
        <v>-6250</v>
      </c>
      <c r="P154" s="10">
        <v>602</v>
      </c>
      <c r="Q154">
        <v>4.5</v>
      </c>
      <c r="R154">
        <v>6219</v>
      </c>
      <c r="S154" t="s">
        <v>11</v>
      </c>
      <c r="T154" t="s">
        <v>49</v>
      </c>
      <c r="U154" t="s">
        <v>1878</v>
      </c>
      <c r="W154" s="10"/>
    </row>
    <row r="155" spans="1:23" x14ac:dyDescent="0.25">
      <c r="A155">
        <v>131989562</v>
      </c>
      <c r="B155">
        <v>10.7</v>
      </c>
      <c r="C155">
        <v>3</v>
      </c>
      <c r="D155" t="s">
        <v>60</v>
      </c>
      <c r="E155" t="s">
        <v>47</v>
      </c>
      <c r="F155">
        <v>131989562</v>
      </c>
      <c r="G155" t="s">
        <v>211</v>
      </c>
      <c r="H155">
        <v>3032</v>
      </c>
      <c r="I155">
        <v>850</v>
      </c>
      <c r="J155">
        <v>283</v>
      </c>
      <c r="K155">
        <v>11</v>
      </c>
      <c r="L155">
        <v>138.5</v>
      </c>
      <c r="M155">
        <v>-29.1</v>
      </c>
      <c r="N155" s="10">
        <v>268000</v>
      </c>
      <c r="O155" s="10">
        <v>-24800</v>
      </c>
      <c r="P155" s="10">
        <v>5180</v>
      </c>
      <c r="Q155">
        <v>0</v>
      </c>
      <c r="R155">
        <v>0</v>
      </c>
      <c r="S155" t="s">
        <v>11</v>
      </c>
      <c r="T155" t="s">
        <v>49</v>
      </c>
      <c r="U155" t="s">
        <v>1878</v>
      </c>
      <c r="W155" s="10"/>
    </row>
    <row r="156" spans="1:23" x14ac:dyDescent="0.25">
      <c r="A156">
        <v>131989585</v>
      </c>
      <c r="B156">
        <v>13</v>
      </c>
      <c r="C156">
        <v>3</v>
      </c>
      <c r="D156" t="s">
        <v>60</v>
      </c>
      <c r="E156" t="s">
        <v>51</v>
      </c>
      <c r="F156">
        <v>131989585</v>
      </c>
      <c r="G156" t="s">
        <v>212</v>
      </c>
      <c r="H156">
        <v>1786</v>
      </c>
      <c r="I156">
        <v>412</v>
      </c>
      <c r="J156">
        <v>137</v>
      </c>
      <c r="K156">
        <v>5</v>
      </c>
      <c r="L156">
        <v>41</v>
      </c>
      <c r="M156">
        <v>-13.6</v>
      </c>
      <c r="N156" s="10">
        <v>86700</v>
      </c>
      <c r="O156" s="10">
        <v>-9310</v>
      </c>
      <c r="P156" s="10">
        <v>2510</v>
      </c>
      <c r="Q156">
        <v>0</v>
      </c>
      <c r="R156">
        <v>0</v>
      </c>
      <c r="S156" t="s">
        <v>11</v>
      </c>
      <c r="T156" t="s">
        <v>49</v>
      </c>
      <c r="U156" t="s">
        <v>1878</v>
      </c>
      <c r="W156" s="10"/>
    </row>
    <row r="157" spans="1:23" x14ac:dyDescent="0.25">
      <c r="A157">
        <v>131989601</v>
      </c>
      <c r="B157">
        <v>14.35</v>
      </c>
      <c r="C157">
        <v>4</v>
      </c>
      <c r="D157" t="s">
        <v>60</v>
      </c>
      <c r="E157" t="s">
        <v>51</v>
      </c>
      <c r="F157">
        <v>131989601</v>
      </c>
      <c r="G157" t="s">
        <v>213</v>
      </c>
      <c r="H157">
        <v>4587</v>
      </c>
      <c r="I157">
        <v>1279</v>
      </c>
      <c r="J157">
        <v>320</v>
      </c>
      <c r="K157">
        <v>17</v>
      </c>
      <c r="L157">
        <v>118.6</v>
      </c>
      <c r="M157">
        <v>-39.4</v>
      </c>
      <c r="N157" s="10">
        <v>248000</v>
      </c>
      <c r="O157" s="10">
        <v>-27000</v>
      </c>
      <c r="P157" s="10">
        <v>7790</v>
      </c>
      <c r="Q157">
        <v>0</v>
      </c>
      <c r="R157">
        <v>0</v>
      </c>
      <c r="S157" t="s">
        <v>11</v>
      </c>
      <c r="T157" t="s">
        <v>49</v>
      </c>
      <c r="U157" t="s">
        <v>1878</v>
      </c>
      <c r="W157" s="10"/>
    </row>
    <row r="158" spans="1:23" x14ac:dyDescent="0.25">
      <c r="A158">
        <v>131989649</v>
      </c>
      <c r="B158">
        <v>16.3</v>
      </c>
      <c r="C158">
        <v>4</v>
      </c>
      <c r="D158" t="s">
        <v>60</v>
      </c>
      <c r="E158" t="s">
        <v>58</v>
      </c>
      <c r="F158">
        <v>131989649</v>
      </c>
      <c r="G158" t="s">
        <v>214</v>
      </c>
      <c r="H158">
        <v>4518</v>
      </c>
      <c r="I158">
        <v>1109</v>
      </c>
      <c r="J158">
        <v>277</v>
      </c>
      <c r="K158">
        <v>14</v>
      </c>
      <c r="L158">
        <v>110.7</v>
      </c>
      <c r="M158">
        <v>-39.1</v>
      </c>
      <c r="N158" s="10">
        <v>230000</v>
      </c>
      <c r="O158" s="10">
        <v>-25300</v>
      </c>
      <c r="P158" s="10">
        <v>6760</v>
      </c>
      <c r="Q158">
        <v>0</v>
      </c>
      <c r="R158">
        <v>0</v>
      </c>
      <c r="S158" t="s">
        <v>11</v>
      </c>
      <c r="T158" t="s">
        <v>49</v>
      </c>
      <c r="U158" t="s">
        <v>1878</v>
      </c>
      <c r="W158" s="10"/>
    </row>
    <row r="159" spans="1:23" x14ac:dyDescent="0.25">
      <c r="A159">
        <v>131989727</v>
      </c>
      <c r="B159">
        <v>11.55</v>
      </c>
      <c r="C159">
        <v>3</v>
      </c>
      <c r="D159" t="s">
        <v>60</v>
      </c>
      <c r="E159" t="s">
        <v>47</v>
      </c>
      <c r="F159">
        <v>131989727</v>
      </c>
      <c r="G159" t="s">
        <v>215</v>
      </c>
      <c r="H159">
        <v>3824</v>
      </c>
      <c r="I159">
        <v>993</v>
      </c>
      <c r="J159">
        <v>331</v>
      </c>
      <c r="K159">
        <v>13</v>
      </c>
      <c r="L159">
        <v>119.3</v>
      </c>
      <c r="M159">
        <v>-30.4</v>
      </c>
      <c r="N159" s="10">
        <v>248000</v>
      </c>
      <c r="O159" s="10">
        <v>-23400</v>
      </c>
      <c r="P159" s="10">
        <v>6050</v>
      </c>
      <c r="Q159">
        <v>0</v>
      </c>
      <c r="R159">
        <v>0</v>
      </c>
      <c r="S159" t="s">
        <v>11</v>
      </c>
      <c r="T159" t="s">
        <v>49</v>
      </c>
      <c r="U159" t="s">
        <v>1878</v>
      </c>
      <c r="W159" s="10"/>
    </row>
    <row r="160" spans="1:23" x14ac:dyDescent="0.25">
      <c r="A160">
        <v>131989730</v>
      </c>
      <c r="B160">
        <v>8.9</v>
      </c>
      <c r="C160">
        <v>2</v>
      </c>
      <c r="D160" t="s">
        <v>60</v>
      </c>
      <c r="E160" t="s">
        <v>47</v>
      </c>
      <c r="F160">
        <v>131989730</v>
      </c>
      <c r="G160" t="s">
        <v>216</v>
      </c>
      <c r="H160">
        <v>1495</v>
      </c>
      <c r="I160">
        <v>336</v>
      </c>
      <c r="J160">
        <v>168</v>
      </c>
      <c r="K160">
        <v>4</v>
      </c>
      <c r="L160">
        <v>61.1</v>
      </c>
      <c r="M160">
        <v>-13.3</v>
      </c>
      <c r="N160" s="10">
        <v>118000</v>
      </c>
      <c r="O160" s="10">
        <v>-11000</v>
      </c>
      <c r="P160" s="10">
        <v>2050</v>
      </c>
      <c r="Q160">
        <v>0</v>
      </c>
      <c r="R160">
        <v>0</v>
      </c>
      <c r="S160" t="s">
        <v>11</v>
      </c>
      <c r="T160" t="s">
        <v>49</v>
      </c>
      <c r="U160" t="s">
        <v>1878</v>
      </c>
      <c r="W160" s="10"/>
    </row>
    <row r="161" spans="1:23" x14ac:dyDescent="0.25">
      <c r="A161">
        <v>131989740</v>
      </c>
      <c r="B161">
        <v>5.18</v>
      </c>
      <c r="C161">
        <v>1</v>
      </c>
      <c r="D161" t="s">
        <v>60</v>
      </c>
      <c r="E161" t="s">
        <v>47</v>
      </c>
      <c r="F161">
        <v>131989740</v>
      </c>
      <c r="G161" t="s">
        <v>217</v>
      </c>
      <c r="H161">
        <v>502</v>
      </c>
      <c r="I161">
        <v>97</v>
      </c>
      <c r="J161">
        <v>97</v>
      </c>
      <c r="K161">
        <v>1</v>
      </c>
      <c r="L161">
        <v>35.200000000000003</v>
      </c>
      <c r="M161">
        <v>-5.7</v>
      </c>
      <c r="N161" s="10">
        <v>64800</v>
      </c>
      <c r="O161" s="10">
        <v>-5270</v>
      </c>
      <c r="P161" s="10">
        <v>591</v>
      </c>
      <c r="Q161">
        <v>0</v>
      </c>
      <c r="R161">
        <v>0</v>
      </c>
      <c r="S161" t="s">
        <v>11</v>
      </c>
      <c r="T161" t="s">
        <v>49</v>
      </c>
      <c r="U161" t="s">
        <v>1878</v>
      </c>
      <c r="W161" s="10"/>
    </row>
    <row r="162" spans="1:23" x14ac:dyDescent="0.25">
      <c r="A162">
        <v>131989772</v>
      </c>
      <c r="B162">
        <v>11.8</v>
      </c>
      <c r="C162">
        <v>3</v>
      </c>
      <c r="D162" t="s">
        <v>60</v>
      </c>
      <c r="E162" t="s">
        <v>51</v>
      </c>
      <c r="F162">
        <v>131989772</v>
      </c>
      <c r="G162" t="s">
        <v>218</v>
      </c>
      <c r="H162">
        <v>5560</v>
      </c>
      <c r="I162">
        <v>1413</v>
      </c>
      <c r="J162">
        <v>471</v>
      </c>
      <c r="K162">
        <v>18</v>
      </c>
      <c r="L162">
        <v>154.80000000000001</v>
      </c>
      <c r="M162">
        <v>-48.7</v>
      </c>
      <c r="N162" s="10">
        <v>314000</v>
      </c>
      <c r="O162" s="10">
        <v>-32800</v>
      </c>
      <c r="P162" s="10">
        <v>8620</v>
      </c>
      <c r="Q162">
        <v>0</v>
      </c>
      <c r="R162">
        <v>0</v>
      </c>
      <c r="S162" t="s">
        <v>11</v>
      </c>
      <c r="T162" t="s">
        <v>49</v>
      </c>
      <c r="U162" t="s">
        <v>1878</v>
      </c>
      <c r="W162" s="10"/>
    </row>
    <row r="163" spans="1:23" x14ac:dyDescent="0.25">
      <c r="A163">
        <v>131989892</v>
      </c>
      <c r="B163">
        <v>10.9</v>
      </c>
      <c r="C163">
        <v>3</v>
      </c>
      <c r="D163" t="s">
        <v>60</v>
      </c>
      <c r="E163" t="s">
        <v>47</v>
      </c>
      <c r="F163">
        <v>131989892</v>
      </c>
      <c r="G163" t="s">
        <v>219</v>
      </c>
      <c r="H163">
        <v>1518</v>
      </c>
      <c r="I163">
        <v>418</v>
      </c>
      <c r="J163">
        <v>139</v>
      </c>
      <c r="K163">
        <v>5</v>
      </c>
      <c r="L163">
        <v>48.2</v>
      </c>
      <c r="M163">
        <v>-12.4</v>
      </c>
      <c r="N163" s="10">
        <v>100000</v>
      </c>
      <c r="O163" s="10">
        <v>-9420</v>
      </c>
      <c r="P163" s="10">
        <v>2550</v>
      </c>
      <c r="Q163">
        <v>0</v>
      </c>
      <c r="R163">
        <v>0</v>
      </c>
      <c r="S163" t="s">
        <v>11</v>
      </c>
      <c r="T163" t="s">
        <v>49</v>
      </c>
      <c r="U163" t="s">
        <v>1878</v>
      </c>
      <c r="W163" s="10"/>
    </row>
    <row r="164" spans="1:23" x14ac:dyDescent="0.25">
      <c r="A164">
        <v>131989958</v>
      </c>
      <c r="B164">
        <v>10.5</v>
      </c>
      <c r="C164">
        <v>3</v>
      </c>
      <c r="D164" t="s">
        <v>104</v>
      </c>
      <c r="E164" t="s">
        <v>47</v>
      </c>
      <c r="F164">
        <v>131989958</v>
      </c>
      <c r="G164" t="s">
        <v>220</v>
      </c>
      <c r="H164">
        <v>1440</v>
      </c>
      <c r="I164">
        <v>412</v>
      </c>
      <c r="J164">
        <v>137</v>
      </c>
      <c r="K164">
        <v>5</v>
      </c>
      <c r="L164">
        <v>45.3</v>
      </c>
      <c r="M164">
        <v>-35.700000000000003</v>
      </c>
      <c r="N164" s="10">
        <v>438000</v>
      </c>
      <c r="O164" s="10">
        <v>-125000</v>
      </c>
      <c r="P164" s="10">
        <v>15000</v>
      </c>
      <c r="Q164">
        <v>0</v>
      </c>
      <c r="R164">
        <v>0</v>
      </c>
      <c r="S164" t="s">
        <v>11</v>
      </c>
      <c r="T164" t="s">
        <v>49</v>
      </c>
      <c r="U164" t="s">
        <v>1878</v>
      </c>
      <c r="W164" s="10"/>
    </row>
    <row r="165" spans="1:23" x14ac:dyDescent="0.25">
      <c r="A165">
        <v>131989976</v>
      </c>
      <c r="B165">
        <v>3.7</v>
      </c>
      <c r="C165">
        <v>1</v>
      </c>
      <c r="D165" t="s">
        <v>60</v>
      </c>
      <c r="E165" t="s">
        <v>55</v>
      </c>
      <c r="F165">
        <v>131989976</v>
      </c>
      <c r="G165" t="s">
        <v>221</v>
      </c>
      <c r="H165">
        <v>492</v>
      </c>
      <c r="I165">
        <v>133</v>
      </c>
      <c r="J165">
        <v>133</v>
      </c>
      <c r="K165">
        <v>2</v>
      </c>
      <c r="L165">
        <v>22.9</v>
      </c>
      <c r="M165">
        <v>-5.2</v>
      </c>
      <c r="N165" s="10">
        <v>44200</v>
      </c>
      <c r="O165" s="10">
        <v>-3910</v>
      </c>
      <c r="P165" s="10">
        <v>810</v>
      </c>
      <c r="Q165">
        <v>0</v>
      </c>
      <c r="R165">
        <v>0</v>
      </c>
      <c r="S165" t="s">
        <v>11</v>
      </c>
      <c r="T165" t="s">
        <v>49</v>
      </c>
      <c r="U165" t="s">
        <v>1878</v>
      </c>
      <c r="W165" s="10"/>
    </row>
    <row r="166" spans="1:23" x14ac:dyDescent="0.25">
      <c r="A166">
        <v>131989995</v>
      </c>
      <c r="B166">
        <v>5.57</v>
      </c>
      <c r="C166">
        <v>1</v>
      </c>
      <c r="D166" t="s">
        <v>46</v>
      </c>
      <c r="E166" t="s">
        <v>47</v>
      </c>
      <c r="F166">
        <v>131989995</v>
      </c>
      <c r="G166" t="s">
        <v>222</v>
      </c>
      <c r="H166">
        <v>862</v>
      </c>
      <c r="I166">
        <v>155</v>
      </c>
      <c r="J166">
        <v>155</v>
      </c>
      <c r="K166">
        <v>2</v>
      </c>
      <c r="L166">
        <v>41.1</v>
      </c>
      <c r="M166">
        <v>-5.8</v>
      </c>
      <c r="N166" s="10">
        <v>85700</v>
      </c>
      <c r="O166" s="10">
        <v>-7840</v>
      </c>
      <c r="P166" s="10">
        <v>737</v>
      </c>
      <c r="Q166">
        <v>4.5</v>
      </c>
      <c r="R166">
        <v>6219</v>
      </c>
      <c r="S166" t="s">
        <v>11</v>
      </c>
      <c r="T166" t="s">
        <v>49</v>
      </c>
      <c r="U166" t="s">
        <v>1878</v>
      </c>
      <c r="W166" s="10"/>
    </row>
    <row r="167" spans="1:23" x14ac:dyDescent="0.25">
      <c r="A167">
        <v>131990015</v>
      </c>
      <c r="B167">
        <v>10.83</v>
      </c>
      <c r="C167">
        <v>3</v>
      </c>
      <c r="D167" t="s">
        <v>60</v>
      </c>
      <c r="E167" t="s">
        <v>55</v>
      </c>
      <c r="F167">
        <v>131990015</v>
      </c>
      <c r="G167" t="s">
        <v>223</v>
      </c>
      <c r="H167">
        <v>1984</v>
      </c>
      <c r="I167">
        <v>550</v>
      </c>
      <c r="J167">
        <v>183</v>
      </c>
      <c r="K167">
        <v>7</v>
      </c>
      <c r="L167">
        <v>46.6</v>
      </c>
      <c r="M167">
        <v>-16.3</v>
      </c>
      <c r="N167" s="10">
        <v>101000</v>
      </c>
      <c r="O167" s="10">
        <v>-10800</v>
      </c>
      <c r="P167" s="10">
        <v>3350</v>
      </c>
      <c r="Q167">
        <v>0</v>
      </c>
      <c r="R167">
        <v>0</v>
      </c>
      <c r="S167" t="s">
        <v>11</v>
      </c>
      <c r="T167" t="s">
        <v>49</v>
      </c>
      <c r="U167" t="s">
        <v>1878</v>
      </c>
      <c r="W167" s="10"/>
    </row>
    <row r="168" spans="1:23" x14ac:dyDescent="0.25">
      <c r="A168">
        <v>131990019</v>
      </c>
      <c r="B168">
        <v>7.69</v>
      </c>
      <c r="C168">
        <v>2</v>
      </c>
      <c r="D168" t="s">
        <v>102</v>
      </c>
      <c r="E168" t="s">
        <v>47</v>
      </c>
      <c r="F168">
        <v>131990019</v>
      </c>
      <c r="G168" t="s">
        <v>224</v>
      </c>
      <c r="H168">
        <v>2476</v>
      </c>
      <c r="I168">
        <v>644</v>
      </c>
      <c r="J168">
        <v>322</v>
      </c>
      <c r="K168">
        <v>8</v>
      </c>
      <c r="L168">
        <v>76.400000000000006</v>
      </c>
      <c r="M168">
        <v>-15.8</v>
      </c>
      <c r="N168" s="10">
        <v>198000</v>
      </c>
      <c r="O168" s="10">
        <v>-23400</v>
      </c>
      <c r="P168" s="10">
        <v>3070</v>
      </c>
      <c r="Q168">
        <v>0</v>
      </c>
      <c r="R168">
        <v>0</v>
      </c>
      <c r="S168" t="s">
        <v>11</v>
      </c>
      <c r="T168" t="s">
        <v>49</v>
      </c>
      <c r="U168" t="s">
        <v>1878</v>
      </c>
      <c r="W168" s="10"/>
    </row>
    <row r="169" spans="1:23" x14ac:dyDescent="0.25">
      <c r="A169">
        <v>131990025</v>
      </c>
      <c r="B169">
        <v>7.6</v>
      </c>
      <c r="C169">
        <v>2</v>
      </c>
      <c r="D169" t="s">
        <v>60</v>
      </c>
      <c r="E169" t="s">
        <v>47</v>
      </c>
      <c r="F169">
        <v>131990025</v>
      </c>
      <c r="G169" t="s">
        <v>225</v>
      </c>
      <c r="H169">
        <v>1789</v>
      </c>
      <c r="I169">
        <v>471</v>
      </c>
      <c r="J169">
        <v>236</v>
      </c>
      <c r="K169">
        <v>6</v>
      </c>
      <c r="L169">
        <v>90</v>
      </c>
      <c r="M169">
        <v>-17.7</v>
      </c>
      <c r="N169" s="10">
        <v>171000</v>
      </c>
      <c r="O169" s="10">
        <v>-15100</v>
      </c>
      <c r="P169" s="10">
        <v>2870</v>
      </c>
      <c r="Q169">
        <v>0</v>
      </c>
      <c r="R169">
        <v>0</v>
      </c>
      <c r="S169" t="s">
        <v>11</v>
      </c>
      <c r="T169" t="s">
        <v>49</v>
      </c>
      <c r="U169" t="s">
        <v>1878</v>
      </c>
      <c r="W169" s="10"/>
    </row>
    <row r="170" spans="1:23" x14ac:dyDescent="0.25">
      <c r="A170">
        <v>131990045</v>
      </c>
      <c r="B170">
        <v>7.2</v>
      </c>
      <c r="C170">
        <v>2</v>
      </c>
      <c r="D170" t="s">
        <v>60</v>
      </c>
      <c r="E170" t="s">
        <v>51</v>
      </c>
      <c r="F170">
        <v>131990045</v>
      </c>
      <c r="G170" t="s">
        <v>226</v>
      </c>
      <c r="H170">
        <v>765</v>
      </c>
      <c r="I170">
        <v>212</v>
      </c>
      <c r="J170">
        <v>106</v>
      </c>
      <c r="K170">
        <v>3</v>
      </c>
      <c r="L170">
        <v>24.9</v>
      </c>
      <c r="M170">
        <v>-7.2</v>
      </c>
      <c r="N170" s="10">
        <v>50600</v>
      </c>
      <c r="O170" s="10">
        <v>-5090</v>
      </c>
      <c r="P170" s="10">
        <v>1290</v>
      </c>
      <c r="Q170">
        <v>0</v>
      </c>
      <c r="R170">
        <v>0</v>
      </c>
      <c r="S170" t="s">
        <v>11</v>
      </c>
      <c r="T170" t="s">
        <v>49</v>
      </c>
      <c r="U170" t="s">
        <v>1878</v>
      </c>
      <c r="W170" s="10"/>
    </row>
    <row r="171" spans="1:23" x14ac:dyDescent="0.25">
      <c r="A171">
        <v>131990052</v>
      </c>
      <c r="B171">
        <v>8.1999999999999993</v>
      </c>
      <c r="C171">
        <v>2</v>
      </c>
      <c r="D171" t="s">
        <v>54</v>
      </c>
      <c r="E171" t="s">
        <v>47</v>
      </c>
      <c r="F171">
        <v>131990052</v>
      </c>
      <c r="G171" t="s">
        <v>227</v>
      </c>
      <c r="H171">
        <v>935</v>
      </c>
      <c r="I171">
        <v>228</v>
      </c>
      <c r="J171">
        <v>114</v>
      </c>
      <c r="K171">
        <v>3</v>
      </c>
      <c r="L171">
        <v>37.299999999999997</v>
      </c>
      <c r="M171">
        <v>-6.5</v>
      </c>
      <c r="N171" s="10">
        <v>87000</v>
      </c>
      <c r="O171" s="10">
        <v>-9020</v>
      </c>
      <c r="P171" s="10">
        <v>1090</v>
      </c>
      <c r="Q171">
        <v>4.5</v>
      </c>
      <c r="R171">
        <v>6219</v>
      </c>
      <c r="S171" t="s">
        <v>11</v>
      </c>
      <c r="T171" t="s">
        <v>49</v>
      </c>
      <c r="U171" t="s">
        <v>1878</v>
      </c>
      <c r="W171" s="10"/>
    </row>
    <row r="172" spans="1:23" x14ac:dyDescent="0.25">
      <c r="A172">
        <v>131990055</v>
      </c>
      <c r="B172">
        <v>5.8</v>
      </c>
      <c r="C172">
        <v>1</v>
      </c>
      <c r="D172" t="s">
        <v>54</v>
      </c>
      <c r="E172" t="s">
        <v>47</v>
      </c>
      <c r="F172">
        <v>131990055</v>
      </c>
      <c r="G172" t="s">
        <v>228</v>
      </c>
      <c r="H172">
        <v>814</v>
      </c>
      <c r="I172">
        <v>140</v>
      </c>
      <c r="J172">
        <v>140</v>
      </c>
      <c r="K172">
        <v>2</v>
      </c>
      <c r="L172">
        <v>47.4</v>
      </c>
      <c r="M172">
        <v>-6.7</v>
      </c>
      <c r="N172" s="10">
        <v>94200</v>
      </c>
      <c r="O172" s="10">
        <v>-8510</v>
      </c>
      <c r="P172" s="10">
        <v>668</v>
      </c>
      <c r="Q172">
        <v>4.5</v>
      </c>
      <c r="R172">
        <v>6219</v>
      </c>
      <c r="S172" t="s">
        <v>11</v>
      </c>
      <c r="T172" t="s">
        <v>49</v>
      </c>
      <c r="U172" t="s">
        <v>1878</v>
      </c>
      <c r="W172" s="10"/>
    </row>
    <row r="173" spans="1:23" x14ac:dyDescent="0.25">
      <c r="A173">
        <v>131990083</v>
      </c>
      <c r="B173">
        <v>5.75</v>
      </c>
      <c r="C173">
        <v>1</v>
      </c>
      <c r="D173" t="s">
        <v>54</v>
      </c>
      <c r="E173" t="s">
        <v>51</v>
      </c>
      <c r="F173">
        <v>131990083</v>
      </c>
      <c r="G173" t="s">
        <v>229</v>
      </c>
      <c r="H173">
        <v>580</v>
      </c>
      <c r="I173">
        <v>101</v>
      </c>
      <c r="J173">
        <v>101</v>
      </c>
      <c r="K173">
        <v>1</v>
      </c>
      <c r="L173">
        <v>22.7</v>
      </c>
      <c r="M173">
        <v>-4.8</v>
      </c>
      <c r="N173" s="10">
        <v>48400</v>
      </c>
      <c r="O173" s="10">
        <v>-5460</v>
      </c>
      <c r="P173" s="10">
        <v>480</v>
      </c>
      <c r="Q173">
        <v>4.5</v>
      </c>
      <c r="R173">
        <v>6219</v>
      </c>
      <c r="S173" t="s">
        <v>11</v>
      </c>
      <c r="T173" t="s">
        <v>49</v>
      </c>
      <c r="U173" t="s">
        <v>1878</v>
      </c>
      <c r="W173" s="10"/>
    </row>
    <row r="174" spans="1:23" x14ac:dyDescent="0.25">
      <c r="A174">
        <v>131990105</v>
      </c>
      <c r="B174">
        <v>10.4</v>
      </c>
      <c r="C174">
        <v>2</v>
      </c>
      <c r="D174" t="s">
        <v>60</v>
      </c>
      <c r="E174" t="s">
        <v>47</v>
      </c>
      <c r="F174">
        <v>131990105</v>
      </c>
      <c r="G174" t="s">
        <v>230</v>
      </c>
      <c r="H174">
        <v>1404</v>
      </c>
      <c r="I174">
        <v>270</v>
      </c>
      <c r="J174">
        <v>135</v>
      </c>
      <c r="K174">
        <v>4</v>
      </c>
      <c r="L174">
        <v>44.7</v>
      </c>
      <c r="M174">
        <v>-10.3</v>
      </c>
      <c r="N174" s="10">
        <v>90700</v>
      </c>
      <c r="O174" s="10">
        <v>-8670</v>
      </c>
      <c r="P174" s="10">
        <v>1650</v>
      </c>
      <c r="Q174">
        <v>0</v>
      </c>
      <c r="R174">
        <v>0</v>
      </c>
      <c r="S174" t="s">
        <v>11</v>
      </c>
      <c r="T174" t="s">
        <v>49</v>
      </c>
      <c r="U174" t="s">
        <v>1878</v>
      </c>
      <c r="W174" s="10"/>
    </row>
    <row r="175" spans="1:23" x14ac:dyDescent="0.25">
      <c r="A175">
        <v>131990111</v>
      </c>
      <c r="B175">
        <v>8.7799999999999994</v>
      </c>
      <c r="C175">
        <v>2</v>
      </c>
      <c r="D175" t="s">
        <v>60</v>
      </c>
      <c r="E175" t="s">
        <v>47</v>
      </c>
      <c r="F175">
        <v>131990111</v>
      </c>
      <c r="G175" t="s">
        <v>231</v>
      </c>
      <c r="H175">
        <v>1921</v>
      </c>
      <c r="I175">
        <v>438</v>
      </c>
      <c r="J175">
        <v>219</v>
      </c>
      <c r="K175">
        <v>6</v>
      </c>
      <c r="L175">
        <v>67.7</v>
      </c>
      <c r="M175">
        <v>-15</v>
      </c>
      <c r="N175" s="10">
        <v>136000</v>
      </c>
      <c r="O175" s="10">
        <v>-12700</v>
      </c>
      <c r="P175" s="10">
        <v>2670</v>
      </c>
      <c r="Q175">
        <v>0</v>
      </c>
      <c r="R175">
        <v>0</v>
      </c>
      <c r="S175" t="s">
        <v>11</v>
      </c>
      <c r="T175" t="s">
        <v>49</v>
      </c>
      <c r="U175" t="s">
        <v>1878</v>
      </c>
      <c r="W175" s="10"/>
    </row>
    <row r="176" spans="1:23" x14ac:dyDescent="0.25">
      <c r="A176">
        <v>131990138</v>
      </c>
      <c r="B176">
        <v>7.23</v>
      </c>
      <c r="C176">
        <v>2</v>
      </c>
      <c r="D176" t="s">
        <v>54</v>
      </c>
      <c r="E176" t="s">
        <v>80</v>
      </c>
      <c r="F176">
        <v>131990138</v>
      </c>
      <c r="G176" t="s">
        <v>232</v>
      </c>
      <c r="H176">
        <v>691</v>
      </c>
      <c r="I176">
        <v>191</v>
      </c>
      <c r="J176">
        <v>96</v>
      </c>
      <c r="K176">
        <v>2</v>
      </c>
      <c r="L176">
        <v>19</v>
      </c>
      <c r="M176">
        <v>-4.5</v>
      </c>
      <c r="N176" s="10">
        <v>52500</v>
      </c>
      <c r="O176" s="10">
        <v>-6390</v>
      </c>
      <c r="P176" s="10">
        <v>910</v>
      </c>
      <c r="Q176">
        <v>3</v>
      </c>
      <c r="R176">
        <v>4146</v>
      </c>
      <c r="S176" t="s">
        <v>11</v>
      </c>
      <c r="T176" t="s">
        <v>49</v>
      </c>
      <c r="U176" t="s">
        <v>1878</v>
      </c>
      <c r="W176" s="10"/>
    </row>
    <row r="177" spans="1:23" x14ac:dyDescent="0.25">
      <c r="A177">
        <v>131990155</v>
      </c>
      <c r="B177">
        <v>4.2</v>
      </c>
      <c r="C177">
        <v>1</v>
      </c>
      <c r="D177" t="s">
        <v>46</v>
      </c>
      <c r="E177" t="s">
        <v>51</v>
      </c>
      <c r="F177">
        <v>131990155</v>
      </c>
      <c r="G177" t="s">
        <v>233</v>
      </c>
      <c r="H177">
        <v>712</v>
      </c>
      <c r="I177">
        <v>169</v>
      </c>
      <c r="J177">
        <v>169</v>
      </c>
      <c r="K177">
        <v>2</v>
      </c>
      <c r="L177">
        <v>28.1</v>
      </c>
      <c r="M177">
        <v>-5.7</v>
      </c>
      <c r="N177" s="10">
        <v>64400</v>
      </c>
      <c r="O177" s="10">
        <v>-6990</v>
      </c>
      <c r="P177" s="10">
        <v>806</v>
      </c>
      <c r="Q177">
        <v>4.5</v>
      </c>
      <c r="R177">
        <v>6219</v>
      </c>
      <c r="S177" t="s">
        <v>11</v>
      </c>
      <c r="T177" t="s">
        <v>49</v>
      </c>
      <c r="U177" t="s">
        <v>1878</v>
      </c>
      <c r="W177" s="10"/>
    </row>
    <row r="178" spans="1:23" x14ac:dyDescent="0.25">
      <c r="A178">
        <v>131990157</v>
      </c>
      <c r="B178">
        <v>10.45</v>
      </c>
      <c r="C178">
        <v>2</v>
      </c>
      <c r="D178" t="s">
        <v>60</v>
      </c>
      <c r="E178" t="s">
        <v>47</v>
      </c>
      <c r="F178">
        <v>131990157</v>
      </c>
      <c r="G178" t="s">
        <v>234</v>
      </c>
      <c r="H178">
        <v>1126</v>
      </c>
      <c r="I178">
        <v>216</v>
      </c>
      <c r="J178">
        <v>108</v>
      </c>
      <c r="K178">
        <v>3</v>
      </c>
      <c r="L178">
        <v>58.8</v>
      </c>
      <c r="M178">
        <v>-11.1</v>
      </c>
      <c r="N178" s="10">
        <v>108000</v>
      </c>
      <c r="O178" s="10">
        <v>-9550</v>
      </c>
      <c r="P178" s="10">
        <v>1310</v>
      </c>
      <c r="Q178">
        <v>0</v>
      </c>
      <c r="R178">
        <v>0</v>
      </c>
      <c r="S178" t="s">
        <v>11</v>
      </c>
      <c r="T178" t="s">
        <v>49</v>
      </c>
      <c r="U178" t="s">
        <v>1878</v>
      </c>
      <c r="W178" s="10"/>
    </row>
    <row r="179" spans="1:23" x14ac:dyDescent="0.25">
      <c r="A179">
        <v>131990166</v>
      </c>
      <c r="B179">
        <v>5.3</v>
      </c>
      <c r="C179">
        <v>1</v>
      </c>
      <c r="D179" t="s">
        <v>60</v>
      </c>
      <c r="E179" t="s">
        <v>51</v>
      </c>
      <c r="F179">
        <v>131990166</v>
      </c>
      <c r="G179" t="s">
        <v>235</v>
      </c>
      <c r="H179">
        <v>1031</v>
      </c>
      <c r="I179">
        <v>194</v>
      </c>
      <c r="J179">
        <v>194</v>
      </c>
      <c r="K179">
        <v>3</v>
      </c>
      <c r="L179">
        <v>47</v>
      </c>
      <c r="M179">
        <v>-10.7</v>
      </c>
      <c r="N179" s="10">
        <v>88700</v>
      </c>
      <c r="O179" s="10">
        <v>-8230</v>
      </c>
      <c r="P179" s="10">
        <v>1190</v>
      </c>
      <c r="Q179">
        <v>0</v>
      </c>
      <c r="R179">
        <v>0</v>
      </c>
      <c r="S179" t="s">
        <v>11</v>
      </c>
      <c r="T179" t="s">
        <v>49</v>
      </c>
      <c r="U179" t="s">
        <v>1878</v>
      </c>
      <c r="W179" s="10"/>
    </row>
    <row r="180" spans="1:23" x14ac:dyDescent="0.25">
      <c r="A180">
        <v>131990202</v>
      </c>
      <c r="B180">
        <v>5.35</v>
      </c>
      <c r="C180">
        <v>1</v>
      </c>
      <c r="D180" t="s">
        <v>60</v>
      </c>
      <c r="E180" t="s">
        <v>47</v>
      </c>
      <c r="F180">
        <v>131990202</v>
      </c>
      <c r="G180" t="s">
        <v>236</v>
      </c>
      <c r="H180">
        <v>613</v>
      </c>
      <c r="I180">
        <v>115</v>
      </c>
      <c r="J180">
        <v>115</v>
      </c>
      <c r="K180">
        <v>1</v>
      </c>
      <c r="L180">
        <v>35.799999999999997</v>
      </c>
      <c r="M180">
        <v>-5.8</v>
      </c>
      <c r="N180" s="10">
        <v>66100</v>
      </c>
      <c r="O180" s="10">
        <v>-5470</v>
      </c>
      <c r="P180" s="10">
        <v>698</v>
      </c>
      <c r="Q180">
        <v>0</v>
      </c>
      <c r="R180">
        <v>0</v>
      </c>
      <c r="S180" t="s">
        <v>11</v>
      </c>
      <c r="T180" t="s">
        <v>49</v>
      </c>
      <c r="U180" t="s">
        <v>1878</v>
      </c>
      <c r="W180" s="10"/>
    </row>
    <row r="181" spans="1:23" x14ac:dyDescent="0.25">
      <c r="A181">
        <v>131990245</v>
      </c>
      <c r="B181">
        <v>8.4700000000000006</v>
      </c>
      <c r="C181">
        <v>2</v>
      </c>
      <c r="D181" t="s">
        <v>60</v>
      </c>
      <c r="E181" t="s">
        <v>55</v>
      </c>
      <c r="F181">
        <v>131990245</v>
      </c>
      <c r="G181" t="s">
        <v>237</v>
      </c>
      <c r="H181">
        <v>1477</v>
      </c>
      <c r="I181">
        <v>349</v>
      </c>
      <c r="J181">
        <v>175</v>
      </c>
      <c r="K181">
        <v>5</v>
      </c>
      <c r="L181">
        <v>45</v>
      </c>
      <c r="M181">
        <v>-13.6</v>
      </c>
      <c r="N181" s="10">
        <v>90500</v>
      </c>
      <c r="O181" s="10">
        <v>-9550</v>
      </c>
      <c r="P181" s="10">
        <v>2130</v>
      </c>
      <c r="Q181">
        <v>0</v>
      </c>
      <c r="R181">
        <v>0</v>
      </c>
      <c r="S181" t="s">
        <v>11</v>
      </c>
      <c r="T181" t="s">
        <v>49</v>
      </c>
      <c r="U181" t="s">
        <v>1878</v>
      </c>
      <c r="W181" s="10"/>
    </row>
    <row r="182" spans="1:23" x14ac:dyDescent="0.25">
      <c r="A182">
        <v>131990249</v>
      </c>
      <c r="B182">
        <v>10.27</v>
      </c>
      <c r="C182">
        <v>2</v>
      </c>
      <c r="D182" t="s">
        <v>60</v>
      </c>
      <c r="E182" t="s">
        <v>51</v>
      </c>
      <c r="F182">
        <v>131990249</v>
      </c>
      <c r="G182" t="s">
        <v>238</v>
      </c>
      <c r="H182">
        <v>2826</v>
      </c>
      <c r="I182">
        <v>550</v>
      </c>
      <c r="J182">
        <v>275</v>
      </c>
      <c r="K182">
        <v>7</v>
      </c>
      <c r="L182">
        <v>71.8</v>
      </c>
      <c r="M182">
        <v>-20.7</v>
      </c>
      <c r="N182" s="10">
        <v>150000</v>
      </c>
      <c r="O182" s="10">
        <v>-15600</v>
      </c>
      <c r="P182" s="10">
        <v>3360</v>
      </c>
      <c r="Q182">
        <v>0</v>
      </c>
      <c r="R182">
        <v>0</v>
      </c>
      <c r="S182" t="s">
        <v>11</v>
      </c>
      <c r="T182" t="s">
        <v>49</v>
      </c>
      <c r="U182" t="s">
        <v>1878</v>
      </c>
      <c r="W182" s="10"/>
    </row>
    <row r="183" spans="1:23" x14ac:dyDescent="0.25">
      <c r="A183">
        <v>131990267</v>
      </c>
      <c r="B183">
        <v>10.4</v>
      </c>
      <c r="C183">
        <v>2</v>
      </c>
      <c r="D183" t="s">
        <v>54</v>
      </c>
      <c r="E183" t="s">
        <v>47</v>
      </c>
      <c r="F183">
        <v>131990267</v>
      </c>
      <c r="G183" t="s">
        <v>239</v>
      </c>
      <c r="H183">
        <v>3556</v>
      </c>
      <c r="I183">
        <v>684</v>
      </c>
      <c r="J183">
        <v>342</v>
      </c>
      <c r="K183">
        <v>9</v>
      </c>
      <c r="L183">
        <v>96.6</v>
      </c>
      <c r="M183">
        <v>-19.8</v>
      </c>
      <c r="N183" s="10">
        <v>236000</v>
      </c>
      <c r="O183" s="10">
        <v>-26200</v>
      </c>
      <c r="P183" s="10">
        <v>3250</v>
      </c>
      <c r="Q183">
        <v>8</v>
      </c>
      <c r="R183">
        <v>11056</v>
      </c>
      <c r="S183" t="s">
        <v>11</v>
      </c>
      <c r="T183" t="s">
        <v>49</v>
      </c>
      <c r="U183" t="s">
        <v>1878</v>
      </c>
      <c r="W183" s="10"/>
    </row>
    <row r="184" spans="1:23" x14ac:dyDescent="0.25">
      <c r="A184">
        <v>131990285</v>
      </c>
      <c r="B184">
        <v>4.7300000000000004</v>
      </c>
      <c r="C184">
        <v>1</v>
      </c>
      <c r="D184" t="s">
        <v>60</v>
      </c>
      <c r="E184" t="s">
        <v>80</v>
      </c>
      <c r="F184">
        <v>131990285</v>
      </c>
      <c r="G184" t="s">
        <v>240</v>
      </c>
      <c r="H184">
        <v>368</v>
      </c>
      <c r="I184">
        <v>78</v>
      </c>
      <c r="J184">
        <v>78</v>
      </c>
      <c r="K184">
        <v>1</v>
      </c>
      <c r="L184">
        <v>21.1</v>
      </c>
      <c r="M184">
        <v>-4</v>
      </c>
      <c r="N184" s="10">
        <v>39400</v>
      </c>
      <c r="O184" s="10">
        <v>-3670</v>
      </c>
      <c r="P184" s="10">
        <v>474</v>
      </c>
      <c r="Q184">
        <v>0</v>
      </c>
      <c r="R184">
        <v>0</v>
      </c>
      <c r="S184" t="s">
        <v>11</v>
      </c>
      <c r="T184" t="s">
        <v>49</v>
      </c>
      <c r="U184" t="s">
        <v>1878</v>
      </c>
      <c r="W184" s="10"/>
    </row>
    <row r="185" spans="1:23" x14ac:dyDescent="0.25">
      <c r="A185">
        <v>131990289</v>
      </c>
      <c r="B185">
        <v>16.45</v>
      </c>
      <c r="C185">
        <v>4</v>
      </c>
      <c r="D185" t="s">
        <v>60</v>
      </c>
      <c r="E185" t="s">
        <v>51</v>
      </c>
      <c r="F185">
        <v>131990289</v>
      </c>
      <c r="G185" t="s">
        <v>241</v>
      </c>
      <c r="H185">
        <v>6576</v>
      </c>
      <c r="I185">
        <v>1599</v>
      </c>
      <c r="J185">
        <v>400</v>
      </c>
      <c r="K185">
        <v>21</v>
      </c>
      <c r="L185">
        <v>156.30000000000001</v>
      </c>
      <c r="M185">
        <v>-54.5</v>
      </c>
      <c r="N185" s="10">
        <v>329000</v>
      </c>
      <c r="O185" s="10">
        <v>-37900</v>
      </c>
      <c r="P185" s="10">
        <v>9750</v>
      </c>
      <c r="Q185">
        <v>0</v>
      </c>
      <c r="R185">
        <v>0</v>
      </c>
      <c r="S185" t="s">
        <v>11</v>
      </c>
      <c r="T185" t="s">
        <v>49</v>
      </c>
      <c r="U185" t="s">
        <v>1878</v>
      </c>
      <c r="W185" s="10"/>
    </row>
    <row r="186" spans="1:23" x14ac:dyDescent="0.25">
      <c r="A186">
        <v>131990299</v>
      </c>
      <c r="B186">
        <v>9.65</v>
      </c>
      <c r="C186">
        <v>2</v>
      </c>
      <c r="D186" t="s">
        <v>60</v>
      </c>
      <c r="E186" t="s">
        <v>47</v>
      </c>
      <c r="F186">
        <v>131990299</v>
      </c>
      <c r="G186" t="s">
        <v>242</v>
      </c>
      <c r="H186">
        <v>1588</v>
      </c>
      <c r="I186">
        <v>329</v>
      </c>
      <c r="J186">
        <v>165</v>
      </c>
      <c r="K186">
        <v>4</v>
      </c>
      <c r="L186">
        <v>63.8</v>
      </c>
      <c r="M186">
        <v>-13.3</v>
      </c>
      <c r="N186" s="10">
        <v>123000</v>
      </c>
      <c r="O186" s="10">
        <v>-11000</v>
      </c>
      <c r="P186" s="10">
        <v>2010</v>
      </c>
      <c r="Q186">
        <v>0</v>
      </c>
      <c r="R186">
        <v>0</v>
      </c>
      <c r="S186" t="s">
        <v>11</v>
      </c>
      <c r="T186" t="s">
        <v>49</v>
      </c>
      <c r="U186" t="s">
        <v>1878</v>
      </c>
      <c r="W186" s="10"/>
    </row>
    <row r="187" spans="1:23" x14ac:dyDescent="0.25">
      <c r="A187">
        <v>131990303</v>
      </c>
      <c r="B187">
        <v>11.4</v>
      </c>
      <c r="C187">
        <v>3</v>
      </c>
      <c r="D187" t="s">
        <v>60</v>
      </c>
      <c r="E187" t="s">
        <v>51</v>
      </c>
      <c r="F187">
        <v>131990303</v>
      </c>
      <c r="G187" t="s">
        <v>243</v>
      </c>
      <c r="H187">
        <v>1966</v>
      </c>
      <c r="I187">
        <v>517</v>
      </c>
      <c r="J187">
        <v>172</v>
      </c>
      <c r="K187">
        <v>7</v>
      </c>
      <c r="L187">
        <v>53.8</v>
      </c>
      <c r="M187">
        <v>-17</v>
      </c>
      <c r="N187" s="10">
        <v>110000</v>
      </c>
      <c r="O187" s="10">
        <v>-12100</v>
      </c>
      <c r="P187" s="10">
        <v>3150</v>
      </c>
      <c r="Q187">
        <v>0</v>
      </c>
      <c r="R187">
        <v>0</v>
      </c>
      <c r="S187" t="s">
        <v>11</v>
      </c>
      <c r="T187" t="s">
        <v>49</v>
      </c>
      <c r="U187" t="s">
        <v>1878</v>
      </c>
      <c r="W187" s="10"/>
    </row>
    <row r="188" spans="1:23" x14ac:dyDescent="0.25">
      <c r="A188">
        <v>131990305</v>
      </c>
      <c r="B188">
        <v>9.1</v>
      </c>
      <c r="C188">
        <v>2</v>
      </c>
      <c r="D188" t="s">
        <v>46</v>
      </c>
      <c r="E188" t="s">
        <v>51</v>
      </c>
      <c r="F188">
        <v>131990305</v>
      </c>
      <c r="G188" t="s">
        <v>244</v>
      </c>
      <c r="H188">
        <v>1045</v>
      </c>
      <c r="I188">
        <v>230</v>
      </c>
      <c r="J188">
        <v>115</v>
      </c>
      <c r="K188">
        <v>3</v>
      </c>
      <c r="L188">
        <v>22.1</v>
      </c>
      <c r="M188">
        <v>-6.3</v>
      </c>
      <c r="N188" s="10">
        <v>61100</v>
      </c>
      <c r="O188" s="10">
        <v>-7750</v>
      </c>
      <c r="P188" s="10">
        <v>1090</v>
      </c>
      <c r="Q188">
        <v>4.5</v>
      </c>
      <c r="R188">
        <v>6219</v>
      </c>
      <c r="S188" t="s">
        <v>11</v>
      </c>
      <c r="T188" t="s">
        <v>49</v>
      </c>
      <c r="U188" t="s">
        <v>1878</v>
      </c>
      <c r="W188" s="10"/>
    </row>
    <row r="189" spans="1:23" x14ac:dyDescent="0.25">
      <c r="A189">
        <v>131990313</v>
      </c>
      <c r="B189">
        <v>7.04</v>
      </c>
      <c r="C189">
        <v>2</v>
      </c>
      <c r="D189" t="s">
        <v>102</v>
      </c>
      <c r="E189" t="s">
        <v>47</v>
      </c>
      <c r="F189">
        <v>131990313</v>
      </c>
      <c r="G189" t="s">
        <v>245</v>
      </c>
      <c r="H189">
        <v>881</v>
      </c>
      <c r="I189">
        <v>250</v>
      </c>
      <c r="J189">
        <v>125</v>
      </c>
      <c r="K189">
        <v>3</v>
      </c>
      <c r="L189">
        <v>24.6</v>
      </c>
      <c r="M189">
        <v>-5.4</v>
      </c>
      <c r="N189" s="10">
        <v>68800</v>
      </c>
      <c r="O189" s="10">
        <v>-8420</v>
      </c>
      <c r="P189" s="10">
        <v>1190</v>
      </c>
      <c r="Q189">
        <v>0</v>
      </c>
      <c r="R189">
        <v>0</v>
      </c>
      <c r="S189" t="s">
        <v>11</v>
      </c>
      <c r="T189" t="s">
        <v>49</v>
      </c>
      <c r="U189" t="s">
        <v>1878</v>
      </c>
      <c r="W189" s="10"/>
    </row>
    <row r="190" spans="1:23" x14ac:dyDescent="0.25">
      <c r="A190">
        <v>131990331</v>
      </c>
      <c r="B190">
        <v>5.4</v>
      </c>
      <c r="C190">
        <v>1</v>
      </c>
      <c r="D190" t="s">
        <v>60</v>
      </c>
      <c r="E190" t="s">
        <v>47</v>
      </c>
      <c r="F190">
        <v>131990331</v>
      </c>
      <c r="G190" t="s">
        <v>246</v>
      </c>
      <c r="H190">
        <v>1108</v>
      </c>
      <c r="I190">
        <v>205</v>
      </c>
      <c r="J190">
        <v>205</v>
      </c>
      <c r="K190">
        <v>3</v>
      </c>
      <c r="L190">
        <v>59.2</v>
      </c>
      <c r="M190">
        <v>-10.1</v>
      </c>
      <c r="N190" s="10">
        <v>110000</v>
      </c>
      <c r="O190" s="10">
        <v>-9630</v>
      </c>
      <c r="P190" s="10">
        <v>1250</v>
      </c>
      <c r="Q190">
        <v>0</v>
      </c>
      <c r="R190">
        <v>0</v>
      </c>
      <c r="S190" t="s">
        <v>11</v>
      </c>
      <c r="T190" t="s">
        <v>49</v>
      </c>
      <c r="U190" t="s">
        <v>1878</v>
      </c>
      <c r="W190" s="10"/>
    </row>
    <row r="191" spans="1:23" x14ac:dyDescent="0.25">
      <c r="A191">
        <v>131990350</v>
      </c>
      <c r="B191">
        <v>5.03</v>
      </c>
      <c r="C191">
        <v>1</v>
      </c>
      <c r="D191" t="s">
        <v>60</v>
      </c>
      <c r="E191" t="s">
        <v>47</v>
      </c>
      <c r="F191">
        <v>131990350</v>
      </c>
      <c r="G191" t="s">
        <v>247</v>
      </c>
      <c r="H191">
        <v>2571</v>
      </c>
      <c r="I191">
        <v>511</v>
      </c>
      <c r="J191">
        <v>511</v>
      </c>
      <c r="K191">
        <v>7</v>
      </c>
      <c r="L191">
        <v>109.5</v>
      </c>
      <c r="M191">
        <v>-20.7</v>
      </c>
      <c r="N191" s="10">
        <v>212000</v>
      </c>
      <c r="O191" s="10">
        <v>-19000</v>
      </c>
      <c r="P191" s="10">
        <v>3110</v>
      </c>
      <c r="Q191">
        <v>0</v>
      </c>
      <c r="R191">
        <v>0</v>
      </c>
      <c r="S191" t="s">
        <v>11</v>
      </c>
      <c r="T191" t="s">
        <v>49</v>
      </c>
      <c r="U191" t="s">
        <v>1878</v>
      </c>
      <c r="W191" s="10"/>
    </row>
    <row r="192" spans="1:23" x14ac:dyDescent="0.25">
      <c r="A192">
        <v>131990365</v>
      </c>
      <c r="B192">
        <v>4.3499999999999996</v>
      </c>
      <c r="C192">
        <v>1</v>
      </c>
      <c r="D192" t="s">
        <v>60</v>
      </c>
      <c r="E192" t="s">
        <v>47</v>
      </c>
      <c r="F192">
        <v>131990365</v>
      </c>
      <c r="G192" t="s">
        <v>248</v>
      </c>
      <c r="H192">
        <v>362</v>
      </c>
      <c r="I192">
        <v>83</v>
      </c>
      <c r="J192">
        <v>83</v>
      </c>
      <c r="K192">
        <v>1</v>
      </c>
      <c r="L192">
        <v>30.3</v>
      </c>
      <c r="M192">
        <v>-4.5</v>
      </c>
      <c r="N192" s="10">
        <v>55000</v>
      </c>
      <c r="O192" s="10">
        <v>-4290</v>
      </c>
      <c r="P192" s="10">
        <v>508</v>
      </c>
      <c r="Q192">
        <v>0</v>
      </c>
      <c r="R192">
        <v>0</v>
      </c>
      <c r="S192" t="s">
        <v>11</v>
      </c>
      <c r="T192" t="s">
        <v>49</v>
      </c>
      <c r="U192" t="s">
        <v>1878</v>
      </c>
      <c r="W192" s="10"/>
    </row>
    <row r="193" spans="1:23" x14ac:dyDescent="0.25">
      <c r="A193">
        <v>131990380</v>
      </c>
      <c r="B193">
        <v>14.4</v>
      </c>
      <c r="C193">
        <v>4</v>
      </c>
      <c r="D193" t="s">
        <v>60</v>
      </c>
      <c r="E193" t="s">
        <v>51</v>
      </c>
      <c r="F193">
        <v>131990380</v>
      </c>
      <c r="G193" t="s">
        <v>249</v>
      </c>
      <c r="H193">
        <v>3022</v>
      </c>
      <c r="I193">
        <v>839</v>
      </c>
      <c r="J193">
        <v>210</v>
      </c>
      <c r="K193">
        <v>11</v>
      </c>
      <c r="L193">
        <v>75.3</v>
      </c>
      <c r="M193">
        <v>-26</v>
      </c>
      <c r="N193" s="10">
        <v>160000</v>
      </c>
      <c r="O193" s="10">
        <v>-16800</v>
      </c>
      <c r="P193" s="10">
        <v>5120</v>
      </c>
      <c r="Q193">
        <v>0</v>
      </c>
      <c r="R193">
        <v>0</v>
      </c>
      <c r="S193" t="s">
        <v>11</v>
      </c>
      <c r="T193" t="s">
        <v>49</v>
      </c>
      <c r="U193" t="s">
        <v>1878</v>
      </c>
      <c r="W193" s="10"/>
    </row>
    <row r="194" spans="1:23" x14ac:dyDescent="0.25">
      <c r="A194">
        <v>131990480</v>
      </c>
      <c r="B194">
        <v>3.5</v>
      </c>
      <c r="C194">
        <v>1</v>
      </c>
      <c r="D194" t="s">
        <v>46</v>
      </c>
      <c r="E194" t="s">
        <v>51</v>
      </c>
      <c r="F194">
        <v>131990480</v>
      </c>
      <c r="G194" t="s">
        <v>250</v>
      </c>
      <c r="H194">
        <v>2071</v>
      </c>
      <c r="I194">
        <v>592</v>
      </c>
      <c r="J194">
        <v>592</v>
      </c>
      <c r="K194">
        <v>8</v>
      </c>
      <c r="L194">
        <v>75.599999999999994</v>
      </c>
      <c r="M194">
        <v>-14.8</v>
      </c>
      <c r="N194" s="10">
        <v>189000</v>
      </c>
      <c r="O194" s="10">
        <v>-20200</v>
      </c>
      <c r="P194" s="10">
        <v>2820</v>
      </c>
      <c r="Q194">
        <v>8</v>
      </c>
      <c r="R194">
        <v>11056</v>
      </c>
      <c r="S194" t="s">
        <v>11</v>
      </c>
      <c r="T194" t="s">
        <v>49</v>
      </c>
      <c r="U194" t="s">
        <v>1878</v>
      </c>
      <c r="W194" s="10"/>
    </row>
    <row r="195" spans="1:23" x14ac:dyDescent="0.25">
      <c r="A195">
        <v>131990483</v>
      </c>
      <c r="B195">
        <v>10.95</v>
      </c>
      <c r="C195">
        <v>3</v>
      </c>
      <c r="D195" t="s">
        <v>60</v>
      </c>
      <c r="E195" t="s">
        <v>80</v>
      </c>
      <c r="F195">
        <v>131990483</v>
      </c>
      <c r="G195" t="s">
        <v>251</v>
      </c>
      <c r="H195">
        <v>4005</v>
      </c>
      <c r="I195">
        <v>1097</v>
      </c>
      <c r="J195">
        <v>366</v>
      </c>
      <c r="K195">
        <v>14</v>
      </c>
      <c r="L195">
        <v>127.3</v>
      </c>
      <c r="M195">
        <v>-34.9</v>
      </c>
      <c r="N195" s="10">
        <v>261000</v>
      </c>
      <c r="O195" s="10">
        <v>-27300</v>
      </c>
      <c r="P195" s="10">
        <v>6690</v>
      </c>
      <c r="Q195">
        <v>0</v>
      </c>
      <c r="R195">
        <v>0</v>
      </c>
      <c r="S195" t="s">
        <v>11</v>
      </c>
      <c r="T195" t="s">
        <v>49</v>
      </c>
      <c r="U195" t="s">
        <v>1878</v>
      </c>
      <c r="W195" s="10"/>
    </row>
    <row r="196" spans="1:23" x14ac:dyDescent="0.25">
      <c r="A196">
        <v>131990503</v>
      </c>
      <c r="B196">
        <v>10.73</v>
      </c>
      <c r="C196">
        <v>3</v>
      </c>
      <c r="D196" t="s">
        <v>60</v>
      </c>
      <c r="E196" t="s">
        <v>51</v>
      </c>
      <c r="F196">
        <v>131990503</v>
      </c>
      <c r="G196" t="s">
        <v>252</v>
      </c>
      <c r="H196">
        <v>899</v>
      </c>
      <c r="I196">
        <v>251</v>
      </c>
      <c r="J196">
        <v>84</v>
      </c>
      <c r="K196">
        <v>3</v>
      </c>
      <c r="L196">
        <v>20.6</v>
      </c>
      <c r="M196">
        <v>-7</v>
      </c>
      <c r="N196" s="10">
        <v>44800</v>
      </c>
      <c r="O196" s="10">
        <v>-4650</v>
      </c>
      <c r="P196" s="10">
        <v>1530</v>
      </c>
      <c r="Q196">
        <v>0</v>
      </c>
      <c r="R196">
        <v>0</v>
      </c>
      <c r="S196" t="s">
        <v>11</v>
      </c>
      <c r="T196" t="s">
        <v>49</v>
      </c>
      <c r="U196" t="s">
        <v>1878</v>
      </c>
      <c r="W196" s="10"/>
    </row>
    <row r="197" spans="1:23" x14ac:dyDescent="0.25">
      <c r="A197">
        <v>131990508</v>
      </c>
      <c r="B197">
        <v>7.75</v>
      </c>
      <c r="C197">
        <v>2</v>
      </c>
      <c r="D197" t="s">
        <v>54</v>
      </c>
      <c r="E197" t="s">
        <v>47</v>
      </c>
      <c r="F197">
        <v>131990508</v>
      </c>
      <c r="G197" t="s">
        <v>253</v>
      </c>
      <c r="H197">
        <v>781</v>
      </c>
      <c r="I197">
        <v>202</v>
      </c>
      <c r="J197">
        <v>101</v>
      </c>
      <c r="K197">
        <v>3</v>
      </c>
      <c r="L197">
        <v>39.200000000000003</v>
      </c>
      <c r="M197">
        <v>-7</v>
      </c>
      <c r="N197" s="10">
        <v>83900</v>
      </c>
      <c r="O197" s="10">
        <v>-9450</v>
      </c>
      <c r="P197" s="10">
        <v>959</v>
      </c>
      <c r="Q197">
        <v>4.5</v>
      </c>
      <c r="R197">
        <v>6219</v>
      </c>
      <c r="S197" t="s">
        <v>11</v>
      </c>
      <c r="T197" t="s">
        <v>49</v>
      </c>
      <c r="U197" t="s">
        <v>1878</v>
      </c>
      <c r="W197" s="10"/>
    </row>
    <row r="198" spans="1:23" x14ac:dyDescent="0.25">
      <c r="A198">
        <v>131990555</v>
      </c>
      <c r="B198">
        <v>7.4</v>
      </c>
      <c r="C198">
        <v>2</v>
      </c>
      <c r="D198" t="s">
        <v>60</v>
      </c>
      <c r="E198" t="s">
        <v>51</v>
      </c>
      <c r="F198">
        <v>131990555</v>
      </c>
      <c r="G198" t="s">
        <v>254</v>
      </c>
      <c r="H198">
        <v>715</v>
      </c>
      <c r="I198">
        <v>193</v>
      </c>
      <c r="J198">
        <v>97</v>
      </c>
      <c r="K198">
        <v>3</v>
      </c>
      <c r="L198">
        <v>31.5</v>
      </c>
      <c r="M198">
        <v>-8.4</v>
      </c>
      <c r="N198" s="10">
        <v>59000</v>
      </c>
      <c r="O198" s="10">
        <v>-6860</v>
      </c>
      <c r="P198" s="10">
        <v>1180</v>
      </c>
      <c r="Q198">
        <v>0</v>
      </c>
      <c r="R198">
        <v>0</v>
      </c>
      <c r="S198" t="s">
        <v>11</v>
      </c>
      <c r="T198" t="s">
        <v>49</v>
      </c>
      <c r="U198" t="s">
        <v>1878</v>
      </c>
      <c r="W198" s="10"/>
    </row>
    <row r="199" spans="1:23" x14ac:dyDescent="0.25">
      <c r="A199">
        <v>131990599</v>
      </c>
      <c r="B199">
        <v>3.72</v>
      </c>
      <c r="C199">
        <v>1</v>
      </c>
      <c r="D199" t="s">
        <v>60</v>
      </c>
      <c r="E199" t="s">
        <v>47</v>
      </c>
      <c r="F199">
        <v>131990599</v>
      </c>
      <c r="G199" t="s">
        <v>255</v>
      </c>
      <c r="H199">
        <v>496</v>
      </c>
      <c r="I199">
        <v>133</v>
      </c>
      <c r="J199">
        <v>133</v>
      </c>
      <c r="K199">
        <v>2</v>
      </c>
      <c r="L199">
        <v>34</v>
      </c>
      <c r="M199">
        <v>-5.4</v>
      </c>
      <c r="N199" s="10">
        <v>62700</v>
      </c>
      <c r="O199" s="10">
        <v>-5100</v>
      </c>
      <c r="P199" s="10">
        <v>813</v>
      </c>
      <c r="Q199">
        <v>0</v>
      </c>
      <c r="R199">
        <v>0</v>
      </c>
      <c r="S199" t="s">
        <v>11</v>
      </c>
      <c r="T199" t="s">
        <v>49</v>
      </c>
      <c r="U199" t="s">
        <v>1878</v>
      </c>
      <c r="W199" s="10"/>
    </row>
    <row r="200" spans="1:23" x14ac:dyDescent="0.25">
      <c r="A200">
        <v>131990600</v>
      </c>
      <c r="B200">
        <v>16.75</v>
      </c>
      <c r="C200">
        <v>4</v>
      </c>
      <c r="D200" t="s">
        <v>60</v>
      </c>
      <c r="E200" t="s">
        <v>55</v>
      </c>
      <c r="F200">
        <v>131990600</v>
      </c>
      <c r="G200" t="s">
        <v>256</v>
      </c>
      <c r="H200">
        <v>4989</v>
      </c>
      <c r="I200">
        <v>1191</v>
      </c>
      <c r="J200">
        <v>298</v>
      </c>
      <c r="K200">
        <v>15</v>
      </c>
      <c r="L200">
        <v>117.4</v>
      </c>
      <c r="M200">
        <v>-42.2</v>
      </c>
      <c r="N200" s="10">
        <v>245000</v>
      </c>
      <c r="O200" s="10">
        <v>-29200</v>
      </c>
      <c r="P200" s="10">
        <v>7260</v>
      </c>
      <c r="Q200">
        <v>0</v>
      </c>
      <c r="R200">
        <v>0</v>
      </c>
      <c r="S200" t="s">
        <v>11</v>
      </c>
      <c r="T200" t="s">
        <v>49</v>
      </c>
      <c r="U200" t="s">
        <v>1878</v>
      </c>
      <c r="W200" s="10"/>
    </row>
    <row r="201" spans="1:23" x14ac:dyDescent="0.25">
      <c r="A201">
        <v>131990612</v>
      </c>
      <c r="B201">
        <v>8.5</v>
      </c>
      <c r="C201">
        <v>2</v>
      </c>
      <c r="D201" t="s">
        <v>60</v>
      </c>
      <c r="E201" t="s">
        <v>47</v>
      </c>
      <c r="F201">
        <v>131990612</v>
      </c>
      <c r="G201" t="s">
        <v>257</v>
      </c>
      <c r="H201">
        <v>864</v>
      </c>
      <c r="I201">
        <v>203</v>
      </c>
      <c r="J201">
        <v>102</v>
      </c>
      <c r="K201">
        <v>3</v>
      </c>
      <c r="L201">
        <v>44.9</v>
      </c>
      <c r="M201">
        <v>-8.8000000000000007</v>
      </c>
      <c r="N201" s="10">
        <v>83100</v>
      </c>
      <c r="O201" s="10">
        <v>-7870</v>
      </c>
      <c r="P201" s="10">
        <v>1240</v>
      </c>
      <c r="Q201">
        <v>0</v>
      </c>
      <c r="R201">
        <v>0</v>
      </c>
      <c r="S201" t="s">
        <v>11</v>
      </c>
      <c r="T201" t="s">
        <v>49</v>
      </c>
      <c r="U201" t="s">
        <v>1878</v>
      </c>
      <c r="W201" s="10"/>
    </row>
    <row r="202" spans="1:23" x14ac:dyDescent="0.25">
      <c r="A202">
        <v>131990626</v>
      </c>
      <c r="B202">
        <v>10.47</v>
      </c>
      <c r="C202">
        <v>2</v>
      </c>
      <c r="D202" t="s">
        <v>60</v>
      </c>
      <c r="E202" t="s">
        <v>47</v>
      </c>
      <c r="F202">
        <v>131990626</v>
      </c>
      <c r="G202" t="s">
        <v>258</v>
      </c>
      <c r="H202">
        <v>764</v>
      </c>
      <c r="I202">
        <v>146</v>
      </c>
      <c r="J202">
        <v>73</v>
      </c>
      <c r="K202">
        <v>2</v>
      </c>
      <c r="L202">
        <v>24.9</v>
      </c>
      <c r="M202">
        <v>-5.6</v>
      </c>
      <c r="N202" s="10">
        <v>50100</v>
      </c>
      <c r="O202" s="10">
        <v>-4730</v>
      </c>
      <c r="P202" s="10">
        <v>890</v>
      </c>
      <c r="Q202">
        <v>0</v>
      </c>
      <c r="R202">
        <v>0</v>
      </c>
      <c r="S202" t="s">
        <v>11</v>
      </c>
      <c r="T202" t="s">
        <v>49</v>
      </c>
      <c r="U202" t="s">
        <v>1878</v>
      </c>
      <c r="W202" s="10"/>
    </row>
    <row r="203" spans="1:23" x14ac:dyDescent="0.25">
      <c r="A203">
        <v>131990685</v>
      </c>
      <c r="B203">
        <v>8.9499999999999993</v>
      </c>
      <c r="C203">
        <v>2</v>
      </c>
      <c r="D203" t="s">
        <v>60</v>
      </c>
      <c r="E203" t="s">
        <v>47</v>
      </c>
      <c r="F203">
        <v>131990685</v>
      </c>
      <c r="G203" t="s">
        <v>259</v>
      </c>
      <c r="H203">
        <v>3231</v>
      </c>
      <c r="I203">
        <v>722</v>
      </c>
      <c r="J203">
        <v>361</v>
      </c>
      <c r="K203">
        <v>9</v>
      </c>
      <c r="L203">
        <v>96.2</v>
      </c>
      <c r="M203">
        <v>-23</v>
      </c>
      <c r="N203" s="10">
        <v>202000</v>
      </c>
      <c r="O203" s="10">
        <v>-19400</v>
      </c>
      <c r="P203" s="10">
        <v>4400</v>
      </c>
      <c r="Q203">
        <v>0</v>
      </c>
      <c r="R203">
        <v>0</v>
      </c>
      <c r="S203" t="s">
        <v>11</v>
      </c>
      <c r="T203" t="s">
        <v>49</v>
      </c>
      <c r="U203" t="s">
        <v>1878</v>
      </c>
      <c r="W203" s="10"/>
    </row>
    <row r="204" spans="1:23" x14ac:dyDescent="0.25">
      <c r="A204">
        <v>131990688</v>
      </c>
      <c r="B204">
        <v>4.5</v>
      </c>
      <c r="C204">
        <v>1</v>
      </c>
      <c r="D204" t="s">
        <v>54</v>
      </c>
      <c r="E204" t="s">
        <v>47</v>
      </c>
      <c r="F204">
        <v>131990688</v>
      </c>
      <c r="G204" t="s">
        <v>260</v>
      </c>
      <c r="H204">
        <v>372</v>
      </c>
      <c r="I204">
        <v>83</v>
      </c>
      <c r="J204">
        <v>83</v>
      </c>
      <c r="K204">
        <v>1</v>
      </c>
      <c r="L204">
        <v>27.8</v>
      </c>
      <c r="M204">
        <v>-3.8</v>
      </c>
      <c r="N204" s="10">
        <v>55100</v>
      </c>
      <c r="O204" s="10">
        <v>-5000</v>
      </c>
      <c r="P204" s="10">
        <v>393</v>
      </c>
      <c r="Q204">
        <v>3</v>
      </c>
      <c r="R204">
        <v>4146</v>
      </c>
      <c r="S204" t="s">
        <v>11</v>
      </c>
      <c r="T204" t="s">
        <v>49</v>
      </c>
      <c r="U204" t="s">
        <v>1878</v>
      </c>
      <c r="W204" s="10"/>
    </row>
    <row r="205" spans="1:23" x14ac:dyDescent="0.25">
      <c r="A205">
        <v>131990717</v>
      </c>
      <c r="B205">
        <v>9.7799999999999994</v>
      </c>
      <c r="C205">
        <v>2</v>
      </c>
      <c r="D205" t="s">
        <v>60</v>
      </c>
      <c r="E205" t="s">
        <v>47</v>
      </c>
      <c r="F205">
        <v>131990717</v>
      </c>
      <c r="G205" t="s">
        <v>261</v>
      </c>
      <c r="H205">
        <v>3803</v>
      </c>
      <c r="I205">
        <v>778</v>
      </c>
      <c r="J205">
        <v>389</v>
      </c>
      <c r="K205">
        <v>10</v>
      </c>
      <c r="L205">
        <v>139.69999999999999</v>
      </c>
      <c r="M205">
        <v>-30.4</v>
      </c>
      <c r="N205" s="10">
        <v>274000</v>
      </c>
      <c r="O205" s="10">
        <v>-26100</v>
      </c>
      <c r="P205" s="10">
        <v>4740</v>
      </c>
      <c r="Q205">
        <v>0</v>
      </c>
      <c r="R205">
        <v>0</v>
      </c>
      <c r="S205" t="s">
        <v>11</v>
      </c>
      <c r="T205" t="s">
        <v>49</v>
      </c>
      <c r="U205" t="s">
        <v>1878</v>
      </c>
      <c r="W205" s="10"/>
    </row>
    <row r="206" spans="1:23" x14ac:dyDescent="0.25">
      <c r="A206">
        <v>131990719</v>
      </c>
      <c r="B206">
        <v>9.3000000000000007</v>
      </c>
      <c r="C206">
        <v>2</v>
      </c>
      <c r="D206" t="s">
        <v>60</v>
      </c>
      <c r="E206" t="s">
        <v>55</v>
      </c>
      <c r="F206">
        <v>131990719</v>
      </c>
      <c r="G206" t="s">
        <v>262</v>
      </c>
      <c r="H206">
        <v>1187</v>
      </c>
      <c r="I206">
        <v>255</v>
      </c>
      <c r="J206">
        <v>128</v>
      </c>
      <c r="K206">
        <v>3</v>
      </c>
      <c r="L206">
        <v>41.7</v>
      </c>
      <c r="M206">
        <v>-12</v>
      </c>
      <c r="N206" s="10">
        <v>79500</v>
      </c>
      <c r="O206" s="10">
        <v>-8970</v>
      </c>
      <c r="P206" s="10">
        <v>1560</v>
      </c>
      <c r="Q206">
        <v>0</v>
      </c>
      <c r="R206">
        <v>0</v>
      </c>
      <c r="S206" t="s">
        <v>11</v>
      </c>
      <c r="T206" t="s">
        <v>49</v>
      </c>
      <c r="U206" t="s">
        <v>1878</v>
      </c>
      <c r="W206" s="10"/>
    </row>
    <row r="207" spans="1:23" x14ac:dyDescent="0.25">
      <c r="A207">
        <v>131990741</v>
      </c>
      <c r="B207">
        <v>4.9000000000000004</v>
      </c>
      <c r="C207">
        <v>1</v>
      </c>
      <c r="D207" t="s">
        <v>60</v>
      </c>
      <c r="E207" t="s">
        <v>51</v>
      </c>
      <c r="F207">
        <v>131990741</v>
      </c>
      <c r="G207" t="s">
        <v>263</v>
      </c>
      <c r="H207">
        <v>495</v>
      </c>
      <c r="I207">
        <v>101</v>
      </c>
      <c r="J207">
        <v>101</v>
      </c>
      <c r="K207">
        <v>1</v>
      </c>
      <c r="L207">
        <v>24.2</v>
      </c>
      <c r="M207">
        <v>-5.4</v>
      </c>
      <c r="N207" s="10">
        <v>45200</v>
      </c>
      <c r="O207" s="10">
        <v>-4250</v>
      </c>
      <c r="P207" s="10">
        <v>616</v>
      </c>
      <c r="Q207">
        <v>0</v>
      </c>
      <c r="R207">
        <v>0</v>
      </c>
      <c r="S207" t="s">
        <v>11</v>
      </c>
      <c r="T207" t="s">
        <v>49</v>
      </c>
      <c r="U207" t="s">
        <v>1878</v>
      </c>
      <c r="W207" s="10"/>
    </row>
    <row r="208" spans="1:23" x14ac:dyDescent="0.25">
      <c r="A208">
        <v>131990766</v>
      </c>
      <c r="B208">
        <v>8.9</v>
      </c>
      <c r="C208">
        <v>2</v>
      </c>
      <c r="D208" t="s">
        <v>60</v>
      </c>
      <c r="E208" t="s">
        <v>47</v>
      </c>
      <c r="F208">
        <v>131990766</v>
      </c>
      <c r="G208" t="s">
        <v>264</v>
      </c>
      <c r="H208">
        <v>728</v>
      </c>
      <c r="I208">
        <v>164</v>
      </c>
      <c r="J208">
        <v>82</v>
      </c>
      <c r="K208">
        <v>2</v>
      </c>
      <c r="L208">
        <v>39.9</v>
      </c>
      <c r="M208">
        <v>-7.2</v>
      </c>
      <c r="N208" s="10">
        <v>73200</v>
      </c>
      <c r="O208" s="10">
        <v>-6460</v>
      </c>
      <c r="P208" s="10">
        <v>998</v>
      </c>
      <c r="Q208">
        <v>0</v>
      </c>
      <c r="R208">
        <v>0</v>
      </c>
      <c r="S208" t="s">
        <v>11</v>
      </c>
      <c r="T208" t="s">
        <v>49</v>
      </c>
      <c r="U208" t="s">
        <v>1878</v>
      </c>
      <c r="W208" s="10"/>
    </row>
    <row r="209" spans="1:23" x14ac:dyDescent="0.25">
      <c r="A209">
        <v>131990779</v>
      </c>
      <c r="B209">
        <v>9.33</v>
      </c>
      <c r="C209">
        <v>2</v>
      </c>
      <c r="D209" t="s">
        <v>60</v>
      </c>
      <c r="E209" t="s">
        <v>51</v>
      </c>
      <c r="F209">
        <v>131990779</v>
      </c>
      <c r="G209" t="s">
        <v>265</v>
      </c>
      <c r="H209">
        <v>1884</v>
      </c>
      <c r="I209">
        <v>404</v>
      </c>
      <c r="J209">
        <v>202</v>
      </c>
      <c r="K209">
        <v>5</v>
      </c>
      <c r="L209">
        <v>54</v>
      </c>
      <c r="M209">
        <v>-15.4</v>
      </c>
      <c r="N209" s="10">
        <v>110000</v>
      </c>
      <c r="O209" s="10">
        <v>-11300</v>
      </c>
      <c r="P209" s="10">
        <v>2460</v>
      </c>
      <c r="Q209">
        <v>0</v>
      </c>
      <c r="R209">
        <v>0</v>
      </c>
      <c r="S209" t="s">
        <v>11</v>
      </c>
      <c r="T209" t="s">
        <v>49</v>
      </c>
      <c r="U209" t="s">
        <v>1878</v>
      </c>
      <c r="W209" s="10"/>
    </row>
    <row r="210" spans="1:23" x14ac:dyDescent="0.25">
      <c r="A210">
        <v>131990781</v>
      </c>
      <c r="B210">
        <v>11.5</v>
      </c>
      <c r="C210">
        <v>3</v>
      </c>
      <c r="D210" t="s">
        <v>54</v>
      </c>
      <c r="E210" t="s">
        <v>55</v>
      </c>
      <c r="F210">
        <v>131990781</v>
      </c>
      <c r="G210" t="s">
        <v>266</v>
      </c>
      <c r="H210">
        <v>3612</v>
      </c>
      <c r="I210">
        <v>942</v>
      </c>
      <c r="J210">
        <v>314</v>
      </c>
      <c r="K210">
        <v>12</v>
      </c>
      <c r="L210">
        <v>74.400000000000006</v>
      </c>
      <c r="M210">
        <v>-24.6</v>
      </c>
      <c r="N210" s="10">
        <v>220000</v>
      </c>
      <c r="O210" s="10">
        <v>-31100</v>
      </c>
      <c r="P210" s="10">
        <v>4480</v>
      </c>
      <c r="Q210">
        <v>8</v>
      </c>
      <c r="R210">
        <v>11056</v>
      </c>
      <c r="S210" t="s">
        <v>11</v>
      </c>
      <c r="T210" t="s">
        <v>49</v>
      </c>
      <c r="U210" t="s">
        <v>1878</v>
      </c>
      <c r="W210" s="10"/>
    </row>
    <row r="211" spans="1:23" x14ac:dyDescent="0.25">
      <c r="A211">
        <v>131990791</v>
      </c>
      <c r="B211">
        <v>9.43</v>
      </c>
      <c r="C211">
        <v>2</v>
      </c>
      <c r="D211" t="s">
        <v>60</v>
      </c>
      <c r="E211" t="s">
        <v>80</v>
      </c>
      <c r="F211">
        <v>131990791</v>
      </c>
      <c r="G211" t="s">
        <v>267</v>
      </c>
      <c r="H211">
        <v>1389</v>
      </c>
      <c r="I211">
        <v>295</v>
      </c>
      <c r="J211">
        <v>148</v>
      </c>
      <c r="K211">
        <v>4</v>
      </c>
      <c r="L211">
        <v>46.5</v>
      </c>
      <c r="M211">
        <v>-11.6</v>
      </c>
      <c r="N211" s="10">
        <v>92900</v>
      </c>
      <c r="O211" s="10">
        <v>-9440</v>
      </c>
      <c r="P211" s="10">
        <v>1800</v>
      </c>
      <c r="Q211">
        <v>0</v>
      </c>
      <c r="R211">
        <v>0</v>
      </c>
      <c r="S211" t="s">
        <v>11</v>
      </c>
      <c r="T211" t="s">
        <v>49</v>
      </c>
      <c r="U211" t="s">
        <v>1878</v>
      </c>
      <c r="W211" s="10"/>
    </row>
    <row r="212" spans="1:23" x14ac:dyDescent="0.25">
      <c r="A212">
        <v>131990793</v>
      </c>
      <c r="B212">
        <v>8.6999999999999993</v>
      </c>
      <c r="C212">
        <v>2</v>
      </c>
      <c r="D212" t="s">
        <v>60</v>
      </c>
      <c r="E212" t="s">
        <v>51</v>
      </c>
      <c r="F212">
        <v>131990793</v>
      </c>
      <c r="G212" t="s">
        <v>268</v>
      </c>
      <c r="H212">
        <v>4351</v>
      </c>
      <c r="I212">
        <v>1000</v>
      </c>
      <c r="J212">
        <v>500</v>
      </c>
      <c r="K212">
        <v>13</v>
      </c>
      <c r="L212">
        <v>112.8</v>
      </c>
      <c r="M212">
        <v>-34</v>
      </c>
      <c r="N212" s="10">
        <v>237000</v>
      </c>
      <c r="O212" s="10">
        <v>-24700</v>
      </c>
      <c r="P212" s="10">
        <v>6100</v>
      </c>
      <c r="Q212">
        <v>0</v>
      </c>
      <c r="R212">
        <v>0</v>
      </c>
      <c r="S212" t="s">
        <v>11</v>
      </c>
      <c r="T212" t="s">
        <v>49</v>
      </c>
      <c r="U212" t="s">
        <v>1878</v>
      </c>
      <c r="W212" s="10"/>
    </row>
    <row r="213" spans="1:23" x14ac:dyDescent="0.25">
      <c r="A213">
        <v>131990809</v>
      </c>
      <c r="B213">
        <v>11.27</v>
      </c>
      <c r="C213">
        <v>3</v>
      </c>
      <c r="D213" t="s">
        <v>54</v>
      </c>
      <c r="E213" t="s">
        <v>47</v>
      </c>
      <c r="F213">
        <v>131990809</v>
      </c>
      <c r="G213" t="s">
        <v>269</v>
      </c>
      <c r="H213">
        <v>3337</v>
      </c>
      <c r="I213">
        <v>889</v>
      </c>
      <c r="J213">
        <v>296</v>
      </c>
      <c r="K213">
        <v>12</v>
      </c>
      <c r="L213">
        <v>120.7</v>
      </c>
      <c r="M213">
        <v>-24.7</v>
      </c>
      <c r="N213" s="10">
        <v>295000</v>
      </c>
      <c r="O213" s="10">
        <v>-34400</v>
      </c>
      <c r="P213" s="10">
        <v>4230</v>
      </c>
      <c r="Q213">
        <v>4.5</v>
      </c>
      <c r="R213">
        <v>6219</v>
      </c>
      <c r="S213" t="s">
        <v>11</v>
      </c>
      <c r="T213" t="s">
        <v>49</v>
      </c>
      <c r="U213" t="s">
        <v>1878</v>
      </c>
      <c r="W213" s="10"/>
    </row>
    <row r="214" spans="1:23" x14ac:dyDescent="0.25">
      <c r="A214">
        <v>131990830</v>
      </c>
      <c r="B214">
        <v>4.8499999999999996</v>
      </c>
      <c r="C214">
        <v>1</v>
      </c>
      <c r="D214" t="s">
        <v>60</v>
      </c>
      <c r="E214" t="s">
        <v>47</v>
      </c>
      <c r="F214">
        <v>131990830</v>
      </c>
      <c r="G214" t="s">
        <v>270</v>
      </c>
      <c r="H214">
        <v>838</v>
      </c>
      <c r="I214">
        <v>173</v>
      </c>
      <c r="J214">
        <v>173</v>
      </c>
      <c r="K214">
        <v>2</v>
      </c>
      <c r="L214">
        <v>61.3</v>
      </c>
      <c r="M214">
        <v>-9.5</v>
      </c>
      <c r="N214" s="10">
        <v>112000</v>
      </c>
      <c r="O214" s="10">
        <v>-9110</v>
      </c>
      <c r="P214" s="10">
        <v>1050</v>
      </c>
      <c r="Q214">
        <v>0</v>
      </c>
      <c r="R214">
        <v>0</v>
      </c>
      <c r="S214" t="s">
        <v>11</v>
      </c>
      <c r="T214" t="s">
        <v>49</v>
      </c>
      <c r="U214" t="s">
        <v>1878</v>
      </c>
      <c r="W214" s="10"/>
    </row>
    <row r="215" spans="1:23" x14ac:dyDescent="0.25">
      <c r="A215">
        <v>131990866</v>
      </c>
      <c r="B215">
        <v>16.75</v>
      </c>
      <c r="C215">
        <v>4</v>
      </c>
      <c r="D215" t="s">
        <v>54</v>
      </c>
      <c r="E215" t="s">
        <v>51</v>
      </c>
      <c r="F215">
        <v>131990866</v>
      </c>
      <c r="G215" t="s">
        <v>271</v>
      </c>
      <c r="H215">
        <v>3496</v>
      </c>
      <c r="I215">
        <v>835</v>
      </c>
      <c r="J215">
        <v>209</v>
      </c>
      <c r="K215">
        <v>11</v>
      </c>
      <c r="L215">
        <v>53.6</v>
      </c>
      <c r="M215">
        <v>-19.5</v>
      </c>
      <c r="N215" s="10">
        <v>177000</v>
      </c>
      <c r="O215" s="10">
        <v>-25100</v>
      </c>
      <c r="P215" s="10">
        <v>3970</v>
      </c>
      <c r="Q215">
        <v>4.5</v>
      </c>
      <c r="R215">
        <v>6219</v>
      </c>
      <c r="S215" t="s">
        <v>11</v>
      </c>
      <c r="T215" t="s">
        <v>49</v>
      </c>
      <c r="U215" t="s">
        <v>1878</v>
      </c>
      <c r="W215" s="10"/>
    </row>
    <row r="216" spans="1:23" x14ac:dyDescent="0.25">
      <c r="A216">
        <v>131990869</v>
      </c>
      <c r="B216">
        <v>4.6500000000000004</v>
      </c>
      <c r="C216">
        <v>1</v>
      </c>
      <c r="D216" t="s">
        <v>60</v>
      </c>
      <c r="E216" t="s">
        <v>58</v>
      </c>
      <c r="F216">
        <v>131990869</v>
      </c>
      <c r="G216" t="s">
        <v>272</v>
      </c>
      <c r="H216">
        <v>538</v>
      </c>
      <c r="I216">
        <v>116</v>
      </c>
      <c r="J216">
        <v>116</v>
      </c>
      <c r="K216">
        <v>2</v>
      </c>
      <c r="L216">
        <v>24.1</v>
      </c>
      <c r="M216">
        <v>-5.7</v>
      </c>
      <c r="N216" s="10">
        <v>46500</v>
      </c>
      <c r="O216" s="10">
        <v>-4330</v>
      </c>
      <c r="P216" s="10">
        <v>705</v>
      </c>
      <c r="Q216">
        <v>0</v>
      </c>
      <c r="R216">
        <v>0</v>
      </c>
      <c r="S216" t="s">
        <v>11</v>
      </c>
      <c r="T216" t="s">
        <v>49</v>
      </c>
      <c r="U216" t="s">
        <v>1878</v>
      </c>
      <c r="W216" s="10"/>
    </row>
    <row r="217" spans="1:23" x14ac:dyDescent="0.25">
      <c r="A217">
        <v>131990872</v>
      </c>
      <c r="B217">
        <v>21.7</v>
      </c>
      <c r="C217">
        <v>6</v>
      </c>
      <c r="D217" t="s">
        <v>54</v>
      </c>
      <c r="E217" t="s">
        <v>55</v>
      </c>
      <c r="F217">
        <v>131990872</v>
      </c>
      <c r="G217" t="s">
        <v>273</v>
      </c>
      <c r="H217">
        <v>4383</v>
      </c>
      <c r="I217">
        <v>1212</v>
      </c>
      <c r="J217">
        <v>202</v>
      </c>
      <c r="K217">
        <v>16</v>
      </c>
      <c r="L217">
        <v>81.3</v>
      </c>
      <c r="M217">
        <v>-32.200000000000003</v>
      </c>
      <c r="N217" s="10">
        <v>256000</v>
      </c>
      <c r="O217" s="10">
        <v>-38100</v>
      </c>
      <c r="P217" s="10">
        <v>5770</v>
      </c>
      <c r="Q217">
        <v>4.5</v>
      </c>
      <c r="R217">
        <v>6219</v>
      </c>
      <c r="S217" t="s">
        <v>11</v>
      </c>
      <c r="T217" t="s">
        <v>49</v>
      </c>
      <c r="U217" t="s">
        <v>1878</v>
      </c>
      <c r="W217" s="10"/>
    </row>
    <row r="218" spans="1:23" x14ac:dyDescent="0.25">
      <c r="A218">
        <v>131990881</v>
      </c>
      <c r="B218">
        <v>3.65</v>
      </c>
      <c r="C218">
        <v>1</v>
      </c>
      <c r="D218" t="s">
        <v>46</v>
      </c>
      <c r="E218" t="s">
        <v>51</v>
      </c>
      <c r="F218">
        <v>131990881</v>
      </c>
      <c r="G218" t="s">
        <v>274</v>
      </c>
      <c r="H218">
        <v>2186</v>
      </c>
      <c r="I218">
        <v>599</v>
      </c>
      <c r="J218">
        <v>599</v>
      </c>
      <c r="K218">
        <v>8</v>
      </c>
      <c r="L218">
        <v>77.400000000000006</v>
      </c>
      <c r="M218">
        <v>-15.2</v>
      </c>
      <c r="N218" s="10">
        <v>193000</v>
      </c>
      <c r="O218" s="10">
        <v>-20700</v>
      </c>
      <c r="P218" s="10">
        <v>2850</v>
      </c>
      <c r="Q218">
        <v>8</v>
      </c>
      <c r="R218">
        <v>11056</v>
      </c>
      <c r="S218" t="s">
        <v>11</v>
      </c>
      <c r="T218" t="s">
        <v>49</v>
      </c>
      <c r="U218" t="s">
        <v>1878</v>
      </c>
      <c r="W218" s="10"/>
    </row>
    <row r="219" spans="1:23" x14ac:dyDescent="0.25">
      <c r="A219">
        <v>131990898</v>
      </c>
      <c r="B219">
        <v>9.6</v>
      </c>
      <c r="C219">
        <v>2</v>
      </c>
      <c r="D219" t="s">
        <v>60</v>
      </c>
      <c r="E219" t="s">
        <v>80</v>
      </c>
      <c r="F219">
        <v>131990898</v>
      </c>
      <c r="G219" t="s">
        <v>275</v>
      </c>
      <c r="H219">
        <v>763</v>
      </c>
      <c r="I219">
        <v>159</v>
      </c>
      <c r="J219">
        <v>80</v>
      </c>
      <c r="K219">
        <v>2</v>
      </c>
      <c r="L219">
        <v>32.799999999999997</v>
      </c>
      <c r="M219">
        <v>-7.7</v>
      </c>
      <c r="N219" s="10">
        <v>61500</v>
      </c>
      <c r="O219" s="10">
        <v>-6220</v>
      </c>
      <c r="P219" s="10">
        <v>969</v>
      </c>
      <c r="Q219">
        <v>0</v>
      </c>
      <c r="R219">
        <v>0</v>
      </c>
      <c r="S219" t="s">
        <v>11</v>
      </c>
      <c r="T219" t="s">
        <v>49</v>
      </c>
      <c r="U219" t="s">
        <v>1878</v>
      </c>
      <c r="W219" s="10"/>
    </row>
    <row r="220" spans="1:23" x14ac:dyDescent="0.25">
      <c r="A220">
        <v>131990902</v>
      </c>
      <c r="B220">
        <v>12.1</v>
      </c>
      <c r="C220">
        <v>3</v>
      </c>
      <c r="D220" t="s">
        <v>60</v>
      </c>
      <c r="E220" t="s">
        <v>55</v>
      </c>
      <c r="F220">
        <v>131990902</v>
      </c>
      <c r="G220" t="s">
        <v>276</v>
      </c>
      <c r="H220">
        <v>1444</v>
      </c>
      <c r="I220">
        <v>358</v>
      </c>
      <c r="J220">
        <v>119</v>
      </c>
      <c r="K220">
        <v>5</v>
      </c>
      <c r="L220">
        <v>48.3</v>
      </c>
      <c r="M220">
        <v>-15.1</v>
      </c>
      <c r="N220" s="10">
        <v>93600</v>
      </c>
      <c r="O220" s="10">
        <v>-11000</v>
      </c>
      <c r="P220" s="10">
        <v>2180</v>
      </c>
      <c r="Q220">
        <v>0</v>
      </c>
      <c r="R220">
        <v>0</v>
      </c>
      <c r="S220" t="s">
        <v>11</v>
      </c>
      <c r="T220" t="s">
        <v>49</v>
      </c>
      <c r="U220" t="s">
        <v>1878</v>
      </c>
      <c r="W220" s="10"/>
    </row>
    <row r="221" spans="1:23" x14ac:dyDescent="0.25">
      <c r="A221">
        <v>131990910</v>
      </c>
      <c r="B221">
        <v>7.7</v>
      </c>
      <c r="C221">
        <v>2</v>
      </c>
      <c r="D221" t="s">
        <v>60</v>
      </c>
      <c r="E221" t="s">
        <v>55</v>
      </c>
      <c r="F221">
        <v>131990910</v>
      </c>
      <c r="G221" t="s">
        <v>277</v>
      </c>
      <c r="H221">
        <v>4691</v>
      </c>
      <c r="I221">
        <v>1218</v>
      </c>
      <c r="J221">
        <v>609</v>
      </c>
      <c r="K221">
        <v>16</v>
      </c>
      <c r="L221">
        <v>145.30000000000001</v>
      </c>
      <c r="M221">
        <v>-42.9</v>
      </c>
      <c r="N221" s="10">
        <v>292000</v>
      </c>
      <c r="O221" s="10">
        <v>-29300</v>
      </c>
      <c r="P221" s="10">
        <v>7430</v>
      </c>
      <c r="Q221">
        <v>0</v>
      </c>
      <c r="R221">
        <v>0</v>
      </c>
      <c r="S221" t="s">
        <v>11</v>
      </c>
      <c r="T221" t="s">
        <v>49</v>
      </c>
      <c r="U221" t="s">
        <v>1878</v>
      </c>
      <c r="W221" s="10"/>
    </row>
    <row r="222" spans="1:23" x14ac:dyDescent="0.25">
      <c r="A222">
        <v>131990911</v>
      </c>
      <c r="B222">
        <v>10.65</v>
      </c>
      <c r="C222">
        <v>3</v>
      </c>
      <c r="D222" t="s">
        <v>60</v>
      </c>
      <c r="E222" t="s">
        <v>47</v>
      </c>
      <c r="F222">
        <v>131990911</v>
      </c>
      <c r="G222" t="s">
        <v>278</v>
      </c>
      <c r="H222">
        <v>1653</v>
      </c>
      <c r="I222">
        <v>466</v>
      </c>
      <c r="J222">
        <v>155</v>
      </c>
      <c r="K222">
        <v>6</v>
      </c>
      <c r="L222">
        <v>76.2</v>
      </c>
      <c r="M222">
        <v>-16.600000000000001</v>
      </c>
      <c r="N222" s="10">
        <v>147000</v>
      </c>
      <c r="O222" s="10">
        <v>-12700</v>
      </c>
      <c r="P222" s="10">
        <v>2840</v>
      </c>
      <c r="Q222">
        <v>0</v>
      </c>
      <c r="R222">
        <v>0</v>
      </c>
      <c r="S222" t="s">
        <v>11</v>
      </c>
      <c r="T222" t="s">
        <v>49</v>
      </c>
      <c r="U222" t="s">
        <v>1878</v>
      </c>
      <c r="W222" s="10"/>
    </row>
    <row r="223" spans="1:23" x14ac:dyDescent="0.25">
      <c r="A223">
        <v>131990912</v>
      </c>
      <c r="B223">
        <v>9.33</v>
      </c>
      <c r="C223">
        <v>2</v>
      </c>
      <c r="D223" t="s">
        <v>60</v>
      </c>
      <c r="E223" t="s">
        <v>47</v>
      </c>
      <c r="F223">
        <v>131990912</v>
      </c>
      <c r="G223" t="s">
        <v>279</v>
      </c>
      <c r="H223">
        <v>1179</v>
      </c>
      <c r="I223">
        <v>253</v>
      </c>
      <c r="J223">
        <v>127</v>
      </c>
      <c r="K223">
        <v>3</v>
      </c>
      <c r="L223">
        <v>69.5</v>
      </c>
      <c r="M223">
        <v>-12.5</v>
      </c>
      <c r="N223" s="10">
        <v>126000</v>
      </c>
      <c r="O223" s="10">
        <v>-11500</v>
      </c>
      <c r="P223" s="10">
        <v>1540</v>
      </c>
      <c r="Q223">
        <v>0</v>
      </c>
      <c r="R223">
        <v>0</v>
      </c>
      <c r="S223" t="s">
        <v>11</v>
      </c>
      <c r="T223" t="s">
        <v>49</v>
      </c>
      <c r="U223" t="s">
        <v>1878</v>
      </c>
      <c r="W223" s="10"/>
    </row>
    <row r="224" spans="1:23" x14ac:dyDescent="0.25">
      <c r="A224">
        <v>131990930</v>
      </c>
      <c r="B224">
        <v>10.9</v>
      </c>
      <c r="C224">
        <v>3</v>
      </c>
      <c r="D224" t="s">
        <v>60</v>
      </c>
      <c r="E224" t="s">
        <v>47</v>
      </c>
      <c r="F224">
        <v>131990930</v>
      </c>
      <c r="G224" t="s">
        <v>280</v>
      </c>
      <c r="H224">
        <v>3071</v>
      </c>
      <c r="I224">
        <v>845</v>
      </c>
      <c r="J224">
        <v>282</v>
      </c>
      <c r="K224">
        <v>11</v>
      </c>
      <c r="L224">
        <v>95.6</v>
      </c>
      <c r="M224">
        <v>-24.8</v>
      </c>
      <c r="N224" s="10">
        <v>200000</v>
      </c>
      <c r="O224" s="10">
        <v>-18900</v>
      </c>
      <c r="P224" s="10">
        <v>5150</v>
      </c>
      <c r="Q224">
        <v>0</v>
      </c>
      <c r="R224">
        <v>0</v>
      </c>
      <c r="S224" t="s">
        <v>11</v>
      </c>
      <c r="T224" t="s">
        <v>49</v>
      </c>
      <c r="U224" t="s">
        <v>1878</v>
      </c>
      <c r="W224" s="10"/>
    </row>
    <row r="225" spans="1:23" x14ac:dyDescent="0.25">
      <c r="A225">
        <v>131990956</v>
      </c>
      <c r="B225">
        <v>13.5</v>
      </c>
      <c r="C225">
        <v>3</v>
      </c>
      <c r="D225" t="s">
        <v>60</v>
      </c>
      <c r="E225" t="s">
        <v>80</v>
      </c>
      <c r="F225">
        <v>131990956</v>
      </c>
      <c r="G225" t="s">
        <v>281</v>
      </c>
      <c r="H225">
        <v>2739</v>
      </c>
      <c r="I225">
        <v>609</v>
      </c>
      <c r="J225">
        <v>203</v>
      </c>
      <c r="K225">
        <v>8</v>
      </c>
      <c r="L225">
        <v>97</v>
      </c>
      <c r="M225">
        <v>-25</v>
      </c>
      <c r="N225" s="10">
        <v>190000</v>
      </c>
      <c r="O225" s="10">
        <v>-20100</v>
      </c>
      <c r="P225" s="10">
        <v>3710</v>
      </c>
      <c r="Q225">
        <v>0</v>
      </c>
      <c r="R225">
        <v>0</v>
      </c>
      <c r="S225" t="s">
        <v>11</v>
      </c>
      <c r="T225" t="s">
        <v>49</v>
      </c>
      <c r="U225" t="s">
        <v>1878</v>
      </c>
      <c r="W225" s="10"/>
    </row>
    <row r="226" spans="1:23" x14ac:dyDescent="0.25">
      <c r="A226">
        <v>131990957</v>
      </c>
      <c r="B226">
        <v>8.1999999999999993</v>
      </c>
      <c r="C226">
        <v>2</v>
      </c>
      <c r="D226" t="s">
        <v>60</v>
      </c>
      <c r="E226" t="s">
        <v>47</v>
      </c>
      <c r="F226">
        <v>131990957</v>
      </c>
      <c r="G226" t="s">
        <v>282</v>
      </c>
      <c r="H226">
        <v>1000</v>
      </c>
      <c r="I226">
        <v>244</v>
      </c>
      <c r="J226">
        <v>122</v>
      </c>
      <c r="K226">
        <v>3</v>
      </c>
      <c r="L226">
        <v>51</v>
      </c>
      <c r="M226">
        <v>-10</v>
      </c>
      <c r="N226" s="10">
        <v>95800</v>
      </c>
      <c r="O226" s="10">
        <v>-8240</v>
      </c>
      <c r="P226" s="10">
        <v>1490</v>
      </c>
      <c r="Q226">
        <v>0</v>
      </c>
      <c r="R226">
        <v>0</v>
      </c>
      <c r="S226" t="s">
        <v>11</v>
      </c>
      <c r="T226" t="s">
        <v>49</v>
      </c>
      <c r="U226" t="s">
        <v>1878</v>
      </c>
      <c r="W226" s="10"/>
    </row>
    <row r="227" spans="1:23" x14ac:dyDescent="0.25">
      <c r="A227">
        <v>131990975</v>
      </c>
      <c r="B227">
        <v>5.73</v>
      </c>
      <c r="C227">
        <v>1</v>
      </c>
      <c r="D227" t="s">
        <v>54</v>
      </c>
      <c r="E227" t="s">
        <v>47</v>
      </c>
      <c r="F227">
        <v>131990975</v>
      </c>
      <c r="G227" t="s">
        <v>283</v>
      </c>
      <c r="H227">
        <v>651</v>
      </c>
      <c r="I227">
        <v>114</v>
      </c>
      <c r="J227">
        <v>114</v>
      </c>
      <c r="K227">
        <v>1</v>
      </c>
      <c r="L227">
        <v>34.700000000000003</v>
      </c>
      <c r="M227">
        <v>-5.0999999999999996</v>
      </c>
      <c r="N227" s="10">
        <v>69700</v>
      </c>
      <c r="O227" s="10">
        <v>-6520</v>
      </c>
      <c r="P227" s="10">
        <v>541</v>
      </c>
      <c r="Q227">
        <v>4.5</v>
      </c>
      <c r="R227">
        <v>6219</v>
      </c>
      <c r="S227" t="s">
        <v>11</v>
      </c>
      <c r="T227" t="s">
        <v>49</v>
      </c>
      <c r="U227" t="s">
        <v>1878</v>
      </c>
      <c r="W227" s="10"/>
    </row>
    <row r="228" spans="1:23" x14ac:dyDescent="0.25">
      <c r="A228">
        <v>131990980</v>
      </c>
      <c r="B228">
        <v>7.55</v>
      </c>
      <c r="C228">
        <v>2</v>
      </c>
      <c r="D228" t="s">
        <v>102</v>
      </c>
      <c r="E228" t="s">
        <v>47</v>
      </c>
      <c r="F228">
        <v>131990980</v>
      </c>
      <c r="G228" t="s">
        <v>284</v>
      </c>
      <c r="H228">
        <v>1887</v>
      </c>
      <c r="I228">
        <v>500</v>
      </c>
      <c r="J228">
        <v>250</v>
      </c>
      <c r="K228">
        <v>6</v>
      </c>
      <c r="L228">
        <v>72.7</v>
      </c>
      <c r="M228">
        <v>-13.9</v>
      </c>
      <c r="N228" s="10">
        <v>174000</v>
      </c>
      <c r="O228" s="10">
        <v>-19500</v>
      </c>
      <c r="P228" s="10">
        <v>2380</v>
      </c>
      <c r="Q228">
        <v>0</v>
      </c>
      <c r="R228">
        <v>0</v>
      </c>
      <c r="S228" t="s">
        <v>11</v>
      </c>
      <c r="T228" t="s">
        <v>49</v>
      </c>
      <c r="U228" t="s">
        <v>1878</v>
      </c>
      <c r="W228" s="10"/>
    </row>
    <row r="229" spans="1:23" x14ac:dyDescent="0.25">
      <c r="A229">
        <v>131991007</v>
      </c>
      <c r="B229">
        <v>11.7</v>
      </c>
      <c r="C229">
        <v>3</v>
      </c>
      <c r="D229" t="s">
        <v>46</v>
      </c>
      <c r="E229" t="s">
        <v>51</v>
      </c>
      <c r="F229">
        <v>131991007</v>
      </c>
      <c r="G229" t="s">
        <v>285</v>
      </c>
      <c r="H229">
        <v>838</v>
      </c>
      <c r="I229">
        <v>215</v>
      </c>
      <c r="J229">
        <v>72</v>
      </c>
      <c r="K229">
        <v>3</v>
      </c>
      <c r="L229">
        <v>25.4</v>
      </c>
      <c r="M229">
        <v>-7.4</v>
      </c>
      <c r="N229" s="10">
        <v>62400</v>
      </c>
      <c r="O229" s="10">
        <v>-9190</v>
      </c>
      <c r="P229" s="10">
        <v>1020</v>
      </c>
      <c r="Q229">
        <v>3</v>
      </c>
      <c r="R229">
        <v>4146</v>
      </c>
      <c r="S229" t="s">
        <v>11</v>
      </c>
      <c r="T229" t="s">
        <v>49</v>
      </c>
      <c r="U229" t="s">
        <v>1878</v>
      </c>
      <c r="W229" s="10"/>
    </row>
    <row r="230" spans="1:23" x14ac:dyDescent="0.25">
      <c r="A230">
        <v>131991019</v>
      </c>
      <c r="B230">
        <v>8</v>
      </c>
      <c r="C230">
        <v>2</v>
      </c>
      <c r="D230" t="s">
        <v>60</v>
      </c>
      <c r="E230" t="s">
        <v>47</v>
      </c>
      <c r="F230">
        <v>131991019</v>
      </c>
      <c r="G230" t="s">
        <v>286</v>
      </c>
      <c r="H230">
        <v>2689</v>
      </c>
      <c r="I230">
        <v>672</v>
      </c>
      <c r="J230">
        <v>336</v>
      </c>
      <c r="K230">
        <v>9</v>
      </c>
      <c r="L230">
        <v>129.5</v>
      </c>
      <c r="M230">
        <v>-25.1</v>
      </c>
      <c r="N230" s="10">
        <v>247000</v>
      </c>
      <c r="O230" s="10">
        <v>-22500</v>
      </c>
      <c r="P230" s="10">
        <v>4100</v>
      </c>
      <c r="Q230">
        <v>0</v>
      </c>
      <c r="R230">
        <v>0</v>
      </c>
      <c r="S230" t="s">
        <v>11</v>
      </c>
      <c r="T230" t="s">
        <v>49</v>
      </c>
      <c r="U230" t="s">
        <v>1878</v>
      </c>
      <c r="W230" s="10"/>
    </row>
    <row r="231" spans="1:23" x14ac:dyDescent="0.25">
      <c r="A231">
        <v>131991039</v>
      </c>
      <c r="B231">
        <v>12.75</v>
      </c>
      <c r="C231">
        <v>3</v>
      </c>
      <c r="D231" t="s">
        <v>102</v>
      </c>
      <c r="E231" t="s">
        <v>55</v>
      </c>
      <c r="F231">
        <v>131991039</v>
      </c>
      <c r="G231" t="s">
        <v>287</v>
      </c>
      <c r="H231">
        <v>1401</v>
      </c>
      <c r="I231">
        <v>330</v>
      </c>
      <c r="J231">
        <v>110</v>
      </c>
      <c r="K231">
        <v>4</v>
      </c>
      <c r="L231">
        <v>30.3</v>
      </c>
      <c r="M231">
        <v>-10.9</v>
      </c>
      <c r="N231" s="10">
        <v>81600</v>
      </c>
      <c r="O231" s="10">
        <v>-12500</v>
      </c>
      <c r="P231" s="10">
        <v>1570</v>
      </c>
      <c r="Q231">
        <v>0</v>
      </c>
      <c r="R231">
        <v>0</v>
      </c>
      <c r="S231" t="s">
        <v>11</v>
      </c>
      <c r="T231" t="s">
        <v>49</v>
      </c>
      <c r="U231" t="s">
        <v>1878</v>
      </c>
      <c r="W231" s="10"/>
    </row>
    <row r="232" spans="1:23" x14ac:dyDescent="0.25">
      <c r="A232">
        <v>131991078</v>
      </c>
      <c r="B232">
        <v>5.24</v>
      </c>
      <c r="C232">
        <v>1</v>
      </c>
      <c r="D232" t="s">
        <v>60</v>
      </c>
      <c r="E232" t="s">
        <v>47</v>
      </c>
      <c r="F232">
        <v>131991078</v>
      </c>
      <c r="G232" t="s">
        <v>288</v>
      </c>
      <c r="H232">
        <v>1696</v>
      </c>
      <c r="I232">
        <v>324</v>
      </c>
      <c r="J232">
        <v>324</v>
      </c>
      <c r="K232">
        <v>4</v>
      </c>
      <c r="L232">
        <v>99.3</v>
      </c>
      <c r="M232">
        <v>-16.3</v>
      </c>
      <c r="N232" s="10">
        <v>184000</v>
      </c>
      <c r="O232" s="10">
        <v>-15400</v>
      </c>
      <c r="P232" s="10">
        <v>1970</v>
      </c>
      <c r="Q232">
        <v>0</v>
      </c>
      <c r="R232">
        <v>0</v>
      </c>
      <c r="S232" t="s">
        <v>11</v>
      </c>
      <c r="T232" t="s">
        <v>49</v>
      </c>
      <c r="U232" t="s">
        <v>1878</v>
      </c>
      <c r="W232" s="10"/>
    </row>
    <row r="233" spans="1:23" x14ac:dyDescent="0.25">
      <c r="A233">
        <v>131991115</v>
      </c>
      <c r="B233">
        <v>6.65</v>
      </c>
      <c r="C233">
        <v>1</v>
      </c>
      <c r="D233" t="s">
        <v>60</v>
      </c>
      <c r="E233" t="s">
        <v>47</v>
      </c>
      <c r="F233">
        <v>131991115</v>
      </c>
      <c r="G233" t="s">
        <v>289</v>
      </c>
      <c r="H233">
        <v>640</v>
      </c>
      <c r="I233">
        <v>96</v>
      </c>
      <c r="J233">
        <v>96</v>
      </c>
      <c r="K233">
        <v>1</v>
      </c>
      <c r="L233">
        <v>43.1</v>
      </c>
      <c r="M233">
        <v>-6.6</v>
      </c>
      <c r="N233" s="10">
        <v>79900</v>
      </c>
      <c r="O233" s="10">
        <v>-6240</v>
      </c>
      <c r="P233" s="10">
        <v>586</v>
      </c>
      <c r="Q233">
        <v>0</v>
      </c>
      <c r="R233">
        <v>0</v>
      </c>
      <c r="S233" t="s">
        <v>11</v>
      </c>
      <c r="T233" t="s">
        <v>49</v>
      </c>
      <c r="U233" t="s">
        <v>1878</v>
      </c>
      <c r="W233" s="10"/>
    </row>
    <row r="234" spans="1:23" x14ac:dyDescent="0.25">
      <c r="A234">
        <v>131991162</v>
      </c>
      <c r="B234">
        <v>8.07</v>
      </c>
      <c r="C234">
        <v>2</v>
      </c>
      <c r="D234" t="s">
        <v>60</v>
      </c>
      <c r="E234" t="s">
        <v>47</v>
      </c>
      <c r="F234">
        <v>131991162</v>
      </c>
      <c r="G234" t="s">
        <v>290</v>
      </c>
      <c r="H234">
        <v>1455</v>
      </c>
      <c r="I234">
        <v>361</v>
      </c>
      <c r="J234">
        <v>181</v>
      </c>
      <c r="K234">
        <v>5</v>
      </c>
      <c r="L234">
        <v>70.5</v>
      </c>
      <c r="M234">
        <v>-14.1</v>
      </c>
      <c r="N234" s="10">
        <v>134000</v>
      </c>
      <c r="O234" s="10">
        <v>-11800</v>
      </c>
      <c r="P234" s="10">
        <v>2200</v>
      </c>
      <c r="Q234">
        <v>0</v>
      </c>
      <c r="R234">
        <v>0</v>
      </c>
      <c r="S234" t="s">
        <v>11</v>
      </c>
      <c r="T234" t="s">
        <v>49</v>
      </c>
      <c r="U234" t="s">
        <v>1878</v>
      </c>
      <c r="W234" s="10"/>
    </row>
    <row r="235" spans="1:23" x14ac:dyDescent="0.25">
      <c r="A235">
        <v>131991177</v>
      </c>
      <c r="B235">
        <v>8.1</v>
      </c>
      <c r="C235">
        <v>2</v>
      </c>
      <c r="D235" t="s">
        <v>54</v>
      </c>
      <c r="E235" t="s">
        <v>47</v>
      </c>
      <c r="F235">
        <v>131991177</v>
      </c>
      <c r="G235" t="s">
        <v>291</v>
      </c>
      <c r="H235">
        <v>2743</v>
      </c>
      <c r="I235">
        <v>677</v>
      </c>
      <c r="J235">
        <v>339</v>
      </c>
      <c r="K235">
        <v>9</v>
      </c>
      <c r="L235">
        <v>93.6</v>
      </c>
      <c r="M235">
        <v>-18.3</v>
      </c>
      <c r="N235" s="10">
        <v>229000</v>
      </c>
      <c r="O235" s="10">
        <v>-25800</v>
      </c>
      <c r="P235" s="10">
        <v>3220</v>
      </c>
      <c r="Q235">
        <v>8</v>
      </c>
      <c r="R235">
        <v>11056</v>
      </c>
      <c r="S235" t="s">
        <v>11</v>
      </c>
      <c r="T235" t="s">
        <v>49</v>
      </c>
      <c r="U235" t="s">
        <v>1878</v>
      </c>
      <c r="W235" s="10"/>
    </row>
    <row r="236" spans="1:23" x14ac:dyDescent="0.25">
      <c r="A236">
        <v>131991194</v>
      </c>
      <c r="B236">
        <v>8.02</v>
      </c>
      <c r="C236">
        <v>2</v>
      </c>
      <c r="D236" t="s">
        <v>60</v>
      </c>
      <c r="E236" t="s">
        <v>47</v>
      </c>
      <c r="F236">
        <v>131991194</v>
      </c>
      <c r="G236" t="s">
        <v>292</v>
      </c>
      <c r="H236">
        <v>1025</v>
      </c>
      <c r="I236">
        <v>256</v>
      </c>
      <c r="J236">
        <v>128</v>
      </c>
      <c r="K236">
        <v>3</v>
      </c>
      <c r="L236">
        <v>43.8</v>
      </c>
      <c r="M236">
        <v>-9.1999999999999993</v>
      </c>
      <c r="N236" s="10">
        <v>85200</v>
      </c>
      <c r="O236" s="10">
        <v>-7670</v>
      </c>
      <c r="P236" s="10">
        <v>1560</v>
      </c>
      <c r="Q236">
        <v>0</v>
      </c>
      <c r="R236">
        <v>0</v>
      </c>
      <c r="S236" t="s">
        <v>11</v>
      </c>
      <c r="T236" t="s">
        <v>49</v>
      </c>
      <c r="U236" t="s">
        <v>1878</v>
      </c>
      <c r="W236" s="10"/>
    </row>
    <row r="237" spans="1:23" x14ac:dyDescent="0.25">
      <c r="A237">
        <v>131991196</v>
      </c>
      <c r="B237">
        <v>6</v>
      </c>
      <c r="C237">
        <v>1</v>
      </c>
      <c r="D237" t="s">
        <v>60</v>
      </c>
      <c r="E237" t="s">
        <v>47</v>
      </c>
      <c r="F237">
        <v>131991196</v>
      </c>
      <c r="G237" t="s">
        <v>293</v>
      </c>
      <c r="H237">
        <v>598</v>
      </c>
      <c r="I237">
        <v>100</v>
      </c>
      <c r="J237">
        <v>100</v>
      </c>
      <c r="K237">
        <v>1</v>
      </c>
      <c r="L237">
        <v>35.5</v>
      </c>
      <c r="M237">
        <v>-5.5</v>
      </c>
      <c r="N237" s="10">
        <v>66400</v>
      </c>
      <c r="O237" s="10">
        <v>-5130</v>
      </c>
      <c r="P237" s="10">
        <v>607</v>
      </c>
      <c r="Q237">
        <v>0</v>
      </c>
      <c r="R237">
        <v>0</v>
      </c>
      <c r="S237" t="s">
        <v>11</v>
      </c>
      <c r="T237" t="s">
        <v>49</v>
      </c>
      <c r="U237" t="s">
        <v>1878</v>
      </c>
      <c r="W237" s="10"/>
    </row>
    <row r="238" spans="1:23" x14ac:dyDescent="0.25">
      <c r="A238">
        <v>131991205</v>
      </c>
      <c r="B238">
        <v>4.3499999999999996</v>
      </c>
      <c r="C238">
        <v>1</v>
      </c>
      <c r="D238" t="s">
        <v>54</v>
      </c>
      <c r="E238" t="s">
        <v>47</v>
      </c>
      <c r="F238">
        <v>131991205</v>
      </c>
      <c r="G238" t="s">
        <v>294</v>
      </c>
      <c r="H238">
        <v>1630</v>
      </c>
      <c r="I238">
        <v>375</v>
      </c>
      <c r="J238">
        <v>375</v>
      </c>
      <c r="K238">
        <v>5</v>
      </c>
      <c r="L238">
        <v>88.3</v>
      </c>
      <c r="M238">
        <v>-13</v>
      </c>
      <c r="N238" s="10">
        <v>186000</v>
      </c>
      <c r="O238" s="10">
        <v>-18100</v>
      </c>
      <c r="P238" s="10">
        <v>1780</v>
      </c>
      <c r="Q238">
        <v>8</v>
      </c>
      <c r="R238">
        <v>11056</v>
      </c>
      <c r="S238" t="s">
        <v>11</v>
      </c>
      <c r="T238" t="s">
        <v>49</v>
      </c>
      <c r="U238" t="s">
        <v>1878</v>
      </c>
      <c r="W238" s="10"/>
    </row>
    <row r="239" spans="1:23" x14ac:dyDescent="0.25">
      <c r="A239">
        <v>131991227</v>
      </c>
      <c r="B239">
        <v>8.68</v>
      </c>
      <c r="C239">
        <v>2</v>
      </c>
      <c r="D239" t="s">
        <v>60</v>
      </c>
      <c r="E239" t="s">
        <v>47</v>
      </c>
      <c r="F239">
        <v>131991227</v>
      </c>
      <c r="G239" t="s">
        <v>295</v>
      </c>
      <c r="H239">
        <v>2550</v>
      </c>
      <c r="I239">
        <v>588</v>
      </c>
      <c r="J239">
        <v>294</v>
      </c>
      <c r="K239">
        <v>8</v>
      </c>
      <c r="L239">
        <v>114.3</v>
      </c>
      <c r="M239">
        <v>-22.6</v>
      </c>
      <c r="N239" s="10">
        <v>220000</v>
      </c>
      <c r="O239" s="10">
        <v>-18900</v>
      </c>
      <c r="P239" s="10">
        <v>3580</v>
      </c>
      <c r="Q239">
        <v>0</v>
      </c>
      <c r="R239">
        <v>0</v>
      </c>
      <c r="S239" t="s">
        <v>11</v>
      </c>
      <c r="T239" t="s">
        <v>49</v>
      </c>
      <c r="U239" t="s">
        <v>1878</v>
      </c>
      <c r="W239" s="10"/>
    </row>
    <row r="240" spans="1:23" x14ac:dyDescent="0.25">
      <c r="A240">
        <v>131991234</v>
      </c>
      <c r="B240">
        <v>6.7</v>
      </c>
      <c r="C240">
        <v>1</v>
      </c>
      <c r="D240" t="s">
        <v>60</v>
      </c>
      <c r="E240" t="s">
        <v>47</v>
      </c>
      <c r="F240">
        <v>131991234</v>
      </c>
      <c r="G240" t="s">
        <v>296</v>
      </c>
      <c r="H240">
        <v>586</v>
      </c>
      <c r="I240">
        <v>87</v>
      </c>
      <c r="J240">
        <v>87</v>
      </c>
      <c r="K240">
        <v>1</v>
      </c>
      <c r="L240">
        <v>29.7</v>
      </c>
      <c r="M240">
        <v>-5</v>
      </c>
      <c r="N240" s="10">
        <v>55900</v>
      </c>
      <c r="O240" s="10">
        <v>-4760</v>
      </c>
      <c r="P240" s="10">
        <v>533</v>
      </c>
      <c r="Q240">
        <v>0</v>
      </c>
      <c r="R240">
        <v>0</v>
      </c>
      <c r="S240" t="s">
        <v>11</v>
      </c>
      <c r="T240" t="s">
        <v>49</v>
      </c>
      <c r="U240" t="s">
        <v>1878</v>
      </c>
      <c r="W240" s="10"/>
    </row>
    <row r="241" spans="1:23" x14ac:dyDescent="0.25">
      <c r="A241">
        <v>131991248</v>
      </c>
      <c r="B241">
        <v>4.75</v>
      </c>
      <c r="C241">
        <v>1</v>
      </c>
      <c r="D241" t="s">
        <v>54</v>
      </c>
      <c r="E241" t="s">
        <v>51</v>
      </c>
      <c r="F241">
        <v>131991248</v>
      </c>
      <c r="G241" t="s">
        <v>297</v>
      </c>
      <c r="H241">
        <v>868</v>
      </c>
      <c r="I241">
        <v>183</v>
      </c>
      <c r="J241">
        <v>183</v>
      </c>
      <c r="K241">
        <v>2</v>
      </c>
      <c r="L241">
        <v>24.9</v>
      </c>
      <c r="M241">
        <v>-5.2</v>
      </c>
      <c r="N241" s="10">
        <v>61000</v>
      </c>
      <c r="O241" s="10">
        <v>-6700</v>
      </c>
      <c r="P241" s="10">
        <v>870</v>
      </c>
      <c r="Q241">
        <v>4.5</v>
      </c>
      <c r="R241">
        <v>6219</v>
      </c>
      <c r="S241" t="s">
        <v>11</v>
      </c>
      <c r="T241" t="s">
        <v>49</v>
      </c>
      <c r="U241" t="s">
        <v>1878</v>
      </c>
      <c r="W241" s="10"/>
    </row>
    <row r="242" spans="1:23" x14ac:dyDescent="0.25">
      <c r="A242">
        <v>131991277</v>
      </c>
      <c r="B242">
        <v>11.48</v>
      </c>
      <c r="C242">
        <v>3</v>
      </c>
      <c r="D242" t="s">
        <v>60</v>
      </c>
      <c r="E242" t="s">
        <v>51</v>
      </c>
      <c r="F242">
        <v>131991277</v>
      </c>
      <c r="G242" t="s">
        <v>298</v>
      </c>
      <c r="H242">
        <v>1956</v>
      </c>
      <c r="I242">
        <v>511</v>
      </c>
      <c r="J242">
        <v>170</v>
      </c>
      <c r="K242">
        <v>7</v>
      </c>
      <c r="L242">
        <v>49.2</v>
      </c>
      <c r="M242">
        <v>-15.5</v>
      </c>
      <c r="N242" s="10">
        <v>104000</v>
      </c>
      <c r="O242" s="10">
        <v>-11100</v>
      </c>
      <c r="P242" s="10">
        <v>3120</v>
      </c>
      <c r="Q242">
        <v>0</v>
      </c>
      <c r="R242">
        <v>0</v>
      </c>
      <c r="S242" t="s">
        <v>11</v>
      </c>
      <c r="T242" t="s">
        <v>49</v>
      </c>
      <c r="U242" t="s">
        <v>1878</v>
      </c>
      <c r="W242" s="10"/>
    </row>
    <row r="243" spans="1:23" x14ac:dyDescent="0.25">
      <c r="A243">
        <v>131991281</v>
      </c>
      <c r="B243">
        <v>9</v>
      </c>
      <c r="C243">
        <v>2</v>
      </c>
      <c r="D243" t="s">
        <v>46</v>
      </c>
      <c r="E243" t="s">
        <v>47</v>
      </c>
      <c r="F243">
        <v>131991281</v>
      </c>
      <c r="G243" t="s">
        <v>299</v>
      </c>
      <c r="H243">
        <v>791</v>
      </c>
      <c r="I243">
        <v>176</v>
      </c>
      <c r="J243">
        <v>88</v>
      </c>
      <c r="K243">
        <v>2</v>
      </c>
      <c r="L243">
        <v>33.5</v>
      </c>
      <c r="M243">
        <v>-5.9</v>
      </c>
      <c r="N243" s="10">
        <v>73500</v>
      </c>
      <c r="O243" s="10">
        <v>-7860</v>
      </c>
      <c r="P243" s="10">
        <v>837</v>
      </c>
      <c r="Q243">
        <v>3</v>
      </c>
      <c r="R243">
        <v>4146</v>
      </c>
      <c r="S243" t="s">
        <v>11</v>
      </c>
      <c r="T243" t="s">
        <v>49</v>
      </c>
      <c r="U243" t="s">
        <v>1878</v>
      </c>
      <c r="W243" s="10"/>
    </row>
    <row r="244" spans="1:23" x14ac:dyDescent="0.25">
      <c r="A244">
        <v>131991284</v>
      </c>
      <c r="B244">
        <v>7.1</v>
      </c>
      <c r="C244">
        <v>2</v>
      </c>
      <c r="D244" t="s">
        <v>60</v>
      </c>
      <c r="E244" t="s">
        <v>51</v>
      </c>
      <c r="F244">
        <v>131991284</v>
      </c>
      <c r="G244" t="s">
        <v>300</v>
      </c>
      <c r="H244">
        <v>837</v>
      </c>
      <c r="I244">
        <v>236</v>
      </c>
      <c r="J244">
        <v>118</v>
      </c>
      <c r="K244">
        <v>3</v>
      </c>
      <c r="L244">
        <v>38.799999999999997</v>
      </c>
      <c r="M244">
        <v>-10.199999999999999</v>
      </c>
      <c r="N244" s="10">
        <v>72100</v>
      </c>
      <c r="O244" s="10">
        <v>-8170</v>
      </c>
      <c r="P244" s="10">
        <v>1440</v>
      </c>
      <c r="Q244">
        <v>0</v>
      </c>
      <c r="R244">
        <v>0</v>
      </c>
      <c r="S244" t="s">
        <v>11</v>
      </c>
      <c r="T244" t="s">
        <v>49</v>
      </c>
      <c r="U244" t="s">
        <v>1878</v>
      </c>
      <c r="W244" s="10"/>
    </row>
    <row r="245" spans="1:23" x14ac:dyDescent="0.25">
      <c r="A245">
        <v>131991309</v>
      </c>
      <c r="B245">
        <v>5.85</v>
      </c>
      <c r="C245">
        <v>1</v>
      </c>
      <c r="D245" t="s">
        <v>60</v>
      </c>
      <c r="E245" t="s">
        <v>47</v>
      </c>
      <c r="F245">
        <v>131991309</v>
      </c>
      <c r="G245" t="s">
        <v>301</v>
      </c>
      <c r="H245">
        <v>1611</v>
      </c>
      <c r="I245">
        <v>275</v>
      </c>
      <c r="J245">
        <v>275</v>
      </c>
      <c r="K245">
        <v>4</v>
      </c>
      <c r="L245">
        <v>93.9</v>
      </c>
      <c r="M245">
        <v>-15.2</v>
      </c>
      <c r="N245" s="10">
        <v>174000</v>
      </c>
      <c r="O245" s="10">
        <v>-14300</v>
      </c>
      <c r="P245" s="10">
        <v>1680</v>
      </c>
      <c r="Q245">
        <v>0</v>
      </c>
      <c r="R245">
        <v>0</v>
      </c>
      <c r="S245" t="s">
        <v>11</v>
      </c>
      <c r="T245" t="s">
        <v>49</v>
      </c>
      <c r="U245" t="s">
        <v>1878</v>
      </c>
      <c r="W245" s="10"/>
    </row>
    <row r="246" spans="1:23" x14ac:dyDescent="0.25">
      <c r="A246">
        <v>131991318</v>
      </c>
      <c r="B246">
        <v>5.35</v>
      </c>
      <c r="C246">
        <v>1</v>
      </c>
      <c r="D246" t="s">
        <v>60</v>
      </c>
      <c r="E246" t="s">
        <v>51</v>
      </c>
      <c r="F246">
        <v>131991318</v>
      </c>
      <c r="G246" t="s">
        <v>302</v>
      </c>
      <c r="H246">
        <v>607</v>
      </c>
      <c r="I246">
        <v>113</v>
      </c>
      <c r="J246">
        <v>113</v>
      </c>
      <c r="K246">
        <v>1</v>
      </c>
      <c r="L246">
        <v>25.1</v>
      </c>
      <c r="M246">
        <v>-5.5</v>
      </c>
      <c r="N246" s="10">
        <v>48100</v>
      </c>
      <c r="O246" s="10">
        <v>-4620</v>
      </c>
      <c r="P246" s="10">
        <v>691</v>
      </c>
      <c r="Q246">
        <v>0</v>
      </c>
      <c r="R246">
        <v>0</v>
      </c>
      <c r="S246" t="s">
        <v>11</v>
      </c>
      <c r="T246" t="s">
        <v>49</v>
      </c>
      <c r="U246" t="s">
        <v>1878</v>
      </c>
      <c r="W246" s="10"/>
    </row>
    <row r="247" spans="1:23" x14ac:dyDescent="0.25">
      <c r="A247">
        <v>131991345</v>
      </c>
      <c r="B247">
        <v>10.67</v>
      </c>
      <c r="C247">
        <v>3</v>
      </c>
      <c r="D247" t="s">
        <v>60</v>
      </c>
      <c r="E247" t="s">
        <v>80</v>
      </c>
      <c r="F247">
        <v>131991345</v>
      </c>
      <c r="G247" t="s">
        <v>303</v>
      </c>
      <c r="H247">
        <v>1514</v>
      </c>
      <c r="I247">
        <v>426</v>
      </c>
      <c r="J247">
        <v>142</v>
      </c>
      <c r="K247">
        <v>6</v>
      </c>
      <c r="L247">
        <v>49.8</v>
      </c>
      <c r="M247">
        <v>-13.7</v>
      </c>
      <c r="N247" s="10">
        <v>102000</v>
      </c>
      <c r="O247" s="10">
        <v>-10300</v>
      </c>
      <c r="P247" s="10">
        <v>2600</v>
      </c>
      <c r="Q247">
        <v>0</v>
      </c>
      <c r="R247">
        <v>0</v>
      </c>
      <c r="S247" t="s">
        <v>11</v>
      </c>
      <c r="T247" t="s">
        <v>49</v>
      </c>
      <c r="U247" t="s">
        <v>1878</v>
      </c>
      <c r="W247" s="10"/>
    </row>
    <row r="248" spans="1:23" x14ac:dyDescent="0.25">
      <c r="A248">
        <v>131991349</v>
      </c>
      <c r="B248">
        <v>7.9</v>
      </c>
      <c r="C248">
        <v>2</v>
      </c>
      <c r="D248" t="s">
        <v>60</v>
      </c>
      <c r="E248" t="s">
        <v>55</v>
      </c>
      <c r="F248">
        <v>131991349</v>
      </c>
      <c r="G248" t="s">
        <v>304</v>
      </c>
      <c r="H248">
        <v>1572</v>
      </c>
      <c r="I248">
        <v>398</v>
      </c>
      <c r="J248">
        <v>199</v>
      </c>
      <c r="K248">
        <v>5</v>
      </c>
      <c r="L248">
        <v>43.8</v>
      </c>
      <c r="M248">
        <v>-13.2</v>
      </c>
      <c r="N248" s="10">
        <v>90500</v>
      </c>
      <c r="O248" s="10">
        <v>-9100</v>
      </c>
      <c r="P248" s="10">
        <v>2430</v>
      </c>
      <c r="Q248">
        <v>0</v>
      </c>
      <c r="R248">
        <v>0</v>
      </c>
      <c r="S248" t="s">
        <v>11</v>
      </c>
      <c r="T248" t="s">
        <v>49</v>
      </c>
      <c r="U248" t="s">
        <v>1878</v>
      </c>
      <c r="W248" s="10"/>
    </row>
    <row r="249" spans="1:23" x14ac:dyDescent="0.25">
      <c r="A249">
        <v>131991469</v>
      </c>
      <c r="B249">
        <v>8.08</v>
      </c>
      <c r="C249">
        <v>2</v>
      </c>
      <c r="D249" t="s">
        <v>54</v>
      </c>
      <c r="E249" t="s">
        <v>47</v>
      </c>
      <c r="F249">
        <v>131991469</v>
      </c>
      <c r="G249" t="s">
        <v>305</v>
      </c>
      <c r="H249">
        <v>2086</v>
      </c>
      <c r="I249">
        <v>516</v>
      </c>
      <c r="J249">
        <v>258</v>
      </c>
      <c r="K249">
        <v>7</v>
      </c>
      <c r="L249">
        <v>64.3</v>
      </c>
      <c r="M249">
        <v>-13</v>
      </c>
      <c r="N249" s="10">
        <v>164000</v>
      </c>
      <c r="O249" s="10">
        <v>-19100</v>
      </c>
      <c r="P249" s="10">
        <v>2460</v>
      </c>
      <c r="Q249">
        <v>4.5</v>
      </c>
      <c r="R249">
        <v>6219</v>
      </c>
      <c r="S249" t="s">
        <v>11</v>
      </c>
      <c r="T249" t="s">
        <v>49</v>
      </c>
      <c r="U249" t="s">
        <v>1878</v>
      </c>
      <c r="W249" s="10"/>
    </row>
    <row r="250" spans="1:23" x14ac:dyDescent="0.25">
      <c r="A250">
        <v>131991499</v>
      </c>
      <c r="B250">
        <v>4.75</v>
      </c>
      <c r="C250">
        <v>1</v>
      </c>
      <c r="D250" t="s">
        <v>60</v>
      </c>
      <c r="E250" t="s">
        <v>51</v>
      </c>
      <c r="F250">
        <v>131991499</v>
      </c>
      <c r="G250" t="s">
        <v>306</v>
      </c>
      <c r="H250">
        <v>644</v>
      </c>
      <c r="I250">
        <v>136</v>
      </c>
      <c r="J250">
        <v>136</v>
      </c>
      <c r="K250">
        <v>2</v>
      </c>
      <c r="L250">
        <v>28.6</v>
      </c>
      <c r="M250">
        <v>-6.4</v>
      </c>
      <c r="N250" s="10">
        <v>54500</v>
      </c>
      <c r="O250" s="10">
        <v>-5010</v>
      </c>
      <c r="P250" s="10">
        <v>827</v>
      </c>
      <c r="Q250">
        <v>0</v>
      </c>
      <c r="R250">
        <v>0</v>
      </c>
      <c r="S250" t="s">
        <v>11</v>
      </c>
      <c r="T250" t="s">
        <v>49</v>
      </c>
      <c r="U250" t="s">
        <v>1878</v>
      </c>
      <c r="W250" s="10"/>
    </row>
    <row r="251" spans="1:23" x14ac:dyDescent="0.25">
      <c r="A251">
        <v>131991506</v>
      </c>
      <c r="B251">
        <v>4.97</v>
      </c>
      <c r="C251">
        <v>1</v>
      </c>
      <c r="D251" t="s">
        <v>54</v>
      </c>
      <c r="E251" t="s">
        <v>47</v>
      </c>
      <c r="F251">
        <v>131991506</v>
      </c>
      <c r="G251" t="s">
        <v>307</v>
      </c>
      <c r="H251">
        <v>444</v>
      </c>
      <c r="I251">
        <v>89</v>
      </c>
      <c r="J251">
        <v>89</v>
      </c>
      <c r="K251">
        <v>1</v>
      </c>
      <c r="L251">
        <v>17.2</v>
      </c>
      <c r="M251">
        <v>-2.6</v>
      </c>
      <c r="N251" s="10">
        <v>38600</v>
      </c>
      <c r="O251" s="10">
        <v>-3850</v>
      </c>
      <c r="P251" s="10">
        <v>425</v>
      </c>
      <c r="Q251">
        <v>3</v>
      </c>
      <c r="R251">
        <v>4146</v>
      </c>
      <c r="S251" t="s">
        <v>11</v>
      </c>
      <c r="T251" t="s">
        <v>49</v>
      </c>
      <c r="U251" t="s">
        <v>1878</v>
      </c>
      <c r="W251" s="10"/>
    </row>
    <row r="252" spans="1:23" x14ac:dyDescent="0.25">
      <c r="A252">
        <v>131991518</v>
      </c>
      <c r="B252">
        <v>9.3699999999999992</v>
      </c>
      <c r="C252">
        <v>2</v>
      </c>
      <c r="D252" t="s">
        <v>54</v>
      </c>
      <c r="E252" t="s">
        <v>47</v>
      </c>
      <c r="F252">
        <v>131991518</v>
      </c>
      <c r="G252" t="s">
        <v>308</v>
      </c>
      <c r="H252">
        <v>1548</v>
      </c>
      <c r="I252">
        <v>331</v>
      </c>
      <c r="J252">
        <v>166</v>
      </c>
      <c r="K252">
        <v>4</v>
      </c>
      <c r="L252">
        <v>51.1</v>
      </c>
      <c r="M252">
        <v>-9.4</v>
      </c>
      <c r="N252" s="10">
        <v>122000</v>
      </c>
      <c r="O252" s="10">
        <v>-13100</v>
      </c>
      <c r="P252" s="10">
        <v>1570</v>
      </c>
      <c r="Q252">
        <v>4.5</v>
      </c>
      <c r="R252">
        <v>6219</v>
      </c>
      <c r="S252" t="s">
        <v>11</v>
      </c>
      <c r="T252" t="s">
        <v>49</v>
      </c>
      <c r="U252" t="s">
        <v>1878</v>
      </c>
      <c r="W252" s="10"/>
    </row>
    <row r="253" spans="1:23" x14ac:dyDescent="0.25">
      <c r="A253">
        <v>131991520</v>
      </c>
      <c r="B253">
        <v>14.77</v>
      </c>
      <c r="C253">
        <v>4</v>
      </c>
      <c r="D253" t="s">
        <v>60</v>
      </c>
      <c r="E253" t="s">
        <v>51</v>
      </c>
      <c r="F253">
        <v>131991520</v>
      </c>
      <c r="G253" t="s">
        <v>309</v>
      </c>
      <c r="H253">
        <v>9531</v>
      </c>
      <c r="I253">
        <v>2582</v>
      </c>
      <c r="J253">
        <v>646</v>
      </c>
      <c r="K253">
        <v>34</v>
      </c>
      <c r="L253">
        <v>233.9</v>
      </c>
      <c r="M253">
        <v>-80.400000000000006</v>
      </c>
      <c r="N253" s="10">
        <v>493000</v>
      </c>
      <c r="O253" s="10">
        <v>-53400</v>
      </c>
      <c r="P253" s="10">
        <v>15700</v>
      </c>
      <c r="Q253">
        <v>0</v>
      </c>
      <c r="R253">
        <v>0</v>
      </c>
      <c r="S253" t="s">
        <v>11</v>
      </c>
      <c r="T253" t="s">
        <v>49</v>
      </c>
      <c r="U253" t="s">
        <v>1878</v>
      </c>
      <c r="W253" s="10"/>
    </row>
    <row r="254" spans="1:23" x14ac:dyDescent="0.25">
      <c r="A254">
        <v>131991523</v>
      </c>
      <c r="B254">
        <v>4.0999999999999996</v>
      </c>
      <c r="C254">
        <v>1</v>
      </c>
      <c r="D254" t="s">
        <v>310</v>
      </c>
      <c r="E254" t="s">
        <v>47</v>
      </c>
      <c r="F254">
        <v>131991523</v>
      </c>
      <c r="G254" t="s">
        <v>311</v>
      </c>
      <c r="H254">
        <v>3069</v>
      </c>
      <c r="I254">
        <v>748</v>
      </c>
      <c r="J254">
        <v>748</v>
      </c>
      <c r="K254">
        <v>10</v>
      </c>
      <c r="L254">
        <v>140.30000000000001</v>
      </c>
      <c r="M254">
        <v>-24.4</v>
      </c>
      <c r="N254" s="10">
        <v>299000</v>
      </c>
      <c r="O254" s="10">
        <v>-35500</v>
      </c>
      <c r="P254" s="10">
        <v>30900</v>
      </c>
      <c r="Q254">
        <v>0</v>
      </c>
      <c r="R254">
        <v>0</v>
      </c>
      <c r="S254" t="s">
        <v>11</v>
      </c>
      <c r="T254" t="s">
        <v>49</v>
      </c>
      <c r="U254" t="s">
        <v>1878</v>
      </c>
      <c r="W254" s="10"/>
    </row>
    <row r="255" spans="1:23" x14ac:dyDescent="0.25">
      <c r="A255">
        <v>131991534</v>
      </c>
      <c r="B255">
        <v>12.1</v>
      </c>
      <c r="C255">
        <v>3</v>
      </c>
      <c r="D255" t="s">
        <v>104</v>
      </c>
      <c r="E255" t="s">
        <v>51</v>
      </c>
      <c r="F255">
        <v>131991534</v>
      </c>
      <c r="G255" t="s">
        <v>312</v>
      </c>
      <c r="H255">
        <v>2750</v>
      </c>
      <c r="I255">
        <v>682</v>
      </c>
      <c r="J255">
        <v>227</v>
      </c>
      <c r="K255">
        <v>9</v>
      </c>
      <c r="L255">
        <v>34.700000000000003</v>
      </c>
      <c r="M255">
        <v>-66.8</v>
      </c>
      <c r="N255" s="10">
        <v>651000</v>
      </c>
      <c r="O255" s="10">
        <v>-205000</v>
      </c>
      <c r="P255" s="10">
        <v>24900</v>
      </c>
      <c r="Q255">
        <v>0</v>
      </c>
      <c r="R255">
        <v>0</v>
      </c>
      <c r="S255" t="s">
        <v>11</v>
      </c>
      <c r="T255" t="s">
        <v>49</v>
      </c>
      <c r="U255" t="s">
        <v>1878</v>
      </c>
      <c r="W255" s="10"/>
    </row>
    <row r="256" spans="1:23" x14ac:dyDescent="0.25">
      <c r="A256">
        <v>131991535</v>
      </c>
      <c r="B256">
        <v>16.600000000000001</v>
      </c>
      <c r="C256">
        <v>4</v>
      </c>
      <c r="D256" t="s">
        <v>60</v>
      </c>
      <c r="E256" t="s">
        <v>47</v>
      </c>
      <c r="F256">
        <v>131991535</v>
      </c>
      <c r="G256" t="s">
        <v>313</v>
      </c>
      <c r="H256">
        <v>4842</v>
      </c>
      <c r="I256">
        <v>1167</v>
      </c>
      <c r="J256">
        <v>292</v>
      </c>
      <c r="K256">
        <v>15</v>
      </c>
      <c r="L256">
        <v>198.3</v>
      </c>
      <c r="M256">
        <v>-43.9</v>
      </c>
      <c r="N256" s="10">
        <v>385000</v>
      </c>
      <c r="O256" s="10">
        <v>-35900</v>
      </c>
      <c r="P256" s="10">
        <v>7110</v>
      </c>
      <c r="Q256">
        <v>0</v>
      </c>
      <c r="R256">
        <v>0</v>
      </c>
      <c r="S256" t="s">
        <v>11</v>
      </c>
      <c r="T256" t="s">
        <v>49</v>
      </c>
      <c r="U256" t="s">
        <v>1878</v>
      </c>
      <c r="W256" s="10"/>
    </row>
    <row r="257" spans="1:23" x14ac:dyDescent="0.25">
      <c r="A257">
        <v>131991539</v>
      </c>
      <c r="B257">
        <v>6.05</v>
      </c>
      <c r="C257">
        <v>1</v>
      </c>
      <c r="D257" t="s">
        <v>46</v>
      </c>
      <c r="E257" t="s">
        <v>51</v>
      </c>
      <c r="F257">
        <v>131991539</v>
      </c>
      <c r="G257" t="s">
        <v>314</v>
      </c>
      <c r="H257">
        <v>3740</v>
      </c>
      <c r="I257">
        <v>618</v>
      </c>
      <c r="J257">
        <v>618</v>
      </c>
      <c r="K257">
        <v>8</v>
      </c>
      <c r="L257">
        <v>104.4</v>
      </c>
      <c r="M257">
        <v>-22.4</v>
      </c>
      <c r="N257" s="10">
        <v>241000</v>
      </c>
      <c r="O257" s="10">
        <v>-25700</v>
      </c>
      <c r="P257" s="10">
        <v>2940</v>
      </c>
      <c r="Q257">
        <v>8</v>
      </c>
      <c r="R257">
        <v>11056</v>
      </c>
      <c r="S257" t="s">
        <v>11</v>
      </c>
      <c r="T257" t="s">
        <v>49</v>
      </c>
      <c r="U257" t="s">
        <v>1878</v>
      </c>
      <c r="W257" s="10"/>
    </row>
    <row r="258" spans="1:23" x14ac:dyDescent="0.25">
      <c r="A258">
        <v>131991546</v>
      </c>
      <c r="B258">
        <v>12.2</v>
      </c>
      <c r="C258">
        <v>3</v>
      </c>
      <c r="D258" t="s">
        <v>60</v>
      </c>
      <c r="E258" t="s">
        <v>51</v>
      </c>
      <c r="F258">
        <v>131991546</v>
      </c>
      <c r="G258" t="s">
        <v>315</v>
      </c>
      <c r="H258">
        <v>3175</v>
      </c>
      <c r="I258">
        <v>781</v>
      </c>
      <c r="J258">
        <v>260</v>
      </c>
      <c r="K258">
        <v>10</v>
      </c>
      <c r="L258">
        <v>89.4</v>
      </c>
      <c r="M258">
        <v>-27.9</v>
      </c>
      <c r="N258" s="10">
        <v>181000</v>
      </c>
      <c r="O258" s="10">
        <v>-19700</v>
      </c>
      <c r="P258" s="10">
        <v>4760</v>
      </c>
      <c r="Q258">
        <v>0</v>
      </c>
      <c r="R258">
        <v>0</v>
      </c>
      <c r="S258" t="s">
        <v>11</v>
      </c>
      <c r="T258" t="s">
        <v>49</v>
      </c>
      <c r="U258" t="s">
        <v>1878</v>
      </c>
      <c r="W258" s="10"/>
    </row>
    <row r="259" spans="1:23" x14ac:dyDescent="0.25">
      <c r="A259">
        <v>131991596</v>
      </c>
      <c r="B259">
        <v>16.28</v>
      </c>
      <c r="C259">
        <v>4</v>
      </c>
      <c r="D259" t="s">
        <v>60</v>
      </c>
      <c r="E259" t="s">
        <v>51</v>
      </c>
      <c r="F259">
        <v>131991596</v>
      </c>
      <c r="G259" t="s">
        <v>316</v>
      </c>
      <c r="H259">
        <v>4367</v>
      </c>
      <c r="I259">
        <v>1073</v>
      </c>
      <c r="J259">
        <v>268</v>
      </c>
      <c r="K259">
        <v>14</v>
      </c>
      <c r="L259">
        <v>100.3</v>
      </c>
      <c r="M259">
        <v>-34.1</v>
      </c>
      <c r="N259" s="10">
        <v>215000</v>
      </c>
      <c r="O259" s="10">
        <v>-23500</v>
      </c>
      <c r="P259" s="10">
        <v>6540</v>
      </c>
      <c r="Q259">
        <v>0</v>
      </c>
      <c r="R259">
        <v>0</v>
      </c>
      <c r="S259" t="s">
        <v>11</v>
      </c>
      <c r="T259" t="s">
        <v>49</v>
      </c>
      <c r="U259" t="s">
        <v>1878</v>
      </c>
      <c r="W259" s="10"/>
    </row>
    <row r="260" spans="1:23" x14ac:dyDescent="0.25">
      <c r="A260">
        <v>131991613</v>
      </c>
      <c r="B260">
        <v>13.53</v>
      </c>
      <c r="C260">
        <v>3</v>
      </c>
      <c r="D260" t="s">
        <v>60</v>
      </c>
      <c r="E260" t="s">
        <v>55</v>
      </c>
      <c r="F260">
        <v>131991613</v>
      </c>
      <c r="G260" t="s">
        <v>317</v>
      </c>
      <c r="H260">
        <v>9537</v>
      </c>
      <c r="I260">
        <v>2116</v>
      </c>
      <c r="J260">
        <v>705</v>
      </c>
      <c r="K260">
        <v>27</v>
      </c>
      <c r="L260">
        <v>198.4</v>
      </c>
      <c r="M260">
        <v>-69.7</v>
      </c>
      <c r="N260" s="10">
        <v>434000</v>
      </c>
      <c r="O260" s="10">
        <v>-49900</v>
      </c>
      <c r="P260" s="10">
        <v>12900</v>
      </c>
      <c r="Q260">
        <v>0</v>
      </c>
      <c r="R260">
        <v>0</v>
      </c>
      <c r="S260" t="s">
        <v>11</v>
      </c>
      <c r="T260" t="s">
        <v>49</v>
      </c>
      <c r="U260" t="s">
        <v>1878</v>
      </c>
      <c r="W260" s="10"/>
    </row>
    <row r="261" spans="1:23" x14ac:dyDescent="0.25">
      <c r="A261">
        <v>131991619</v>
      </c>
      <c r="B261">
        <v>11.87</v>
      </c>
      <c r="C261">
        <v>3</v>
      </c>
      <c r="D261" t="s">
        <v>60</v>
      </c>
      <c r="E261" t="s">
        <v>47</v>
      </c>
      <c r="F261">
        <v>131991619</v>
      </c>
      <c r="G261" t="s">
        <v>318</v>
      </c>
      <c r="H261">
        <v>4204</v>
      </c>
      <c r="I261">
        <v>1063</v>
      </c>
      <c r="J261">
        <v>354</v>
      </c>
      <c r="K261">
        <v>14</v>
      </c>
      <c r="L261">
        <v>99.2</v>
      </c>
      <c r="M261">
        <v>-29.8</v>
      </c>
      <c r="N261" s="10">
        <v>219000</v>
      </c>
      <c r="O261" s="10">
        <v>-23200</v>
      </c>
      <c r="P261" s="10">
        <v>6480</v>
      </c>
      <c r="Q261">
        <v>0</v>
      </c>
      <c r="R261">
        <v>0</v>
      </c>
      <c r="S261" t="s">
        <v>11</v>
      </c>
      <c r="T261" t="s">
        <v>49</v>
      </c>
      <c r="U261" t="s">
        <v>1878</v>
      </c>
      <c r="W261" s="10"/>
    </row>
    <row r="262" spans="1:23" x14ac:dyDescent="0.25">
      <c r="A262">
        <v>131991620</v>
      </c>
      <c r="B262">
        <v>4.47</v>
      </c>
      <c r="C262">
        <v>1</v>
      </c>
      <c r="D262" t="s">
        <v>60</v>
      </c>
      <c r="E262" t="s">
        <v>55</v>
      </c>
      <c r="F262">
        <v>131991620</v>
      </c>
      <c r="G262" t="s">
        <v>319</v>
      </c>
      <c r="H262">
        <v>737</v>
      </c>
      <c r="I262">
        <v>165</v>
      </c>
      <c r="J262">
        <v>165</v>
      </c>
      <c r="K262">
        <v>2</v>
      </c>
      <c r="L262">
        <v>33.200000000000003</v>
      </c>
      <c r="M262">
        <v>-7.7</v>
      </c>
      <c r="N262" s="10">
        <v>63100</v>
      </c>
      <c r="O262" s="10">
        <v>-6020</v>
      </c>
      <c r="P262" s="10">
        <v>1010</v>
      </c>
      <c r="Q262">
        <v>0</v>
      </c>
      <c r="R262">
        <v>0</v>
      </c>
      <c r="S262" t="s">
        <v>11</v>
      </c>
      <c r="T262" t="s">
        <v>49</v>
      </c>
      <c r="U262" t="s">
        <v>1878</v>
      </c>
      <c r="W262" s="10"/>
    </row>
    <row r="263" spans="1:23" x14ac:dyDescent="0.25">
      <c r="A263">
        <v>131991621</v>
      </c>
      <c r="B263">
        <v>5.3</v>
      </c>
      <c r="C263">
        <v>1</v>
      </c>
      <c r="D263" t="s">
        <v>60</v>
      </c>
      <c r="E263" t="s">
        <v>51</v>
      </c>
      <c r="F263">
        <v>131991621</v>
      </c>
      <c r="G263" t="s">
        <v>320</v>
      </c>
      <c r="H263">
        <v>683</v>
      </c>
      <c r="I263">
        <v>129</v>
      </c>
      <c r="J263">
        <v>129</v>
      </c>
      <c r="K263">
        <v>2</v>
      </c>
      <c r="L263">
        <v>33</v>
      </c>
      <c r="M263">
        <v>-7.2</v>
      </c>
      <c r="N263" s="10">
        <v>62300</v>
      </c>
      <c r="O263" s="10">
        <v>-6280</v>
      </c>
      <c r="P263" s="10">
        <v>785</v>
      </c>
      <c r="Q263">
        <v>0</v>
      </c>
      <c r="R263">
        <v>0</v>
      </c>
      <c r="S263" t="s">
        <v>11</v>
      </c>
      <c r="T263" t="s">
        <v>49</v>
      </c>
      <c r="U263" t="s">
        <v>1878</v>
      </c>
      <c r="W263" s="10"/>
    </row>
    <row r="264" spans="1:23" x14ac:dyDescent="0.25">
      <c r="A264">
        <v>131991628</v>
      </c>
      <c r="B264">
        <v>5.75</v>
      </c>
      <c r="C264">
        <v>1</v>
      </c>
      <c r="D264" t="s">
        <v>60</v>
      </c>
      <c r="E264" t="s">
        <v>47</v>
      </c>
      <c r="F264">
        <v>131991628</v>
      </c>
      <c r="G264" t="s">
        <v>321</v>
      </c>
      <c r="H264">
        <v>462</v>
      </c>
      <c r="I264">
        <v>80</v>
      </c>
      <c r="J264">
        <v>80</v>
      </c>
      <c r="K264">
        <v>1</v>
      </c>
      <c r="L264">
        <v>31.7</v>
      </c>
      <c r="M264">
        <v>-4.8</v>
      </c>
      <c r="N264" s="10">
        <v>58300</v>
      </c>
      <c r="O264" s="10">
        <v>-4640</v>
      </c>
      <c r="P264" s="10">
        <v>490</v>
      </c>
      <c r="Q264">
        <v>0</v>
      </c>
      <c r="R264">
        <v>0</v>
      </c>
      <c r="S264" t="s">
        <v>11</v>
      </c>
      <c r="T264" t="s">
        <v>49</v>
      </c>
      <c r="U264" t="s">
        <v>1878</v>
      </c>
      <c r="W264" s="10"/>
    </row>
    <row r="265" spans="1:23" x14ac:dyDescent="0.25">
      <c r="A265">
        <v>131991640</v>
      </c>
      <c r="B265">
        <v>9.6</v>
      </c>
      <c r="C265">
        <v>2</v>
      </c>
      <c r="D265" t="s">
        <v>60</v>
      </c>
      <c r="E265" t="s">
        <v>58</v>
      </c>
      <c r="F265">
        <v>131991640</v>
      </c>
      <c r="G265" t="s">
        <v>322</v>
      </c>
      <c r="H265">
        <v>5141</v>
      </c>
      <c r="I265">
        <v>1071</v>
      </c>
      <c r="J265">
        <v>536</v>
      </c>
      <c r="K265">
        <v>14</v>
      </c>
      <c r="L265">
        <v>126</v>
      </c>
      <c r="M265">
        <v>-38.4</v>
      </c>
      <c r="N265" s="10">
        <v>265000</v>
      </c>
      <c r="O265" s="10">
        <v>-28100</v>
      </c>
      <c r="P265" s="10">
        <v>6530</v>
      </c>
      <c r="Q265">
        <v>0</v>
      </c>
      <c r="R265">
        <v>0</v>
      </c>
      <c r="S265" t="s">
        <v>11</v>
      </c>
      <c r="T265" t="s">
        <v>49</v>
      </c>
      <c r="U265" t="s">
        <v>1878</v>
      </c>
      <c r="W265" s="10"/>
    </row>
    <row r="266" spans="1:23" x14ac:dyDescent="0.25">
      <c r="A266">
        <v>131991665</v>
      </c>
      <c r="B266">
        <v>5.5</v>
      </c>
      <c r="C266">
        <v>1</v>
      </c>
      <c r="D266" t="s">
        <v>60</v>
      </c>
      <c r="E266" t="s">
        <v>47</v>
      </c>
      <c r="F266">
        <v>131991665</v>
      </c>
      <c r="G266" t="s">
        <v>323</v>
      </c>
      <c r="H266">
        <v>601</v>
      </c>
      <c r="I266">
        <v>109</v>
      </c>
      <c r="J266">
        <v>109</v>
      </c>
      <c r="K266">
        <v>1</v>
      </c>
      <c r="L266">
        <v>39.9</v>
      </c>
      <c r="M266">
        <v>-6.2</v>
      </c>
      <c r="N266" s="10">
        <v>73300</v>
      </c>
      <c r="O266" s="10">
        <v>-6170</v>
      </c>
      <c r="P266" s="10">
        <v>666</v>
      </c>
      <c r="Q266">
        <v>0</v>
      </c>
      <c r="R266">
        <v>0</v>
      </c>
      <c r="S266" t="s">
        <v>11</v>
      </c>
      <c r="T266" t="s">
        <v>49</v>
      </c>
      <c r="U266" t="s">
        <v>1878</v>
      </c>
      <c r="W266" s="10"/>
    </row>
    <row r="267" spans="1:23" x14ac:dyDescent="0.25">
      <c r="A267">
        <v>131991674</v>
      </c>
      <c r="B267">
        <v>12.2</v>
      </c>
      <c r="C267">
        <v>3</v>
      </c>
      <c r="D267" t="s">
        <v>60</v>
      </c>
      <c r="E267" t="s">
        <v>47</v>
      </c>
      <c r="F267">
        <v>131991674</v>
      </c>
      <c r="G267" t="s">
        <v>324</v>
      </c>
      <c r="H267">
        <v>2628</v>
      </c>
      <c r="I267">
        <v>646</v>
      </c>
      <c r="J267">
        <v>215</v>
      </c>
      <c r="K267">
        <v>8</v>
      </c>
      <c r="L267">
        <v>89.8</v>
      </c>
      <c r="M267">
        <v>-21.9</v>
      </c>
      <c r="N267" s="10">
        <v>181000</v>
      </c>
      <c r="O267" s="10">
        <v>-17500</v>
      </c>
      <c r="P267" s="10">
        <v>3940</v>
      </c>
      <c r="Q267">
        <v>0</v>
      </c>
      <c r="R267">
        <v>0</v>
      </c>
      <c r="S267" t="s">
        <v>11</v>
      </c>
      <c r="T267" t="s">
        <v>49</v>
      </c>
      <c r="U267" t="s">
        <v>1878</v>
      </c>
      <c r="W267" s="10"/>
    </row>
    <row r="268" spans="1:23" x14ac:dyDescent="0.25">
      <c r="A268">
        <v>131991697</v>
      </c>
      <c r="B268">
        <v>9.3000000000000007</v>
      </c>
      <c r="C268">
        <v>2</v>
      </c>
      <c r="D268" t="s">
        <v>54</v>
      </c>
      <c r="E268" t="s">
        <v>47</v>
      </c>
      <c r="F268">
        <v>131991697</v>
      </c>
      <c r="G268" t="s">
        <v>325</v>
      </c>
      <c r="H268">
        <v>2108</v>
      </c>
      <c r="I268">
        <v>453</v>
      </c>
      <c r="J268">
        <v>227</v>
      </c>
      <c r="K268">
        <v>6</v>
      </c>
      <c r="L268">
        <v>94.3</v>
      </c>
      <c r="M268">
        <v>-16.2</v>
      </c>
      <c r="N268" s="10">
        <v>202000</v>
      </c>
      <c r="O268" s="10">
        <v>-21800</v>
      </c>
      <c r="P268" s="10">
        <v>2160</v>
      </c>
      <c r="Q268">
        <v>4.5</v>
      </c>
      <c r="R268">
        <v>6219</v>
      </c>
      <c r="S268" t="s">
        <v>11</v>
      </c>
      <c r="T268" t="s">
        <v>49</v>
      </c>
      <c r="U268" t="s">
        <v>1878</v>
      </c>
      <c r="W268" s="10"/>
    </row>
    <row r="269" spans="1:23" x14ac:dyDescent="0.25">
      <c r="A269">
        <v>131991712</v>
      </c>
      <c r="B269">
        <v>8.6999999999999993</v>
      </c>
      <c r="C269">
        <v>2</v>
      </c>
      <c r="D269" t="s">
        <v>60</v>
      </c>
      <c r="E269" t="s">
        <v>55</v>
      </c>
      <c r="F269">
        <v>131991712</v>
      </c>
      <c r="G269" t="s">
        <v>326</v>
      </c>
      <c r="H269">
        <v>1200</v>
      </c>
      <c r="I269">
        <v>276</v>
      </c>
      <c r="J269">
        <v>138</v>
      </c>
      <c r="K269">
        <v>4</v>
      </c>
      <c r="L269">
        <v>43.1</v>
      </c>
      <c r="M269">
        <v>-12.4</v>
      </c>
      <c r="N269" s="10">
        <v>82800</v>
      </c>
      <c r="O269" s="10">
        <v>-9250</v>
      </c>
      <c r="P269" s="10">
        <v>1680</v>
      </c>
      <c r="Q269">
        <v>0</v>
      </c>
      <c r="R269">
        <v>0</v>
      </c>
      <c r="S269" t="s">
        <v>11</v>
      </c>
      <c r="T269" t="s">
        <v>49</v>
      </c>
      <c r="U269" t="s">
        <v>1878</v>
      </c>
      <c r="W269" s="10"/>
    </row>
    <row r="270" spans="1:23" x14ac:dyDescent="0.25">
      <c r="A270">
        <v>131991724</v>
      </c>
      <c r="B270">
        <v>13.13</v>
      </c>
      <c r="C270">
        <v>3</v>
      </c>
      <c r="D270" t="s">
        <v>60</v>
      </c>
      <c r="E270" t="s">
        <v>51</v>
      </c>
      <c r="F270">
        <v>131991724</v>
      </c>
      <c r="G270" t="s">
        <v>327</v>
      </c>
      <c r="H270">
        <v>2536</v>
      </c>
      <c r="I270">
        <v>580</v>
      </c>
      <c r="J270">
        <v>193</v>
      </c>
      <c r="K270">
        <v>8</v>
      </c>
      <c r="L270">
        <v>51.5</v>
      </c>
      <c r="M270">
        <v>-17.7</v>
      </c>
      <c r="N270" s="10">
        <v>113000</v>
      </c>
      <c r="O270" s="10">
        <v>-12700</v>
      </c>
      <c r="P270" s="10">
        <v>3530</v>
      </c>
      <c r="Q270">
        <v>0</v>
      </c>
      <c r="R270">
        <v>0</v>
      </c>
      <c r="S270" t="s">
        <v>11</v>
      </c>
      <c r="T270" t="s">
        <v>49</v>
      </c>
      <c r="U270" t="s">
        <v>1878</v>
      </c>
      <c r="W270" s="10"/>
    </row>
    <row r="271" spans="1:23" x14ac:dyDescent="0.25">
      <c r="A271">
        <v>131991729</v>
      </c>
      <c r="B271">
        <v>8.3800000000000008</v>
      </c>
      <c r="C271">
        <v>2</v>
      </c>
      <c r="D271" t="s">
        <v>60</v>
      </c>
      <c r="E271" t="s">
        <v>47</v>
      </c>
      <c r="F271">
        <v>131991729</v>
      </c>
      <c r="G271" t="s">
        <v>328</v>
      </c>
      <c r="H271">
        <v>1665</v>
      </c>
      <c r="I271">
        <v>398</v>
      </c>
      <c r="J271">
        <v>199</v>
      </c>
      <c r="K271">
        <v>5</v>
      </c>
      <c r="L271">
        <v>68.3</v>
      </c>
      <c r="M271">
        <v>-13.9</v>
      </c>
      <c r="N271" s="10">
        <v>134000</v>
      </c>
      <c r="O271" s="10">
        <v>-12300</v>
      </c>
      <c r="P271" s="10">
        <v>2420</v>
      </c>
      <c r="Q271">
        <v>0</v>
      </c>
      <c r="R271">
        <v>0</v>
      </c>
      <c r="S271" t="s">
        <v>11</v>
      </c>
      <c r="T271" t="s">
        <v>49</v>
      </c>
      <c r="U271" t="s">
        <v>1878</v>
      </c>
      <c r="W271" s="10"/>
    </row>
    <row r="272" spans="1:23" x14ac:dyDescent="0.25">
      <c r="A272">
        <v>131991731</v>
      </c>
      <c r="B272">
        <v>11.27</v>
      </c>
      <c r="C272">
        <v>3</v>
      </c>
      <c r="D272" t="s">
        <v>54</v>
      </c>
      <c r="E272" t="s">
        <v>47</v>
      </c>
      <c r="F272">
        <v>131991731</v>
      </c>
      <c r="G272" t="s">
        <v>329</v>
      </c>
      <c r="H272">
        <v>2299</v>
      </c>
      <c r="I272">
        <v>612</v>
      </c>
      <c r="J272">
        <v>204</v>
      </c>
      <c r="K272">
        <v>8</v>
      </c>
      <c r="L272">
        <v>107.5</v>
      </c>
      <c r="M272">
        <v>-20.2</v>
      </c>
      <c r="N272" s="10">
        <v>238000</v>
      </c>
      <c r="O272" s="10">
        <v>-26100</v>
      </c>
      <c r="P272" s="10">
        <v>2910</v>
      </c>
      <c r="Q272">
        <v>4.5</v>
      </c>
      <c r="R272">
        <v>6219</v>
      </c>
      <c r="S272" t="s">
        <v>11</v>
      </c>
      <c r="T272" t="s">
        <v>49</v>
      </c>
      <c r="U272" t="s">
        <v>1878</v>
      </c>
      <c r="W272" s="10"/>
    </row>
    <row r="273" spans="1:23" x14ac:dyDescent="0.25">
      <c r="A273">
        <v>131991745</v>
      </c>
      <c r="B273">
        <v>7.5</v>
      </c>
      <c r="C273">
        <v>2</v>
      </c>
      <c r="D273" t="s">
        <v>60</v>
      </c>
      <c r="E273" t="s">
        <v>51</v>
      </c>
      <c r="F273">
        <v>131991745</v>
      </c>
      <c r="G273" t="s">
        <v>330</v>
      </c>
      <c r="H273">
        <v>737</v>
      </c>
      <c r="I273">
        <v>197</v>
      </c>
      <c r="J273">
        <v>99</v>
      </c>
      <c r="K273">
        <v>3</v>
      </c>
      <c r="L273">
        <v>30.2</v>
      </c>
      <c r="M273">
        <v>-8.1999999999999993</v>
      </c>
      <c r="N273" s="10">
        <v>57100</v>
      </c>
      <c r="O273" s="10">
        <v>-6210</v>
      </c>
      <c r="P273" s="10">
        <v>1200</v>
      </c>
      <c r="Q273">
        <v>0</v>
      </c>
      <c r="R273">
        <v>0</v>
      </c>
      <c r="S273" t="s">
        <v>11</v>
      </c>
      <c r="T273" t="s">
        <v>49</v>
      </c>
      <c r="U273" t="s">
        <v>1878</v>
      </c>
      <c r="W273" s="10"/>
    </row>
    <row r="274" spans="1:23" x14ac:dyDescent="0.25">
      <c r="A274">
        <v>131991753</v>
      </c>
      <c r="B274">
        <v>9.93</v>
      </c>
      <c r="C274">
        <v>2</v>
      </c>
      <c r="D274" t="s">
        <v>54</v>
      </c>
      <c r="E274" t="s">
        <v>55</v>
      </c>
      <c r="F274">
        <v>131991753</v>
      </c>
      <c r="G274" t="s">
        <v>331</v>
      </c>
      <c r="H274">
        <v>2856</v>
      </c>
      <c r="I274">
        <v>575</v>
      </c>
      <c r="J274">
        <v>288</v>
      </c>
      <c r="K274">
        <v>7</v>
      </c>
      <c r="L274">
        <v>52.1</v>
      </c>
      <c r="M274">
        <v>-15.5</v>
      </c>
      <c r="N274" s="10">
        <v>148000</v>
      </c>
      <c r="O274" s="10">
        <v>-18800</v>
      </c>
      <c r="P274" s="10">
        <v>2740</v>
      </c>
      <c r="Q274">
        <v>4.5</v>
      </c>
      <c r="R274">
        <v>6219</v>
      </c>
      <c r="S274" t="s">
        <v>11</v>
      </c>
      <c r="T274" t="s">
        <v>49</v>
      </c>
      <c r="U274" t="s">
        <v>1878</v>
      </c>
      <c r="W274" s="10"/>
    </row>
    <row r="275" spans="1:23" x14ac:dyDescent="0.25">
      <c r="A275">
        <v>131991795</v>
      </c>
      <c r="B275">
        <v>9.1</v>
      </c>
      <c r="C275">
        <v>2</v>
      </c>
      <c r="D275" t="s">
        <v>60</v>
      </c>
      <c r="E275" t="s">
        <v>47</v>
      </c>
      <c r="F275">
        <v>131991795</v>
      </c>
      <c r="G275" t="s">
        <v>332</v>
      </c>
      <c r="H275">
        <v>770</v>
      </c>
      <c r="I275">
        <v>169</v>
      </c>
      <c r="J275">
        <v>85</v>
      </c>
      <c r="K275">
        <v>2</v>
      </c>
      <c r="L275">
        <v>44.6</v>
      </c>
      <c r="M275">
        <v>-7.9</v>
      </c>
      <c r="N275" s="10">
        <v>81800</v>
      </c>
      <c r="O275" s="10">
        <v>-6700</v>
      </c>
      <c r="P275" s="10">
        <v>1030</v>
      </c>
      <c r="Q275">
        <v>0</v>
      </c>
      <c r="R275">
        <v>0</v>
      </c>
      <c r="S275" t="s">
        <v>11</v>
      </c>
      <c r="T275" t="s">
        <v>49</v>
      </c>
      <c r="U275" t="s">
        <v>1878</v>
      </c>
      <c r="W275" s="10"/>
    </row>
    <row r="276" spans="1:23" x14ac:dyDescent="0.25">
      <c r="A276">
        <v>131991802</v>
      </c>
      <c r="B276">
        <v>7.5</v>
      </c>
      <c r="C276">
        <v>2</v>
      </c>
      <c r="D276" t="s">
        <v>60</v>
      </c>
      <c r="E276" t="s">
        <v>51</v>
      </c>
      <c r="F276">
        <v>131991802</v>
      </c>
      <c r="G276" t="s">
        <v>333</v>
      </c>
      <c r="H276">
        <v>2071</v>
      </c>
      <c r="I276">
        <v>552</v>
      </c>
      <c r="J276">
        <v>276</v>
      </c>
      <c r="K276">
        <v>7</v>
      </c>
      <c r="L276">
        <v>71.3</v>
      </c>
      <c r="M276">
        <v>-20</v>
      </c>
      <c r="N276" s="10">
        <v>141000</v>
      </c>
      <c r="O276" s="10">
        <v>-14300</v>
      </c>
      <c r="P276" s="10">
        <v>3370</v>
      </c>
      <c r="Q276">
        <v>0</v>
      </c>
      <c r="R276">
        <v>0</v>
      </c>
      <c r="S276" t="s">
        <v>11</v>
      </c>
      <c r="T276" t="s">
        <v>49</v>
      </c>
      <c r="U276" t="s">
        <v>1878</v>
      </c>
      <c r="W276" s="10"/>
    </row>
    <row r="277" spans="1:23" x14ac:dyDescent="0.25">
      <c r="A277">
        <v>131991809</v>
      </c>
      <c r="B277">
        <v>4.05</v>
      </c>
      <c r="C277">
        <v>1</v>
      </c>
      <c r="D277" t="s">
        <v>60</v>
      </c>
      <c r="E277" t="s">
        <v>51</v>
      </c>
      <c r="F277">
        <v>131991809</v>
      </c>
      <c r="G277" t="s">
        <v>334</v>
      </c>
      <c r="H277">
        <v>865</v>
      </c>
      <c r="I277">
        <v>214</v>
      </c>
      <c r="J277">
        <v>214</v>
      </c>
      <c r="K277">
        <v>3</v>
      </c>
      <c r="L277">
        <v>37.4</v>
      </c>
      <c r="M277">
        <v>-8.3000000000000007</v>
      </c>
      <c r="N277" s="10">
        <v>72300</v>
      </c>
      <c r="O277" s="10">
        <v>-6510</v>
      </c>
      <c r="P277" s="10">
        <v>1300</v>
      </c>
      <c r="Q277">
        <v>0</v>
      </c>
      <c r="R277">
        <v>0</v>
      </c>
      <c r="S277" t="s">
        <v>11</v>
      </c>
      <c r="T277" t="s">
        <v>49</v>
      </c>
      <c r="U277" t="s">
        <v>1878</v>
      </c>
      <c r="W277" s="10"/>
    </row>
    <row r="278" spans="1:23" x14ac:dyDescent="0.25">
      <c r="A278">
        <v>131991821</v>
      </c>
      <c r="B278">
        <v>9.7200000000000006</v>
      </c>
      <c r="C278">
        <v>2</v>
      </c>
      <c r="D278" t="s">
        <v>60</v>
      </c>
      <c r="E278" t="s">
        <v>47</v>
      </c>
      <c r="F278">
        <v>131991821</v>
      </c>
      <c r="G278" t="s">
        <v>335</v>
      </c>
      <c r="H278">
        <v>1304</v>
      </c>
      <c r="I278">
        <v>268</v>
      </c>
      <c r="J278">
        <v>134</v>
      </c>
      <c r="K278">
        <v>3</v>
      </c>
      <c r="L278">
        <v>40.1</v>
      </c>
      <c r="M278">
        <v>-9.8000000000000007</v>
      </c>
      <c r="N278" s="10">
        <v>82000</v>
      </c>
      <c r="O278" s="10">
        <v>-8150</v>
      </c>
      <c r="P278" s="10">
        <v>1640</v>
      </c>
      <c r="Q278">
        <v>0</v>
      </c>
      <c r="R278">
        <v>0</v>
      </c>
      <c r="S278" t="s">
        <v>11</v>
      </c>
      <c r="T278" t="s">
        <v>49</v>
      </c>
      <c r="U278" t="s">
        <v>1878</v>
      </c>
      <c r="W278" s="10"/>
    </row>
    <row r="279" spans="1:23" x14ac:dyDescent="0.25">
      <c r="A279">
        <v>131991827</v>
      </c>
      <c r="B279">
        <v>9.65</v>
      </c>
      <c r="C279">
        <v>2</v>
      </c>
      <c r="D279" t="s">
        <v>60</v>
      </c>
      <c r="E279" t="s">
        <v>47</v>
      </c>
      <c r="F279">
        <v>131991827</v>
      </c>
      <c r="G279" t="s">
        <v>336</v>
      </c>
      <c r="H279">
        <v>1005</v>
      </c>
      <c r="I279">
        <v>208</v>
      </c>
      <c r="J279">
        <v>104</v>
      </c>
      <c r="K279">
        <v>3</v>
      </c>
      <c r="L279">
        <v>31.6</v>
      </c>
      <c r="M279">
        <v>-7.3</v>
      </c>
      <c r="N279" s="10">
        <v>64800</v>
      </c>
      <c r="O279" s="10">
        <v>-6180</v>
      </c>
      <c r="P279" s="10">
        <v>1270</v>
      </c>
      <c r="Q279">
        <v>0</v>
      </c>
      <c r="R279">
        <v>0</v>
      </c>
      <c r="S279" t="s">
        <v>11</v>
      </c>
      <c r="T279" t="s">
        <v>49</v>
      </c>
      <c r="U279" t="s">
        <v>1878</v>
      </c>
      <c r="W279" s="10"/>
    </row>
    <row r="280" spans="1:23" x14ac:dyDescent="0.25">
      <c r="A280">
        <v>131991845</v>
      </c>
      <c r="B280">
        <v>10.199999999999999</v>
      </c>
      <c r="C280">
        <v>2</v>
      </c>
      <c r="D280" t="s">
        <v>54</v>
      </c>
      <c r="E280" t="s">
        <v>47</v>
      </c>
      <c r="F280">
        <v>131991845</v>
      </c>
      <c r="G280" t="s">
        <v>337</v>
      </c>
      <c r="H280">
        <v>2211</v>
      </c>
      <c r="I280">
        <v>434</v>
      </c>
      <c r="J280">
        <v>217</v>
      </c>
      <c r="K280">
        <v>6</v>
      </c>
      <c r="L280">
        <v>60.7</v>
      </c>
      <c r="M280">
        <v>-12.4</v>
      </c>
      <c r="N280" s="10">
        <v>148000</v>
      </c>
      <c r="O280" s="10">
        <v>-16800</v>
      </c>
      <c r="P280" s="10">
        <v>2060</v>
      </c>
      <c r="Q280">
        <v>4.5</v>
      </c>
      <c r="R280">
        <v>6219</v>
      </c>
      <c r="S280" t="s">
        <v>11</v>
      </c>
      <c r="T280" t="s">
        <v>49</v>
      </c>
      <c r="U280" t="s">
        <v>1878</v>
      </c>
      <c r="W280" s="10"/>
    </row>
    <row r="281" spans="1:23" x14ac:dyDescent="0.25">
      <c r="A281">
        <v>131991852</v>
      </c>
      <c r="B281">
        <v>8.4</v>
      </c>
      <c r="C281">
        <v>2</v>
      </c>
      <c r="D281" t="s">
        <v>60</v>
      </c>
      <c r="E281" t="s">
        <v>47</v>
      </c>
      <c r="F281">
        <v>131991852</v>
      </c>
      <c r="G281" t="s">
        <v>338</v>
      </c>
      <c r="H281">
        <v>2537</v>
      </c>
      <c r="I281">
        <v>604</v>
      </c>
      <c r="J281">
        <v>302</v>
      </c>
      <c r="K281">
        <v>8</v>
      </c>
      <c r="L281">
        <v>96.1</v>
      </c>
      <c r="M281">
        <v>-21</v>
      </c>
      <c r="N281" s="10">
        <v>194000</v>
      </c>
      <c r="O281" s="10">
        <v>-17200</v>
      </c>
      <c r="P281" s="10">
        <v>3680</v>
      </c>
      <c r="Q281">
        <v>0</v>
      </c>
      <c r="R281">
        <v>0</v>
      </c>
      <c r="S281" t="s">
        <v>11</v>
      </c>
      <c r="T281" t="s">
        <v>49</v>
      </c>
      <c r="U281" t="s">
        <v>1878</v>
      </c>
      <c r="W281" s="10"/>
    </row>
    <row r="282" spans="1:23" x14ac:dyDescent="0.25">
      <c r="A282">
        <v>131991861</v>
      </c>
      <c r="B282">
        <v>4.24</v>
      </c>
      <c r="C282">
        <v>1</v>
      </c>
      <c r="D282" t="s">
        <v>60</v>
      </c>
      <c r="E282" t="s">
        <v>51</v>
      </c>
      <c r="F282">
        <v>131991861</v>
      </c>
      <c r="G282" t="s">
        <v>339</v>
      </c>
      <c r="H282">
        <v>828</v>
      </c>
      <c r="I282">
        <v>195</v>
      </c>
      <c r="J282">
        <v>195</v>
      </c>
      <c r="K282">
        <v>3</v>
      </c>
      <c r="L282">
        <v>35.5</v>
      </c>
      <c r="M282">
        <v>-7.8</v>
      </c>
      <c r="N282" s="10">
        <v>68900</v>
      </c>
      <c r="O282" s="10">
        <v>-5990</v>
      </c>
      <c r="P282" s="10">
        <v>1190</v>
      </c>
      <c r="Q282">
        <v>0</v>
      </c>
      <c r="R282">
        <v>0</v>
      </c>
      <c r="S282" t="s">
        <v>11</v>
      </c>
      <c r="T282" t="s">
        <v>49</v>
      </c>
      <c r="U282" t="s">
        <v>1878</v>
      </c>
      <c r="W282" s="10"/>
    </row>
    <row r="283" spans="1:23" x14ac:dyDescent="0.25">
      <c r="A283">
        <v>131991876</v>
      </c>
      <c r="B283">
        <v>8.52</v>
      </c>
      <c r="C283">
        <v>2</v>
      </c>
      <c r="D283" t="s">
        <v>60</v>
      </c>
      <c r="E283" t="s">
        <v>47</v>
      </c>
      <c r="F283">
        <v>131991876</v>
      </c>
      <c r="G283" t="s">
        <v>340</v>
      </c>
      <c r="H283">
        <v>611</v>
      </c>
      <c r="I283">
        <v>143</v>
      </c>
      <c r="J283">
        <v>72</v>
      </c>
      <c r="K283">
        <v>2</v>
      </c>
      <c r="L283">
        <v>44.5</v>
      </c>
      <c r="M283">
        <v>-7.2</v>
      </c>
      <c r="N283" s="10">
        <v>78400</v>
      </c>
      <c r="O283" s="10">
        <v>-6870</v>
      </c>
      <c r="P283" s="10">
        <v>874</v>
      </c>
      <c r="Q283">
        <v>0</v>
      </c>
      <c r="R283">
        <v>0</v>
      </c>
      <c r="S283" t="s">
        <v>11</v>
      </c>
      <c r="T283" t="s">
        <v>49</v>
      </c>
      <c r="U283" t="s">
        <v>1878</v>
      </c>
      <c r="W283" s="10"/>
    </row>
    <row r="284" spans="1:23" x14ac:dyDescent="0.25">
      <c r="A284">
        <v>131991914</v>
      </c>
      <c r="B284">
        <v>9.5500000000000007</v>
      </c>
      <c r="C284">
        <v>2</v>
      </c>
      <c r="D284" t="s">
        <v>102</v>
      </c>
      <c r="E284" t="s">
        <v>47</v>
      </c>
      <c r="F284">
        <v>131991914</v>
      </c>
      <c r="G284" t="s">
        <v>341</v>
      </c>
      <c r="H284">
        <v>3166</v>
      </c>
      <c r="I284">
        <v>663</v>
      </c>
      <c r="J284">
        <v>332</v>
      </c>
      <c r="K284">
        <v>9</v>
      </c>
      <c r="L284">
        <v>95.7</v>
      </c>
      <c r="M284">
        <v>-18.7</v>
      </c>
      <c r="N284" s="10">
        <v>232000</v>
      </c>
      <c r="O284" s="10">
        <v>-26000</v>
      </c>
      <c r="P284" s="10">
        <v>3160</v>
      </c>
      <c r="Q284">
        <v>0</v>
      </c>
      <c r="R284">
        <v>0</v>
      </c>
      <c r="S284" t="s">
        <v>11</v>
      </c>
      <c r="T284" t="s">
        <v>49</v>
      </c>
      <c r="U284" t="s">
        <v>1878</v>
      </c>
      <c r="W284" s="10"/>
    </row>
    <row r="285" spans="1:23" x14ac:dyDescent="0.25">
      <c r="A285">
        <v>131991920</v>
      </c>
      <c r="B285">
        <v>10.07</v>
      </c>
      <c r="C285">
        <v>2</v>
      </c>
      <c r="D285" t="s">
        <v>60</v>
      </c>
      <c r="E285" t="s">
        <v>47</v>
      </c>
      <c r="F285">
        <v>131991920</v>
      </c>
      <c r="G285" t="s">
        <v>342</v>
      </c>
      <c r="H285">
        <v>2414</v>
      </c>
      <c r="I285">
        <v>480</v>
      </c>
      <c r="J285">
        <v>240</v>
      </c>
      <c r="K285">
        <v>6</v>
      </c>
      <c r="L285">
        <v>107</v>
      </c>
      <c r="M285">
        <v>-20.9</v>
      </c>
      <c r="N285" s="10">
        <v>202000</v>
      </c>
      <c r="O285" s="10">
        <v>-18200</v>
      </c>
      <c r="P285" s="10">
        <v>2920</v>
      </c>
      <c r="Q285">
        <v>0</v>
      </c>
      <c r="R285">
        <v>0</v>
      </c>
      <c r="S285" t="s">
        <v>11</v>
      </c>
      <c r="T285" t="s">
        <v>49</v>
      </c>
      <c r="U285" t="s">
        <v>1878</v>
      </c>
      <c r="W285" s="10"/>
    </row>
    <row r="286" spans="1:23" x14ac:dyDescent="0.25">
      <c r="A286">
        <v>131991945</v>
      </c>
      <c r="B286">
        <v>7.08</v>
      </c>
      <c r="C286">
        <v>2</v>
      </c>
      <c r="D286" t="s">
        <v>60</v>
      </c>
      <c r="E286" t="s">
        <v>47</v>
      </c>
      <c r="F286">
        <v>131991945</v>
      </c>
      <c r="G286" t="s">
        <v>343</v>
      </c>
      <c r="H286">
        <v>1214</v>
      </c>
      <c r="I286">
        <v>343</v>
      </c>
      <c r="J286">
        <v>172</v>
      </c>
      <c r="K286">
        <v>4</v>
      </c>
      <c r="L286">
        <v>64.900000000000006</v>
      </c>
      <c r="M286">
        <v>-12.8</v>
      </c>
      <c r="N286" s="10">
        <v>123000</v>
      </c>
      <c r="O286" s="10">
        <v>-11000</v>
      </c>
      <c r="P286" s="10">
        <v>2090</v>
      </c>
      <c r="Q286">
        <v>0</v>
      </c>
      <c r="R286">
        <v>0</v>
      </c>
      <c r="S286" t="s">
        <v>11</v>
      </c>
      <c r="T286" t="s">
        <v>49</v>
      </c>
      <c r="U286" t="s">
        <v>1878</v>
      </c>
      <c r="W286" s="10"/>
    </row>
    <row r="287" spans="1:23" x14ac:dyDescent="0.25">
      <c r="A287">
        <v>131991968</v>
      </c>
      <c r="B287">
        <v>3.93</v>
      </c>
      <c r="C287">
        <v>1</v>
      </c>
      <c r="D287" t="s">
        <v>54</v>
      </c>
      <c r="E287" t="s">
        <v>47</v>
      </c>
      <c r="F287">
        <v>131991968</v>
      </c>
      <c r="G287" t="s">
        <v>344</v>
      </c>
      <c r="H287">
        <v>538</v>
      </c>
      <c r="I287">
        <v>137</v>
      </c>
      <c r="J287">
        <v>137</v>
      </c>
      <c r="K287">
        <v>2</v>
      </c>
      <c r="L287">
        <v>37.5</v>
      </c>
      <c r="M287">
        <v>-5.3</v>
      </c>
      <c r="N287" s="10">
        <v>76500</v>
      </c>
      <c r="O287" s="10">
        <v>-7180</v>
      </c>
      <c r="P287" s="10">
        <v>653</v>
      </c>
      <c r="Q287">
        <v>4.5</v>
      </c>
      <c r="R287">
        <v>6219</v>
      </c>
      <c r="S287" t="s">
        <v>11</v>
      </c>
      <c r="T287" t="s">
        <v>49</v>
      </c>
      <c r="U287" t="s">
        <v>1878</v>
      </c>
      <c r="W287" s="10"/>
    </row>
    <row r="288" spans="1:23" x14ac:dyDescent="0.25">
      <c r="A288">
        <v>131991978</v>
      </c>
      <c r="B288">
        <v>11.9</v>
      </c>
      <c r="C288">
        <v>3</v>
      </c>
      <c r="D288" t="s">
        <v>60</v>
      </c>
      <c r="E288" t="s">
        <v>47</v>
      </c>
      <c r="F288">
        <v>131991978</v>
      </c>
      <c r="G288" t="s">
        <v>345</v>
      </c>
      <c r="H288">
        <v>2127</v>
      </c>
      <c r="I288">
        <v>536</v>
      </c>
      <c r="J288">
        <v>179</v>
      </c>
      <c r="K288">
        <v>7</v>
      </c>
      <c r="L288">
        <v>98.7</v>
      </c>
      <c r="M288">
        <v>-20.9</v>
      </c>
      <c r="N288" s="10">
        <v>189000</v>
      </c>
      <c r="O288" s="10">
        <v>-17200</v>
      </c>
      <c r="P288" s="10">
        <v>3270</v>
      </c>
      <c r="Q288">
        <v>0</v>
      </c>
      <c r="R288">
        <v>0</v>
      </c>
      <c r="S288" t="s">
        <v>11</v>
      </c>
      <c r="T288" t="s">
        <v>49</v>
      </c>
      <c r="U288" t="s">
        <v>1878</v>
      </c>
      <c r="W288" s="10"/>
    </row>
    <row r="289" spans="1:23" x14ac:dyDescent="0.25">
      <c r="A289">
        <v>131991982</v>
      </c>
      <c r="B289">
        <v>12.2</v>
      </c>
      <c r="C289">
        <v>3</v>
      </c>
      <c r="D289" t="s">
        <v>54</v>
      </c>
      <c r="E289" t="s">
        <v>51</v>
      </c>
      <c r="F289">
        <v>131991982</v>
      </c>
      <c r="G289" t="s">
        <v>346</v>
      </c>
      <c r="H289">
        <v>1886</v>
      </c>
      <c r="I289">
        <v>464</v>
      </c>
      <c r="J289">
        <v>155</v>
      </c>
      <c r="K289">
        <v>6</v>
      </c>
      <c r="L289">
        <v>46.4</v>
      </c>
      <c r="M289">
        <v>-14.2</v>
      </c>
      <c r="N289" s="10">
        <v>123000</v>
      </c>
      <c r="O289" s="10">
        <v>-17300</v>
      </c>
      <c r="P289" s="10">
        <v>2210</v>
      </c>
      <c r="Q289">
        <v>4.5</v>
      </c>
      <c r="R289">
        <v>6219</v>
      </c>
      <c r="S289" t="s">
        <v>11</v>
      </c>
      <c r="T289" t="s">
        <v>49</v>
      </c>
      <c r="U289" t="s">
        <v>1878</v>
      </c>
      <c r="W289" s="10"/>
    </row>
    <row r="290" spans="1:23" x14ac:dyDescent="0.25">
      <c r="A290">
        <v>131991988</v>
      </c>
      <c r="B290">
        <v>6.95</v>
      </c>
      <c r="C290">
        <v>1</v>
      </c>
      <c r="D290" t="s">
        <v>60</v>
      </c>
      <c r="E290" t="s">
        <v>55</v>
      </c>
      <c r="F290">
        <v>131991988</v>
      </c>
      <c r="G290" t="s">
        <v>347</v>
      </c>
      <c r="H290">
        <v>2394</v>
      </c>
      <c r="I290">
        <v>344</v>
      </c>
      <c r="J290">
        <v>344</v>
      </c>
      <c r="K290">
        <v>4</v>
      </c>
      <c r="L290">
        <v>84.8</v>
      </c>
      <c r="M290">
        <v>-21</v>
      </c>
      <c r="N290" s="10">
        <v>164000</v>
      </c>
      <c r="O290" s="10">
        <v>-17300</v>
      </c>
      <c r="P290" s="10">
        <v>2100</v>
      </c>
      <c r="Q290">
        <v>0</v>
      </c>
      <c r="R290">
        <v>0</v>
      </c>
      <c r="S290" t="s">
        <v>11</v>
      </c>
      <c r="T290" t="s">
        <v>49</v>
      </c>
      <c r="U290" t="s">
        <v>1878</v>
      </c>
      <c r="W290" s="10"/>
    </row>
    <row r="291" spans="1:23" x14ac:dyDescent="0.25">
      <c r="A291">
        <v>131991992</v>
      </c>
      <c r="B291">
        <v>8.73</v>
      </c>
      <c r="C291">
        <v>2</v>
      </c>
      <c r="D291" t="s">
        <v>102</v>
      </c>
      <c r="E291" t="s">
        <v>47</v>
      </c>
      <c r="F291">
        <v>131991992</v>
      </c>
      <c r="G291" t="s">
        <v>348</v>
      </c>
      <c r="H291">
        <v>2023</v>
      </c>
      <c r="I291">
        <v>463</v>
      </c>
      <c r="J291">
        <v>232</v>
      </c>
      <c r="K291">
        <v>6</v>
      </c>
      <c r="L291">
        <v>66.599999999999994</v>
      </c>
      <c r="M291">
        <v>-12.7</v>
      </c>
      <c r="N291" s="10">
        <v>162000</v>
      </c>
      <c r="O291" s="10">
        <v>-18200</v>
      </c>
      <c r="P291" s="10">
        <v>2200</v>
      </c>
      <c r="Q291">
        <v>0</v>
      </c>
      <c r="R291">
        <v>0</v>
      </c>
      <c r="S291" t="s">
        <v>11</v>
      </c>
      <c r="T291" t="s">
        <v>49</v>
      </c>
      <c r="U291" t="s">
        <v>1878</v>
      </c>
      <c r="W291" s="10"/>
    </row>
    <row r="292" spans="1:23" x14ac:dyDescent="0.25">
      <c r="A292">
        <v>131991999</v>
      </c>
      <c r="B292">
        <v>12.17</v>
      </c>
      <c r="C292">
        <v>3</v>
      </c>
      <c r="D292" t="s">
        <v>60</v>
      </c>
      <c r="E292" t="s">
        <v>51</v>
      </c>
      <c r="F292">
        <v>131991999</v>
      </c>
      <c r="G292" t="s">
        <v>349</v>
      </c>
      <c r="H292">
        <v>2233</v>
      </c>
      <c r="I292">
        <v>551</v>
      </c>
      <c r="J292">
        <v>184</v>
      </c>
      <c r="K292">
        <v>7</v>
      </c>
      <c r="L292">
        <v>65.2</v>
      </c>
      <c r="M292">
        <v>-20.5</v>
      </c>
      <c r="N292" s="10">
        <v>131000</v>
      </c>
      <c r="O292" s="10">
        <v>-14200</v>
      </c>
      <c r="P292" s="10">
        <v>3360</v>
      </c>
      <c r="Q292">
        <v>0</v>
      </c>
      <c r="R292">
        <v>0</v>
      </c>
      <c r="S292" t="s">
        <v>11</v>
      </c>
      <c r="T292" t="s">
        <v>49</v>
      </c>
      <c r="U292" t="s">
        <v>1878</v>
      </c>
      <c r="W292" s="10"/>
    </row>
    <row r="293" spans="1:23" x14ac:dyDescent="0.25">
      <c r="A293">
        <v>131992004</v>
      </c>
      <c r="B293">
        <v>4.1500000000000004</v>
      </c>
      <c r="C293">
        <v>1</v>
      </c>
      <c r="D293" t="s">
        <v>54</v>
      </c>
      <c r="E293" t="s">
        <v>47</v>
      </c>
      <c r="F293">
        <v>131992004</v>
      </c>
      <c r="G293" t="s">
        <v>350</v>
      </c>
      <c r="H293">
        <v>625</v>
      </c>
      <c r="I293">
        <v>151</v>
      </c>
      <c r="J293">
        <v>151</v>
      </c>
      <c r="K293">
        <v>2</v>
      </c>
      <c r="L293">
        <v>43.9</v>
      </c>
      <c r="M293">
        <v>-6.1</v>
      </c>
      <c r="N293" s="10">
        <v>88700</v>
      </c>
      <c r="O293" s="10">
        <v>-8260</v>
      </c>
      <c r="P293" s="10">
        <v>717</v>
      </c>
      <c r="Q293">
        <v>4.5</v>
      </c>
      <c r="R293">
        <v>6219</v>
      </c>
      <c r="S293" t="s">
        <v>11</v>
      </c>
      <c r="T293" t="s">
        <v>49</v>
      </c>
      <c r="U293" t="s">
        <v>1878</v>
      </c>
      <c r="W293" s="10"/>
    </row>
    <row r="294" spans="1:23" x14ac:dyDescent="0.25">
      <c r="A294">
        <v>131996454</v>
      </c>
      <c r="B294">
        <v>6.63</v>
      </c>
      <c r="C294">
        <v>1</v>
      </c>
      <c r="D294" t="s">
        <v>60</v>
      </c>
      <c r="E294" t="s">
        <v>47</v>
      </c>
      <c r="F294">
        <v>131996454</v>
      </c>
      <c r="G294" t="s">
        <v>351</v>
      </c>
      <c r="H294">
        <v>1747</v>
      </c>
      <c r="I294">
        <v>264</v>
      </c>
      <c r="J294">
        <v>264</v>
      </c>
      <c r="K294">
        <v>3</v>
      </c>
      <c r="L294">
        <v>76.599999999999994</v>
      </c>
      <c r="M294">
        <v>-13.6</v>
      </c>
      <c r="N294" s="10">
        <v>146000</v>
      </c>
      <c r="O294" s="10">
        <v>-12700</v>
      </c>
      <c r="P294" s="10">
        <v>1610</v>
      </c>
      <c r="Q294">
        <v>0</v>
      </c>
      <c r="R294">
        <v>0</v>
      </c>
      <c r="S294" t="s">
        <v>11</v>
      </c>
      <c r="T294" t="s">
        <v>49</v>
      </c>
      <c r="U294" t="s">
        <v>1878</v>
      </c>
      <c r="W294" s="10"/>
    </row>
    <row r="295" spans="1:23" x14ac:dyDescent="0.25">
      <c r="A295">
        <v>131996478</v>
      </c>
      <c r="B295">
        <v>5</v>
      </c>
      <c r="C295">
        <v>1</v>
      </c>
      <c r="D295" t="s">
        <v>60</v>
      </c>
      <c r="E295" t="s">
        <v>80</v>
      </c>
      <c r="F295">
        <v>131996478</v>
      </c>
      <c r="G295" t="s">
        <v>352</v>
      </c>
      <c r="H295">
        <v>515</v>
      </c>
      <c r="I295">
        <v>103</v>
      </c>
      <c r="J295">
        <v>103</v>
      </c>
      <c r="K295">
        <v>1</v>
      </c>
      <c r="L295">
        <v>31.2</v>
      </c>
      <c r="M295">
        <v>-5.9</v>
      </c>
      <c r="N295" s="10">
        <v>57900</v>
      </c>
      <c r="O295" s="10">
        <v>-5320</v>
      </c>
      <c r="P295" s="10">
        <v>628</v>
      </c>
      <c r="Q295">
        <v>0</v>
      </c>
      <c r="R295">
        <v>0</v>
      </c>
      <c r="S295" t="s">
        <v>11</v>
      </c>
      <c r="T295" t="s">
        <v>49</v>
      </c>
      <c r="U295" t="s">
        <v>1878</v>
      </c>
      <c r="W295" s="10"/>
    </row>
    <row r="296" spans="1:23" x14ac:dyDescent="0.25">
      <c r="A296">
        <v>131996492</v>
      </c>
      <c r="B296">
        <v>11.17</v>
      </c>
      <c r="C296">
        <v>3</v>
      </c>
      <c r="D296" t="s">
        <v>60</v>
      </c>
      <c r="E296" t="s">
        <v>55</v>
      </c>
      <c r="F296">
        <v>131996492</v>
      </c>
      <c r="G296" t="s">
        <v>353</v>
      </c>
      <c r="H296">
        <v>5456</v>
      </c>
      <c r="I296">
        <v>1466</v>
      </c>
      <c r="J296">
        <v>489</v>
      </c>
      <c r="K296">
        <v>19</v>
      </c>
      <c r="L296">
        <v>113.6</v>
      </c>
      <c r="M296">
        <v>-41.7</v>
      </c>
      <c r="N296" s="10">
        <v>253000</v>
      </c>
      <c r="O296" s="10">
        <v>-28200</v>
      </c>
      <c r="P296" s="10">
        <v>8940</v>
      </c>
      <c r="Q296">
        <v>0</v>
      </c>
      <c r="R296">
        <v>0</v>
      </c>
      <c r="S296" t="s">
        <v>11</v>
      </c>
      <c r="T296" t="s">
        <v>49</v>
      </c>
      <c r="U296" t="s">
        <v>1878</v>
      </c>
      <c r="W296" s="10"/>
    </row>
    <row r="297" spans="1:23" x14ac:dyDescent="0.25">
      <c r="A297">
        <v>131996525</v>
      </c>
      <c r="B297">
        <v>8.9700000000000006</v>
      </c>
      <c r="C297">
        <v>2</v>
      </c>
      <c r="D297" t="s">
        <v>60</v>
      </c>
      <c r="E297" t="s">
        <v>51</v>
      </c>
      <c r="F297">
        <v>131996525</v>
      </c>
      <c r="G297" t="s">
        <v>354</v>
      </c>
      <c r="H297">
        <v>2074</v>
      </c>
      <c r="I297">
        <v>463</v>
      </c>
      <c r="J297">
        <v>232</v>
      </c>
      <c r="K297">
        <v>6</v>
      </c>
      <c r="L297">
        <v>61.3</v>
      </c>
      <c r="M297">
        <v>-17.5</v>
      </c>
      <c r="N297" s="10">
        <v>123000</v>
      </c>
      <c r="O297" s="10">
        <v>-12300</v>
      </c>
      <c r="P297" s="10">
        <v>2820</v>
      </c>
      <c r="Q297">
        <v>0</v>
      </c>
      <c r="R297">
        <v>0</v>
      </c>
      <c r="S297" t="s">
        <v>11</v>
      </c>
      <c r="T297" t="s">
        <v>49</v>
      </c>
      <c r="U297" t="s">
        <v>1878</v>
      </c>
      <c r="W297" s="10"/>
    </row>
    <row r="298" spans="1:23" x14ac:dyDescent="0.25">
      <c r="A298">
        <v>131996559</v>
      </c>
      <c r="B298">
        <v>4.97</v>
      </c>
      <c r="C298">
        <v>1</v>
      </c>
      <c r="D298" t="s">
        <v>60</v>
      </c>
      <c r="E298" t="s">
        <v>47</v>
      </c>
      <c r="F298">
        <v>131996559</v>
      </c>
      <c r="G298" t="s">
        <v>355</v>
      </c>
      <c r="H298">
        <v>562</v>
      </c>
      <c r="I298">
        <v>113</v>
      </c>
      <c r="J298">
        <v>113</v>
      </c>
      <c r="K298">
        <v>1</v>
      </c>
      <c r="L298">
        <v>47.1</v>
      </c>
      <c r="M298">
        <v>-7</v>
      </c>
      <c r="N298" s="10">
        <v>85700</v>
      </c>
      <c r="O298" s="10">
        <v>-6630</v>
      </c>
      <c r="P298" s="10">
        <v>689</v>
      </c>
      <c r="Q298">
        <v>0</v>
      </c>
      <c r="R298">
        <v>0</v>
      </c>
      <c r="S298" t="s">
        <v>11</v>
      </c>
      <c r="T298" t="s">
        <v>49</v>
      </c>
      <c r="U298" t="s">
        <v>1878</v>
      </c>
      <c r="W298" s="10"/>
    </row>
    <row r="299" spans="1:23" x14ac:dyDescent="0.25">
      <c r="A299">
        <v>131996561</v>
      </c>
      <c r="B299">
        <v>3.62</v>
      </c>
      <c r="C299">
        <v>1</v>
      </c>
      <c r="D299" t="s">
        <v>60</v>
      </c>
      <c r="E299" t="s">
        <v>47</v>
      </c>
      <c r="F299">
        <v>131996561</v>
      </c>
      <c r="G299" t="s">
        <v>356</v>
      </c>
      <c r="H299">
        <v>432</v>
      </c>
      <c r="I299">
        <v>119</v>
      </c>
      <c r="J299">
        <v>119</v>
      </c>
      <c r="K299">
        <v>2</v>
      </c>
      <c r="L299">
        <v>32.6</v>
      </c>
      <c r="M299">
        <v>-5.3</v>
      </c>
      <c r="N299" s="10">
        <v>59900</v>
      </c>
      <c r="O299" s="10">
        <v>-4810</v>
      </c>
      <c r="P299" s="10">
        <v>727</v>
      </c>
      <c r="Q299">
        <v>0</v>
      </c>
      <c r="R299">
        <v>0</v>
      </c>
      <c r="S299" t="s">
        <v>11</v>
      </c>
      <c r="T299" t="s">
        <v>49</v>
      </c>
      <c r="U299" t="s">
        <v>1878</v>
      </c>
      <c r="W299" s="10"/>
    </row>
    <row r="300" spans="1:23" x14ac:dyDescent="0.25">
      <c r="A300">
        <v>131996563</v>
      </c>
      <c r="B300">
        <v>4.3</v>
      </c>
      <c r="C300">
        <v>1</v>
      </c>
      <c r="D300" t="s">
        <v>310</v>
      </c>
      <c r="E300" t="s">
        <v>80</v>
      </c>
      <c r="F300">
        <v>131996563</v>
      </c>
      <c r="G300" t="s">
        <v>357</v>
      </c>
      <c r="H300">
        <v>3208</v>
      </c>
      <c r="I300">
        <v>746</v>
      </c>
      <c r="J300">
        <v>746</v>
      </c>
      <c r="K300">
        <v>10</v>
      </c>
      <c r="L300">
        <v>143.4</v>
      </c>
      <c r="M300">
        <v>-27.5</v>
      </c>
      <c r="N300" s="10">
        <v>306000</v>
      </c>
      <c r="O300" s="10">
        <v>-37900</v>
      </c>
      <c r="P300" s="10">
        <v>30800</v>
      </c>
      <c r="Q300">
        <v>0</v>
      </c>
      <c r="R300">
        <v>0</v>
      </c>
      <c r="S300" t="s">
        <v>11</v>
      </c>
      <c r="T300" t="s">
        <v>49</v>
      </c>
      <c r="U300" t="s">
        <v>1878</v>
      </c>
      <c r="W300" s="10"/>
    </row>
    <row r="301" spans="1:23" x14ac:dyDescent="0.25">
      <c r="A301">
        <v>131996579</v>
      </c>
      <c r="B301">
        <v>16.53</v>
      </c>
      <c r="C301">
        <v>4</v>
      </c>
      <c r="D301" t="s">
        <v>60</v>
      </c>
      <c r="E301" t="s">
        <v>51</v>
      </c>
      <c r="F301">
        <v>131996579</v>
      </c>
      <c r="G301" t="s">
        <v>358</v>
      </c>
      <c r="H301">
        <v>11160</v>
      </c>
      <c r="I301">
        <v>2700</v>
      </c>
      <c r="J301">
        <v>675</v>
      </c>
      <c r="K301">
        <v>35</v>
      </c>
      <c r="L301">
        <v>239.4</v>
      </c>
      <c r="M301">
        <v>-86.5</v>
      </c>
      <c r="N301" s="10">
        <v>520000</v>
      </c>
      <c r="O301" s="10">
        <v>-58200</v>
      </c>
      <c r="P301" s="10">
        <v>16500</v>
      </c>
      <c r="Q301">
        <v>0</v>
      </c>
      <c r="R301">
        <v>0</v>
      </c>
      <c r="S301" t="s">
        <v>11</v>
      </c>
      <c r="T301" t="s">
        <v>49</v>
      </c>
      <c r="U301" t="s">
        <v>1878</v>
      </c>
      <c r="W301" s="10"/>
    </row>
    <row r="302" spans="1:23" x14ac:dyDescent="0.25">
      <c r="A302">
        <v>131996582</v>
      </c>
      <c r="B302">
        <v>10.9</v>
      </c>
      <c r="C302">
        <v>3</v>
      </c>
      <c r="D302" t="s">
        <v>60</v>
      </c>
      <c r="E302" t="s">
        <v>55</v>
      </c>
      <c r="F302">
        <v>131996582</v>
      </c>
      <c r="G302" t="s">
        <v>359</v>
      </c>
      <c r="H302">
        <v>2736</v>
      </c>
      <c r="I302">
        <v>753</v>
      </c>
      <c r="J302">
        <v>251</v>
      </c>
      <c r="K302">
        <v>10</v>
      </c>
      <c r="L302">
        <v>69.2</v>
      </c>
      <c r="M302">
        <v>-23.4</v>
      </c>
      <c r="N302" s="10">
        <v>146000</v>
      </c>
      <c r="O302" s="10">
        <v>-15800</v>
      </c>
      <c r="P302" s="10">
        <v>4590</v>
      </c>
      <c r="Q302">
        <v>0</v>
      </c>
      <c r="R302">
        <v>0</v>
      </c>
      <c r="S302" t="s">
        <v>11</v>
      </c>
      <c r="T302" t="s">
        <v>49</v>
      </c>
      <c r="U302" t="s">
        <v>1878</v>
      </c>
      <c r="W302" s="10"/>
    </row>
    <row r="303" spans="1:23" x14ac:dyDescent="0.25">
      <c r="A303">
        <v>131996594</v>
      </c>
      <c r="B303">
        <v>4.97</v>
      </c>
      <c r="C303">
        <v>1</v>
      </c>
      <c r="D303" t="s">
        <v>60</v>
      </c>
      <c r="E303" t="s">
        <v>47</v>
      </c>
      <c r="F303">
        <v>131996594</v>
      </c>
      <c r="G303" t="s">
        <v>360</v>
      </c>
      <c r="H303">
        <v>443</v>
      </c>
      <c r="I303">
        <v>89</v>
      </c>
      <c r="J303">
        <v>89</v>
      </c>
      <c r="K303">
        <v>1</v>
      </c>
      <c r="L303">
        <v>34.5</v>
      </c>
      <c r="M303">
        <v>-5.2</v>
      </c>
      <c r="N303" s="10">
        <v>62900</v>
      </c>
      <c r="O303" s="10">
        <v>-4870</v>
      </c>
      <c r="P303" s="10">
        <v>543</v>
      </c>
      <c r="Q303">
        <v>0</v>
      </c>
      <c r="R303">
        <v>0</v>
      </c>
      <c r="S303" t="s">
        <v>11</v>
      </c>
      <c r="T303" t="s">
        <v>49</v>
      </c>
      <c r="U303" t="s">
        <v>1878</v>
      </c>
      <c r="W303" s="10"/>
    </row>
    <row r="304" spans="1:23" x14ac:dyDescent="0.25">
      <c r="A304">
        <v>131996629</v>
      </c>
      <c r="B304">
        <v>8.1300000000000008</v>
      </c>
      <c r="C304">
        <v>2</v>
      </c>
      <c r="D304" t="s">
        <v>60</v>
      </c>
      <c r="E304" t="s">
        <v>47</v>
      </c>
      <c r="F304">
        <v>131996629</v>
      </c>
      <c r="G304" t="s">
        <v>361</v>
      </c>
      <c r="H304">
        <v>928</v>
      </c>
      <c r="I304">
        <v>228</v>
      </c>
      <c r="J304">
        <v>114</v>
      </c>
      <c r="K304">
        <v>3</v>
      </c>
      <c r="L304">
        <v>39.799999999999997</v>
      </c>
      <c r="M304">
        <v>-8.1999999999999993</v>
      </c>
      <c r="N304" s="10">
        <v>77400</v>
      </c>
      <c r="O304" s="10">
        <v>-7000</v>
      </c>
      <c r="P304" s="10">
        <v>1390</v>
      </c>
      <c r="Q304">
        <v>0</v>
      </c>
      <c r="R304">
        <v>0</v>
      </c>
      <c r="S304" t="s">
        <v>11</v>
      </c>
      <c r="T304" t="s">
        <v>49</v>
      </c>
      <c r="U304" t="s">
        <v>1878</v>
      </c>
      <c r="W304" s="10"/>
    </row>
    <row r="305" spans="1:23" x14ac:dyDescent="0.25">
      <c r="A305">
        <v>131996635</v>
      </c>
      <c r="B305">
        <v>12.2</v>
      </c>
      <c r="C305">
        <v>3</v>
      </c>
      <c r="D305" t="s">
        <v>60</v>
      </c>
      <c r="E305" t="s">
        <v>55</v>
      </c>
      <c r="F305">
        <v>131996635</v>
      </c>
      <c r="G305" t="s">
        <v>362</v>
      </c>
      <c r="H305">
        <v>1357</v>
      </c>
      <c r="I305">
        <v>334</v>
      </c>
      <c r="J305">
        <v>111</v>
      </c>
      <c r="K305">
        <v>4</v>
      </c>
      <c r="L305">
        <v>43</v>
      </c>
      <c r="M305">
        <v>-14.1</v>
      </c>
      <c r="N305" s="10">
        <v>83600</v>
      </c>
      <c r="O305" s="10">
        <v>-10500</v>
      </c>
      <c r="P305" s="10">
        <v>2030</v>
      </c>
      <c r="Q305">
        <v>0</v>
      </c>
      <c r="R305">
        <v>0</v>
      </c>
      <c r="S305" t="s">
        <v>11</v>
      </c>
      <c r="T305" t="s">
        <v>49</v>
      </c>
      <c r="U305" t="s">
        <v>1878</v>
      </c>
      <c r="W305" s="10"/>
    </row>
    <row r="306" spans="1:23" x14ac:dyDescent="0.25">
      <c r="A306">
        <v>131996654</v>
      </c>
      <c r="B306">
        <v>7.73</v>
      </c>
      <c r="C306">
        <v>2</v>
      </c>
      <c r="D306" t="s">
        <v>60</v>
      </c>
      <c r="E306" t="s">
        <v>47</v>
      </c>
      <c r="F306">
        <v>131996654</v>
      </c>
      <c r="G306" t="s">
        <v>363</v>
      </c>
      <c r="H306">
        <v>885</v>
      </c>
      <c r="I306">
        <v>229</v>
      </c>
      <c r="J306">
        <v>115</v>
      </c>
      <c r="K306">
        <v>3</v>
      </c>
      <c r="L306">
        <v>58.5</v>
      </c>
      <c r="M306">
        <v>-10.3</v>
      </c>
      <c r="N306" s="10">
        <v>105000</v>
      </c>
      <c r="O306" s="10">
        <v>-9040</v>
      </c>
      <c r="P306" s="10">
        <v>1400</v>
      </c>
      <c r="Q306">
        <v>0</v>
      </c>
      <c r="R306">
        <v>0</v>
      </c>
      <c r="S306" t="s">
        <v>11</v>
      </c>
      <c r="T306" t="s">
        <v>49</v>
      </c>
      <c r="U306" t="s">
        <v>1878</v>
      </c>
      <c r="W306" s="10"/>
    </row>
    <row r="307" spans="1:23" x14ac:dyDescent="0.25">
      <c r="A307">
        <v>131996667</v>
      </c>
      <c r="B307">
        <v>8.35</v>
      </c>
      <c r="C307">
        <v>2</v>
      </c>
      <c r="D307" t="s">
        <v>60</v>
      </c>
      <c r="E307" t="s">
        <v>51</v>
      </c>
      <c r="F307">
        <v>131996667</v>
      </c>
      <c r="G307" t="s">
        <v>364</v>
      </c>
      <c r="H307">
        <v>1888</v>
      </c>
      <c r="I307">
        <v>452</v>
      </c>
      <c r="J307">
        <v>226</v>
      </c>
      <c r="K307">
        <v>6</v>
      </c>
      <c r="L307">
        <v>64.2</v>
      </c>
      <c r="M307">
        <v>-17.8</v>
      </c>
      <c r="N307" s="10">
        <v>126000</v>
      </c>
      <c r="O307" s="10">
        <v>-13100</v>
      </c>
      <c r="P307" s="10">
        <v>2760</v>
      </c>
      <c r="Q307">
        <v>0</v>
      </c>
      <c r="R307">
        <v>0</v>
      </c>
      <c r="S307" t="s">
        <v>11</v>
      </c>
      <c r="T307" t="s">
        <v>49</v>
      </c>
      <c r="U307" t="s">
        <v>1878</v>
      </c>
      <c r="W307" s="10"/>
    </row>
    <row r="308" spans="1:23" x14ac:dyDescent="0.25">
      <c r="A308">
        <v>131996671</v>
      </c>
      <c r="B308">
        <v>2.97</v>
      </c>
      <c r="C308">
        <v>1</v>
      </c>
      <c r="D308" t="s">
        <v>54</v>
      </c>
      <c r="E308" t="s">
        <v>51</v>
      </c>
      <c r="F308">
        <v>131996671</v>
      </c>
      <c r="G308" t="s">
        <v>365</v>
      </c>
      <c r="H308">
        <v>474</v>
      </c>
      <c r="I308">
        <v>160</v>
      </c>
      <c r="J308">
        <v>160</v>
      </c>
      <c r="K308">
        <v>2</v>
      </c>
      <c r="L308">
        <v>25.1</v>
      </c>
      <c r="M308">
        <v>-5</v>
      </c>
      <c r="N308" s="10">
        <v>58100</v>
      </c>
      <c r="O308" s="10">
        <v>-6330</v>
      </c>
      <c r="P308" s="10">
        <v>760</v>
      </c>
      <c r="Q308">
        <v>4.5</v>
      </c>
      <c r="R308">
        <v>6219</v>
      </c>
      <c r="S308" t="s">
        <v>11</v>
      </c>
      <c r="T308" t="s">
        <v>49</v>
      </c>
      <c r="U308" t="s">
        <v>1878</v>
      </c>
      <c r="W308" s="10"/>
    </row>
    <row r="309" spans="1:23" x14ac:dyDescent="0.25">
      <c r="A309">
        <v>131996679</v>
      </c>
      <c r="B309">
        <v>9.4</v>
      </c>
      <c r="C309">
        <v>2</v>
      </c>
      <c r="D309" t="s">
        <v>60</v>
      </c>
      <c r="E309" t="s">
        <v>47</v>
      </c>
      <c r="F309">
        <v>131996679</v>
      </c>
      <c r="G309" t="s">
        <v>366</v>
      </c>
      <c r="H309">
        <v>3024</v>
      </c>
      <c r="I309">
        <v>643</v>
      </c>
      <c r="J309">
        <v>322</v>
      </c>
      <c r="K309">
        <v>8</v>
      </c>
      <c r="L309">
        <v>147.6</v>
      </c>
      <c r="M309">
        <v>-28.3</v>
      </c>
      <c r="N309" s="10">
        <v>276000</v>
      </c>
      <c r="O309" s="10">
        <v>-25200</v>
      </c>
      <c r="P309" s="10">
        <v>3920</v>
      </c>
      <c r="Q309">
        <v>0</v>
      </c>
      <c r="R309">
        <v>0</v>
      </c>
      <c r="S309" t="s">
        <v>11</v>
      </c>
      <c r="T309" t="s">
        <v>49</v>
      </c>
      <c r="U309" t="s">
        <v>1878</v>
      </c>
      <c r="W309" s="10"/>
    </row>
    <row r="310" spans="1:23" x14ac:dyDescent="0.25">
      <c r="A310">
        <v>131996706</v>
      </c>
      <c r="B310">
        <v>8.57</v>
      </c>
      <c r="C310">
        <v>2</v>
      </c>
      <c r="D310" t="s">
        <v>54</v>
      </c>
      <c r="E310" t="s">
        <v>47</v>
      </c>
      <c r="F310">
        <v>131996706</v>
      </c>
      <c r="G310" t="s">
        <v>367</v>
      </c>
      <c r="H310">
        <v>2153</v>
      </c>
      <c r="I310">
        <v>503</v>
      </c>
      <c r="J310">
        <v>252</v>
      </c>
      <c r="K310">
        <v>7</v>
      </c>
      <c r="L310">
        <v>67.400000000000006</v>
      </c>
      <c r="M310">
        <v>-13.5</v>
      </c>
      <c r="N310" s="10">
        <v>167000</v>
      </c>
      <c r="O310" s="10">
        <v>-18700</v>
      </c>
      <c r="P310" s="10">
        <v>2390</v>
      </c>
      <c r="Q310">
        <v>4.5</v>
      </c>
      <c r="R310">
        <v>6219</v>
      </c>
      <c r="S310" t="s">
        <v>11</v>
      </c>
      <c r="T310" t="s">
        <v>49</v>
      </c>
      <c r="U310" t="s">
        <v>1878</v>
      </c>
      <c r="W310" s="10"/>
    </row>
    <row r="311" spans="1:23" x14ac:dyDescent="0.25">
      <c r="A311">
        <v>131996719</v>
      </c>
      <c r="B311">
        <v>9.43</v>
      </c>
      <c r="C311">
        <v>2</v>
      </c>
      <c r="D311" t="s">
        <v>60</v>
      </c>
      <c r="E311" t="s">
        <v>47</v>
      </c>
      <c r="F311">
        <v>131996719</v>
      </c>
      <c r="G311" t="s">
        <v>368</v>
      </c>
      <c r="H311">
        <v>2295</v>
      </c>
      <c r="I311">
        <v>487</v>
      </c>
      <c r="J311">
        <v>244</v>
      </c>
      <c r="K311">
        <v>6</v>
      </c>
      <c r="L311">
        <v>114.4</v>
      </c>
      <c r="M311">
        <v>-21.7</v>
      </c>
      <c r="N311" s="10">
        <v>213000</v>
      </c>
      <c r="O311" s="10">
        <v>-19200</v>
      </c>
      <c r="P311" s="10">
        <v>2970</v>
      </c>
      <c r="Q311">
        <v>0</v>
      </c>
      <c r="R311">
        <v>0</v>
      </c>
      <c r="S311" t="s">
        <v>11</v>
      </c>
      <c r="T311" t="s">
        <v>49</v>
      </c>
      <c r="U311" t="s">
        <v>1878</v>
      </c>
      <c r="W311" s="10"/>
    </row>
    <row r="312" spans="1:23" x14ac:dyDescent="0.25">
      <c r="A312">
        <v>131996747</v>
      </c>
      <c r="B312">
        <v>7.6</v>
      </c>
      <c r="C312">
        <v>2</v>
      </c>
      <c r="D312" t="s">
        <v>369</v>
      </c>
      <c r="E312" t="s">
        <v>51</v>
      </c>
      <c r="F312">
        <v>131996747</v>
      </c>
      <c r="G312" t="s">
        <v>370</v>
      </c>
      <c r="H312">
        <v>3955</v>
      </c>
      <c r="I312">
        <v>1041</v>
      </c>
      <c r="J312">
        <v>521</v>
      </c>
      <c r="K312">
        <v>14</v>
      </c>
      <c r="L312">
        <v>100.2</v>
      </c>
      <c r="M312">
        <v>-27.2</v>
      </c>
      <c r="N312" s="10">
        <v>276000</v>
      </c>
      <c r="O312" s="10">
        <v>-35400</v>
      </c>
      <c r="P312" s="10">
        <v>4950</v>
      </c>
      <c r="Q312">
        <v>8</v>
      </c>
      <c r="R312">
        <v>11056</v>
      </c>
      <c r="S312" t="s">
        <v>11</v>
      </c>
      <c r="T312" t="s">
        <v>49</v>
      </c>
      <c r="U312" t="s">
        <v>1878</v>
      </c>
      <c r="W312" s="10"/>
    </row>
    <row r="313" spans="1:23" x14ac:dyDescent="0.25">
      <c r="A313">
        <v>131996786</v>
      </c>
      <c r="B313">
        <v>3.2</v>
      </c>
      <c r="C313">
        <v>1</v>
      </c>
      <c r="D313" t="s">
        <v>60</v>
      </c>
      <c r="E313" t="s">
        <v>51</v>
      </c>
      <c r="F313">
        <v>131996786</v>
      </c>
      <c r="G313" t="s">
        <v>371</v>
      </c>
      <c r="H313">
        <v>572</v>
      </c>
      <c r="I313">
        <v>179</v>
      </c>
      <c r="J313">
        <v>179</v>
      </c>
      <c r="K313">
        <v>2</v>
      </c>
      <c r="L313">
        <v>28.5</v>
      </c>
      <c r="M313">
        <v>-6</v>
      </c>
      <c r="N313" s="10">
        <v>55000</v>
      </c>
      <c r="O313" s="10">
        <v>-4500</v>
      </c>
      <c r="P313" s="10">
        <v>1090</v>
      </c>
      <c r="Q313">
        <v>0</v>
      </c>
      <c r="R313">
        <v>0</v>
      </c>
      <c r="S313" t="s">
        <v>11</v>
      </c>
      <c r="T313" t="s">
        <v>49</v>
      </c>
      <c r="U313" t="s">
        <v>1878</v>
      </c>
      <c r="W313" s="10"/>
    </row>
    <row r="314" spans="1:23" x14ac:dyDescent="0.25">
      <c r="A314">
        <v>131996811</v>
      </c>
      <c r="B314">
        <v>7.68</v>
      </c>
      <c r="C314">
        <v>2</v>
      </c>
      <c r="D314" t="s">
        <v>60</v>
      </c>
      <c r="E314" t="s">
        <v>51</v>
      </c>
      <c r="F314">
        <v>131996811</v>
      </c>
      <c r="G314" t="s">
        <v>372</v>
      </c>
      <c r="H314">
        <v>2403</v>
      </c>
      <c r="I314">
        <v>625</v>
      </c>
      <c r="J314">
        <v>313</v>
      </c>
      <c r="K314">
        <v>8</v>
      </c>
      <c r="L314">
        <v>64.099999999999994</v>
      </c>
      <c r="M314">
        <v>-19.100000000000001</v>
      </c>
      <c r="N314" s="10">
        <v>135000</v>
      </c>
      <c r="O314" s="10">
        <v>-13300</v>
      </c>
      <c r="P314" s="10">
        <v>3810</v>
      </c>
      <c r="Q314">
        <v>0</v>
      </c>
      <c r="R314">
        <v>0</v>
      </c>
      <c r="S314" t="s">
        <v>11</v>
      </c>
      <c r="T314" t="s">
        <v>49</v>
      </c>
      <c r="U314" t="s">
        <v>1878</v>
      </c>
      <c r="W314" s="10"/>
    </row>
    <row r="315" spans="1:23" x14ac:dyDescent="0.25">
      <c r="A315">
        <v>131996812</v>
      </c>
      <c r="B315">
        <v>9.25</v>
      </c>
      <c r="C315">
        <v>2</v>
      </c>
      <c r="D315" t="s">
        <v>60</v>
      </c>
      <c r="E315" t="s">
        <v>98</v>
      </c>
      <c r="F315">
        <v>131996812</v>
      </c>
      <c r="G315" t="s">
        <v>373</v>
      </c>
      <c r="H315">
        <v>1184</v>
      </c>
      <c r="I315">
        <v>256</v>
      </c>
      <c r="J315">
        <v>128</v>
      </c>
      <c r="K315">
        <v>3</v>
      </c>
      <c r="L315">
        <v>32.700000000000003</v>
      </c>
      <c r="M315">
        <v>-11.3</v>
      </c>
      <c r="N315" s="10">
        <v>65000</v>
      </c>
      <c r="O315" s="10">
        <v>-7030</v>
      </c>
      <c r="P315" s="10">
        <v>1560</v>
      </c>
      <c r="Q315">
        <v>0</v>
      </c>
      <c r="R315">
        <v>0</v>
      </c>
      <c r="S315" t="s">
        <v>11</v>
      </c>
      <c r="T315" t="s">
        <v>49</v>
      </c>
      <c r="U315" t="s">
        <v>1878</v>
      </c>
      <c r="W315" s="10"/>
    </row>
    <row r="316" spans="1:23" x14ac:dyDescent="0.25">
      <c r="A316">
        <v>131996825</v>
      </c>
      <c r="B316">
        <v>3.45</v>
      </c>
      <c r="C316">
        <v>1</v>
      </c>
      <c r="D316" t="s">
        <v>310</v>
      </c>
      <c r="E316" t="s">
        <v>51</v>
      </c>
      <c r="F316">
        <v>131996825</v>
      </c>
      <c r="G316" t="s">
        <v>374</v>
      </c>
      <c r="H316">
        <v>1460</v>
      </c>
      <c r="I316">
        <v>423</v>
      </c>
      <c r="J316">
        <v>423</v>
      </c>
      <c r="K316">
        <v>5</v>
      </c>
      <c r="L316">
        <v>67.2</v>
      </c>
      <c r="M316">
        <v>-15.1</v>
      </c>
      <c r="N316" s="10">
        <v>148000</v>
      </c>
      <c r="O316" s="10">
        <v>-19300</v>
      </c>
      <c r="P316" s="10">
        <v>17400</v>
      </c>
      <c r="Q316">
        <v>0</v>
      </c>
      <c r="R316">
        <v>0</v>
      </c>
      <c r="S316" t="s">
        <v>11</v>
      </c>
      <c r="T316" t="s">
        <v>49</v>
      </c>
      <c r="U316" t="s">
        <v>1878</v>
      </c>
      <c r="W316" s="10"/>
    </row>
    <row r="317" spans="1:23" x14ac:dyDescent="0.25">
      <c r="A317">
        <v>131996828</v>
      </c>
      <c r="B317">
        <v>11.6</v>
      </c>
      <c r="C317">
        <v>3</v>
      </c>
      <c r="D317" t="s">
        <v>54</v>
      </c>
      <c r="E317" t="s">
        <v>47</v>
      </c>
      <c r="F317">
        <v>131996828</v>
      </c>
      <c r="G317" t="s">
        <v>375</v>
      </c>
      <c r="H317">
        <v>5011</v>
      </c>
      <c r="I317">
        <v>1296</v>
      </c>
      <c r="J317">
        <v>432</v>
      </c>
      <c r="K317">
        <v>17</v>
      </c>
      <c r="L317">
        <v>145.69999999999999</v>
      </c>
      <c r="M317">
        <v>-32.9</v>
      </c>
      <c r="N317" s="10">
        <v>382000</v>
      </c>
      <c r="O317" s="10">
        <v>-45800</v>
      </c>
      <c r="P317" s="10">
        <v>6170</v>
      </c>
      <c r="Q317">
        <v>8</v>
      </c>
      <c r="R317">
        <v>11056</v>
      </c>
      <c r="S317" t="s">
        <v>11</v>
      </c>
      <c r="T317" t="s">
        <v>49</v>
      </c>
      <c r="U317" t="s">
        <v>1878</v>
      </c>
      <c r="W317" s="10"/>
    </row>
    <row r="318" spans="1:23" x14ac:dyDescent="0.25">
      <c r="A318">
        <v>131996842</v>
      </c>
      <c r="B318">
        <v>4.95</v>
      </c>
      <c r="C318">
        <v>1</v>
      </c>
      <c r="D318" t="s">
        <v>60</v>
      </c>
      <c r="E318" t="s">
        <v>58</v>
      </c>
      <c r="F318">
        <v>131996842</v>
      </c>
      <c r="G318" t="s">
        <v>376</v>
      </c>
      <c r="H318">
        <v>1647</v>
      </c>
      <c r="I318">
        <v>333</v>
      </c>
      <c r="J318">
        <v>333</v>
      </c>
      <c r="K318">
        <v>4</v>
      </c>
      <c r="L318">
        <v>61.4</v>
      </c>
      <c r="M318">
        <v>-14.3</v>
      </c>
      <c r="N318" s="10">
        <v>120000</v>
      </c>
      <c r="O318" s="10">
        <v>-10900</v>
      </c>
      <c r="P318" s="10">
        <v>2030</v>
      </c>
      <c r="Q318">
        <v>0</v>
      </c>
      <c r="R318">
        <v>0</v>
      </c>
      <c r="S318" t="s">
        <v>11</v>
      </c>
      <c r="T318" t="s">
        <v>49</v>
      </c>
      <c r="U318" t="s">
        <v>1878</v>
      </c>
      <c r="W318" s="10"/>
    </row>
    <row r="319" spans="1:23" x14ac:dyDescent="0.25">
      <c r="A319">
        <v>131996910</v>
      </c>
      <c r="B319">
        <v>6.33</v>
      </c>
      <c r="C319">
        <v>1</v>
      </c>
      <c r="D319" t="s">
        <v>102</v>
      </c>
      <c r="E319" t="s">
        <v>55</v>
      </c>
      <c r="F319">
        <v>131996910</v>
      </c>
      <c r="G319" t="s">
        <v>377</v>
      </c>
      <c r="H319">
        <v>2660</v>
      </c>
      <c r="I319">
        <v>420</v>
      </c>
      <c r="J319">
        <v>420</v>
      </c>
      <c r="K319">
        <v>5</v>
      </c>
      <c r="L319">
        <v>78.599999999999994</v>
      </c>
      <c r="M319">
        <v>-18.100000000000001</v>
      </c>
      <c r="N319" s="10">
        <v>176000</v>
      </c>
      <c r="O319" s="10">
        <v>-19800</v>
      </c>
      <c r="P319" s="10">
        <v>2000</v>
      </c>
      <c r="Q319">
        <v>0</v>
      </c>
      <c r="R319">
        <v>0</v>
      </c>
      <c r="S319" t="s">
        <v>11</v>
      </c>
      <c r="T319" t="s">
        <v>49</v>
      </c>
      <c r="U319" t="s">
        <v>1878</v>
      </c>
      <c r="W319" s="10"/>
    </row>
    <row r="320" spans="1:23" x14ac:dyDescent="0.25">
      <c r="A320">
        <v>131996926</v>
      </c>
      <c r="B320">
        <v>4.67</v>
      </c>
      <c r="C320">
        <v>1</v>
      </c>
      <c r="D320" t="s">
        <v>54</v>
      </c>
      <c r="E320" t="s">
        <v>47</v>
      </c>
      <c r="F320">
        <v>131996926</v>
      </c>
      <c r="G320" t="s">
        <v>378</v>
      </c>
      <c r="H320">
        <v>593</v>
      </c>
      <c r="I320">
        <v>127</v>
      </c>
      <c r="J320">
        <v>127</v>
      </c>
      <c r="K320">
        <v>2</v>
      </c>
      <c r="L320">
        <v>37.299999999999997</v>
      </c>
      <c r="M320">
        <v>-5.3</v>
      </c>
      <c r="N320" s="10">
        <v>75300</v>
      </c>
      <c r="O320" s="10">
        <v>-7180</v>
      </c>
      <c r="P320" s="10">
        <v>605</v>
      </c>
      <c r="Q320">
        <v>4.5</v>
      </c>
      <c r="R320">
        <v>6219</v>
      </c>
      <c r="S320" t="s">
        <v>11</v>
      </c>
      <c r="T320" t="s">
        <v>49</v>
      </c>
      <c r="U320" t="s">
        <v>1878</v>
      </c>
      <c r="W320" s="10"/>
    </row>
    <row r="321" spans="1:23" x14ac:dyDescent="0.25">
      <c r="A321">
        <v>131996929</v>
      </c>
      <c r="B321">
        <v>7.34</v>
      </c>
      <c r="C321">
        <v>2</v>
      </c>
      <c r="D321" t="s">
        <v>54</v>
      </c>
      <c r="E321" t="s">
        <v>58</v>
      </c>
      <c r="F321">
        <v>131996929</v>
      </c>
      <c r="G321" t="s">
        <v>379</v>
      </c>
      <c r="H321">
        <v>2582</v>
      </c>
      <c r="I321">
        <v>704</v>
      </c>
      <c r="J321">
        <v>352</v>
      </c>
      <c r="K321">
        <v>9</v>
      </c>
      <c r="L321">
        <v>57.4</v>
      </c>
      <c r="M321">
        <v>-16.600000000000001</v>
      </c>
      <c r="N321" s="10">
        <v>170000</v>
      </c>
      <c r="O321" s="10">
        <v>-21700</v>
      </c>
      <c r="P321" s="10">
        <v>3350</v>
      </c>
      <c r="Q321">
        <v>8</v>
      </c>
      <c r="R321">
        <v>11056</v>
      </c>
      <c r="S321" t="s">
        <v>11</v>
      </c>
      <c r="T321" t="s">
        <v>49</v>
      </c>
      <c r="U321" t="s">
        <v>1878</v>
      </c>
      <c r="W321" s="10"/>
    </row>
    <row r="322" spans="1:23" x14ac:dyDescent="0.25">
      <c r="A322">
        <v>131996941</v>
      </c>
      <c r="B322">
        <v>5.98</v>
      </c>
      <c r="C322">
        <v>1</v>
      </c>
      <c r="D322" t="s">
        <v>54</v>
      </c>
      <c r="E322" t="s">
        <v>47</v>
      </c>
      <c r="F322">
        <v>131996941</v>
      </c>
      <c r="G322" t="s">
        <v>380</v>
      </c>
      <c r="H322">
        <v>1921</v>
      </c>
      <c r="I322">
        <v>321</v>
      </c>
      <c r="J322">
        <v>321</v>
      </c>
      <c r="K322">
        <v>4</v>
      </c>
      <c r="L322">
        <v>102.9</v>
      </c>
      <c r="M322">
        <v>-14.9</v>
      </c>
      <c r="N322" s="10">
        <v>207000</v>
      </c>
      <c r="O322" s="10">
        <v>-19300</v>
      </c>
      <c r="P322" s="10">
        <v>1530</v>
      </c>
      <c r="Q322">
        <v>8</v>
      </c>
      <c r="R322">
        <v>11056</v>
      </c>
      <c r="S322" t="s">
        <v>11</v>
      </c>
      <c r="T322" t="s">
        <v>49</v>
      </c>
      <c r="U322" t="s">
        <v>1878</v>
      </c>
      <c r="W322" s="10"/>
    </row>
    <row r="323" spans="1:23" x14ac:dyDescent="0.25">
      <c r="A323">
        <v>131996951</v>
      </c>
      <c r="B323">
        <v>10.3</v>
      </c>
      <c r="C323">
        <v>2</v>
      </c>
      <c r="D323" t="s">
        <v>54</v>
      </c>
      <c r="E323" t="s">
        <v>55</v>
      </c>
      <c r="F323">
        <v>131996951</v>
      </c>
      <c r="G323" t="s">
        <v>381</v>
      </c>
      <c r="H323">
        <v>2856</v>
      </c>
      <c r="I323">
        <v>555</v>
      </c>
      <c r="J323">
        <v>278</v>
      </c>
      <c r="K323">
        <v>7</v>
      </c>
      <c r="L323">
        <v>73.7</v>
      </c>
      <c r="M323">
        <v>-21.3</v>
      </c>
      <c r="N323" s="10">
        <v>177000</v>
      </c>
      <c r="O323" s="10">
        <v>-23200</v>
      </c>
      <c r="P323" s="10">
        <v>2640</v>
      </c>
      <c r="Q323">
        <v>4.5</v>
      </c>
      <c r="R323">
        <v>6219</v>
      </c>
      <c r="S323" t="s">
        <v>11</v>
      </c>
      <c r="T323" t="s">
        <v>49</v>
      </c>
      <c r="U323" t="s">
        <v>1878</v>
      </c>
      <c r="W323" s="10"/>
    </row>
    <row r="324" spans="1:23" x14ac:dyDescent="0.25">
      <c r="A324">
        <v>131996960</v>
      </c>
      <c r="B324">
        <v>6.48</v>
      </c>
      <c r="C324">
        <v>1</v>
      </c>
      <c r="D324" t="s">
        <v>60</v>
      </c>
      <c r="E324" t="s">
        <v>51</v>
      </c>
      <c r="F324">
        <v>131996960</v>
      </c>
      <c r="G324" t="s">
        <v>382</v>
      </c>
      <c r="H324">
        <v>1198</v>
      </c>
      <c r="I324">
        <v>185</v>
      </c>
      <c r="J324">
        <v>185</v>
      </c>
      <c r="K324">
        <v>2</v>
      </c>
      <c r="L324">
        <v>42.2</v>
      </c>
      <c r="M324">
        <v>-9.9</v>
      </c>
      <c r="N324" s="10">
        <v>82300</v>
      </c>
      <c r="O324" s="10">
        <v>-7920</v>
      </c>
      <c r="P324" s="10">
        <v>1130</v>
      </c>
      <c r="Q324">
        <v>0</v>
      </c>
      <c r="R324">
        <v>0</v>
      </c>
      <c r="S324" t="s">
        <v>11</v>
      </c>
      <c r="T324" t="s">
        <v>49</v>
      </c>
      <c r="U324" t="s">
        <v>1878</v>
      </c>
      <c r="W324" s="10"/>
    </row>
    <row r="325" spans="1:23" x14ac:dyDescent="0.25">
      <c r="A325">
        <v>131996962</v>
      </c>
      <c r="B325">
        <v>10.199999999999999</v>
      </c>
      <c r="C325">
        <v>2</v>
      </c>
      <c r="D325" t="s">
        <v>60</v>
      </c>
      <c r="E325" t="s">
        <v>55</v>
      </c>
      <c r="F325">
        <v>131996962</v>
      </c>
      <c r="G325" t="s">
        <v>383</v>
      </c>
      <c r="H325">
        <v>2894</v>
      </c>
      <c r="I325">
        <v>568</v>
      </c>
      <c r="J325">
        <v>284</v>
      </c>
      <c r="K325">
        <v>7</v>
      </c>
      <c r="L325">
        <v>83.4</v>
      </c>
      <c r="M325">
        <v>-24.6</v>
      </c>
      <c r="N325" s="10">
        <v>166000</v>
      </c>
      <c r="O325" s="10">
        <v>-18100</v>
      </c>
      <c r="P325" s="10">
        <v>3460</v>
      </c>
      <c r="Q325">
        <v>0</v>
      </c>
      <c r="R325">
        <v>0</v>
      </c>
      <c r="S325" t="s">
        <v>11</v>
      </c>
      <c r="T325" t="s">
        <v>49</v>
      </c>
      <c r="U325" t="s">
        <v>1878</v>
      </c>
      <c r="W325" s="10"/>
    </row>
    <row r="326" spans="1:23" x14ac:dyDescent="0.25">
      <c r="A326">
        <v>131997015</v>
      </c>
      <c r="B326">
        <v>6.9</v>
      </c>
      <c r="C326">
        <v>1</v>
      </c>
      <c r="D326" t="s">
        <v>60</v>
      </c>
      <c r="E326" t="s">
        <v>47</v>
      </c>
      <c r="F326">
        <v>131997015</v>
      </c>
      <c r="G326" t="s">
        <v>384</v>
      </c>
      <c r="H326">
        <v>3621</v>
      </c>
      <c r="I326">
        <v>525</v>
      </c>
      <c r="J326">
        <v>525</v>
      </c>
      <c r="K326">
        <v>7</v>
      </c>
      <c r="L326">
        <v>154.30000000000001</v>
      </c>
      <c r="M326">
        <v>-27.4</v>
      </c>
      <c r="N326" s="10">
        <v>295000</v>
      </c>
      <c r="O326" s="10">
        <v>-26000</v>
      </c>
      <c r="P326" s="10">
        <v>3200</v>
      </c>
      <c r="Q326">
        <v>0</v>
      </c>
      <c r="R326">
        <v>0</v>
      </c>
      <c r="S326" t="s">
        <v>11</v>
      </c>
      <c r="T326" t="s">
        <v>49</v>
      </c>
      <c r="U326" t="s">
        <v>1878</v>
      </c>
      <c r="W326" s="10"/>
    </row>
    <row r="327" spans="1:23" x14ac:dyDescent="0.25">
      <c r="A327">
        <v>131997030</v>
      </c>
      <c r="B327">
        <v>3.95</v>
      </c>
      <c r="C327">
        <v>1</v>
      </c>
      <c r="D327" t="s">
        <v>310</v>
      </c>
      <c r="E327" t="s">
        <v>51</v>
      </c>
      <c r="F327">
        <v>131997030</v>
      </c>
      <c r="G327" t="s">
        <v>385</v>
      </c>
      <c r="H327">
        <v>1797</v>
      </c>
      <c r="I327">
        <v>455</v>
      </c>
      <c r="J327">
        <v>455</v>
      </c>
      <c r="K327">
        <v>6</v>
      </c>
      <c r="L327">
        <v>73.599999999999994</v>
      </c>
      <c r="M327">
        <v>-17</v>
      </c>
      <c r="N327" s="10">
        <v>161000</v>
      </c>
      <c r="O327" s="10">
        <v>-20600</v>
      </c>
      <c r="P327" s="10">
        <v>18800</v>
      </c>
      <c r="Q327">
        <v>0</v>
      </c>
      <c r="R327">
        <v>0</v>
      </c>
      <c r="S327" t="s">
        <v>11</v>
      </c>
      <c r="T327" t="s">
        <v>49</v>
      </c>
      <c r="U327" t="s">
        <v>1878</v>
      </c>
      <c r="W327" s="10"/>
    </row>
    <row r="328" spans="1:23" x14ac:dyDescent="0.25">
      <c r="A328">
        <v>131997066</v>
      </c>
      <c r="B328">
        <v>4.8</v>
      </c>
      <c r="C328">
        <v>1</v>
      </c>
      <c r="D328" t="s">
        <v>310</v>
      </c>
      <c r="E328" t="s">
        <v>51</v>
      </c>
      <c r="F328">
        <v>131997066</v>
      </c>
      <c r="G328" t="s">
        <v>386</v>
      </c>
      <c r="H328">
        <v>4287</v>
      </c>
      <c r="I328">
        <v>893</v>
      </c>
      <c r="J328">
        <v>893</v>
      </c>
      <c r="K328">
        <v>12</v>
      </c>
      <c r="L328">
        <v>126.9</v>
      </c>
      <c r="M328">
        <v>-29.4</v>
      </c>
      <c r="N328" s="10">
        <v>292000</v>
      </c>
      <c r="O328" s="10">
        <v>-36500</v>
      </c>
      <c r="P328" s="10">
        <v>36800</v>
      </c>
      <c r="Q328">
        <v>0</v>
      </c>
      <c r="R328">
        <v>0</v>
      </c>
      <c r="S328" t="s">
        <v>11</v>
      </c>
      <c r="T328" t="s">
        <v>49</v>
      </c>
      <c r="U328" t="s">
        <v>1878</v>
      </c>
      <c r="W328" s="10"/>
    </row>
    <row r="329" spans="1:23" x14ac:dyDescent="0.25">
      <c r="A329">
        <v>131997069</v>
      </c>
      <c r="B329">
        <v>9.6999999999999993</v>
      </c>
      <c r="C329">
        <v>2</v>
      </c>
      <c r="D329" t="s">
        <v>60</v>
      </c>
      <c r="E329" t="s">
        <v>51</v>
      </c>
      <c r="F329">
        <v>131997069</v>
      </c>
      <c r="G329" t="s">
        <v>387</v>
      </c>
      <c r="H329">
        <v>4788</v>
      </c>
      <c r="I329">
        <v>987</v>
      </c>
      <c r="J329">
        <v>494</v>
      </c>
      <c r="K329">
        <v>13</v>
      </c>
      <c r="L329">
        <v>137.80000000000001</v>
      </c>
      <c r="M329">
        <v>-38.700000000000003</v>
      </c>
      <c r="N329" s="10">
        <v>278000</v>
      </c>
      <c r="O329" s="10">
        <v>-29400</v>
      </c>
      <c r="P329" s="10">
        <v>6020</v>
      </c>
      <c r="Q329">
        <v>0</v>
      </c>
      <c r="R329">
        <v>0</v>
      </c>
      <c r="S329" t="s">
        <v>11</v>
      </c>
      <c r="T329" t="s">
        <v>49</v>
      </c>
      <c r="U329" t="s">
        <v>1878</v>
      </c>
      <c r="W329" s="10"/>
    </row>
    <row r="330" spans="1:23" x14ac:dyDescent="0.25">
      <c r="A330">
        <v>131997082</v>
      </c>
      <c r="B330">
        <v>8.33</v>
      </c>
      <c r="C330">
        <v>2</v>
      </c>
      <c r="D330" t="s">
        <v>54</v>
      </c>
      <c r="E330" t="s">
        <v>51</v>
      </c>
      <c r="F330">
        <v>131997082</v>
      </c>
      <c r="G330" t="s">
        <v>388</v>
      </c>
      <c r="H330">
        <v>1406</v>
      </c>
      <c r="I330">
        <v>338</v>
      </c>
      <c r="J330">
        <v>169</v>
      </c>
      <c r="K330">
        <v>4</v>
      </c>
      <c r="L330">
        <v>39.299999999999997</v>
      </c>
      <c r="M330">
        <v>-10.6</v>
      </c>
      <c r="N330" s="10">
        <v>99300</v>
      </c>
      <c r="O330" s="10">
        <v>-13000</v>
      </c>
      <c r="P330" s="10">
        <v>1610</v>
      </c>
      <c r="Q330">
        <v>4.5</v>
      </c>
      <c r="R330">
        <v>6219</v>
      </c>
      <c r="S330" t="s">
        <v>11</v>
      </c>
      <c r="T330" t="s">
        <v>49</v>
      </c>
      <c r="U330" t="s">
        <v>1878</v>
      </c>
      <c r="W330" s="10"/>
    </row>
    <row r="331" spans="1:23" x14ac:dyDescent="0.25">
      <c r="A331">
        <v>131997105</v>
      </c>
      <c r="B331">
        <v>2.2999999999999998</v>
      </c>
      <c r="C331">
        <v>1</v>
      </c>
      <c r="D331" t="s">
        <v>54</v>
      </c>
      <c r="E331" t="s">
        <v>51</v>
      </c>
      <c r="F331">
        <v>131997105</v>
      </c>
      <c r="G331" t="s">
        <v>389</v>
      </c>
      <c r="H331">
        <v>184</v>
      </c>
      <c r="I331">
        <v>80</v>
      </c>
      <c r="J331">
        <v>80</v>
      </c>
      <c r="K331">
        <v>1</v>
      </c>
      <c r="L331">
        <v>12.4</v>
      </c>
      <c r="M331">
        <v>-2.5</v>
      </c>
      <c r="N331" s="10">
        <v>28500</v>
      </c>
      <c r="O331" s="10">
        <v>-3100</v>
      </c>
      <c r="P331" s="10">
        <v>381</v>
      </c>
      <c r="Q331">
        <v>3</v>
      </c>
      <c r="R331">
        <v>4146</v>
      </c>
      <c r="S331" t="s">
        <v>11</v>
      </c>
      <c r="T331" t="s">
        <v>49</v>
      </c>
      <c r="U331" t="s">
        <v>1878</v>
      </c>
      <c r="W331" s="10"/>
    </row>
    <row r="332" spans="1:23" x14ac:dyDescent="0.25">
      <c r="A332">
        <v>131997121</v>
      </c>
      <c r="B332">
        <v>8.18</v>
      </c>
      <c r="C332">
        <v>2</v>
      </c>
      <c r="D332" t="s">
        <v>60</v>
      </c>
      <c r="E332" t="s">
        <v>80</v>
      </c>
      <c r="F332">
        <v>131997121</v>
      </c>
      <c r="G332" t="s">
        <v>390</v>
      </c>
      <c r="H332">
        <v>5112</v>
      </c>
      <c r="I332">
        <v>1250</v>
      </c>
      <c r="J332">
        <v>625</v>
      </c>
      <c r="K332">
        <v>16</v>
      </c>
      <c r="L332">
        <v>176.9</v>
      </c>
      <c r="M332">
        <v>-43.6</v>
      </c>
      <c r="N332" s="10">
        <v>357000</v>
      </c>
      <c r="O332" s="10">
        <v>-35300</v>
      </c>
      <c r="P332" s="10">
        <v>7620</v>
      </c>
      <c r="Q332">
        <v>0</v>
      </c>
      <c r="R332">
        <v>0</v>
      </c>
      <c r="S332" t="s">
        <v>11</v>
      </c>
      <c r="T332" t="s">
        <v>49</v>
      </c>
      <c r="U332" t="s">
        <v>1878</v>
      </c>
      <c r="W332" s="10"/>
    </row>
    <row r="333" spans="1:23" x14ac:dyDescent="0.25">
      <c r="A333">
        <v>131997123</v>
      </c>
      <c r="B333">
        <v>4.07</v>
      </c>
      <c r="C333">
        <v>1</v>
      </c>
      <c r="D333" t="s">
        <v>60</v>
      </c>
      <c r="E333" t="s">
        <v>80</v>
      </c>
      <c r="F333">
        <v>131997123</v>
      </c>
      <c r="G333" t="s">
        <v>391</v>
      </c>
      <c r="H333">
        <v>1329</v>
      </c>
      <c r="I333">
        <v>327</v>
      </c>
      <c r="J333">
        <v>327</v>
      </c>
      <c r="K333">
        <v>4</v>
      </c>
      <c r="L333">
        <v>91.8</v>
      </c>
      <c r="M333">
        <v>-16.899999999999999</v>
      </c>
      <c r="N333" s="10">
        <v>170000</v>
      </c>
      <c r="O333" s="10">
        <v>-15400</v>
      </c>
      <c r="P333" s="10">
        <v>1990</v>
      </c>
      <c r="Q333">
        <v>0</v>
      </c>
      <c r="R333">
        <v>0</v>
      </c>
      <c r="S333" t="s">
        <v>11</v>
      </c>
      <c r="T333" t="s">
        <v>49</v>
      </c>
      <c r="U333" t="s">
        <v>1878</v>
      </c>
      <c r="W333" s="10"/>
    </row>
    <row r="334" spans="1:23" x14ac:dyDescent="0.25">
      <c r="A334">
        <v>131997168</v>
      </c>
      <c r="B334">
        <v>7.37</v>
      </c>
      <c r="C334">
        <v>2</v>
      </c>
      <c r="D334" t="s">
        <v>60</v>
      </c>
      <c r="E334" t="s">
        <v>392</v>
      </c>
      <c r="F334">
        <v>131997168</v>
      </c>
      <c r="G334" t="s">
        <v>393</v>
      </c>
      <c r="H334">
        <v>971</v>
      </c>
      <c r="I334">
        <v>264</v>
      </c>
      <c r="J334">
        <v>132</v>
      </c>
      <c r="K334">
        <v>3</v>
      </c>
      <c r="L334">
        <v>29.3</v>
      </c>
      <c r="M334">
        <v>-10.5</v>
      </c>
      <c r="N334" s="10">
        <v>57400</v>
      </c>
      <c r="O334" s="10">
        <v>-6610</v>
      </c>
      <c r="P334" s="10">
        <v>1610</v>
      </c>
      <c r="Q334">
        <v>0</v>
      </c>
      <c r="R334">
        <v>0</v>
      </c>
      <c r="S334" t="s">
        <v>11</v>
      </c>
      <c r="T334" t="s">
        <v>49</v>
      </c>
      <c r="U334" t="s">
        <v>1878</v>
      </c>
      <c r="W334" s="10"/>
    </row>
    <row r="335" spans="1:23" x14ac:dyDescent="0.25">
      <c r="A335">
        <v>131997209</v>
      </c>
      <c r="B335">
        <v>4.3</v>
      </c>
      <c r="C335">
        <v>1</v>
      </c>
      <c r="D335" t="s">
        <v>60</v>
      </c>
      <c r="E335" t="s">
        <v>51</v>
      </c>
      <c r="F335">
        <v>131997209</v>
      </c>
      <c r="G335" t="s">
        <v>394</v>
      </c>
      <c r="H335">
        <v>1338</v>
      </c>
      <c r="I335">
        <v>311</v>
      </c>
      <c r="J335">
        <v>311</v>
      </c>
      <c r="K335">
        <v>4</v>
      </c>
      <c r="L335">
        <v>61.4</v>
      </c>
      <c r="M335">
        <v>-13.5</v>
      </c>
      <c r="N335" s="10">
        <v>117000</v>
      </c>
      <c r="O335" s="10">
        <v>-10600</v>
      </c>
      <c r="P335" s="10">
        <v>1900</v>
      </c>
      <c r="Q335">
        <v>0</v>
      </c>
      <c r="R335">
        <v>0</v>
      </c>
      <c r="S335" t="s">
        <v>11</v>
      </c>
      <c r="T335" t="s">
        <v>49</v>
      </c>
      <c r="U335" t="s">
        <v>1878</v>
      </c>
      <c r="W335" s="10"/>
    </row>
    <row r="336" spans="1:23" x14ac:dyDescent="0.25">
      <c r="A336">
        <v>131997215</v>
      </c>
      <c r="B336">
        <v>6.35</v>
      </c>
      <c r="C336">
        <v>1</v>
      </c>
      <c r="D336" t="s">
        <v>60</v>
      </c>
      <c r="E336" t="s">
        <v>51</v>
      </c>
      <c r="F336">
        <v>131997215</v>
      </c>
      <c r="G336" t="s">
        <v>395</v>
      </c>
      <c r="H336">
        <v>1527</v>
      </c>
      <c r="I336">
        <v>241</v>
      </c>
      <c r="J336">
        <v>241</v>
      </c>
      <c r="K336">
        <v>3</v>
      </c>
      <c r="L336">
        <v>62.6</v>
      </c>
      <c r="M336">
        <v>-14.3</v>
      </c>
      <c r="N336" s="10">
        <v>120000</v>
      </c>
      <c r="O336" s="10">
        <v>-11800</v>
      </c>
      <c r="P336" s="10">
        <v>1470</v>
      </c>
      <c r="Q336">
        <v>0</v>
      </c>
      <c r="R336">
        <v>0</v>
      </c>
      <c r="S336" t="s">
        <v>11</v>
      </c>
      <c r="T336" t="s">
        <v>49</v>
      </c>
      <c r="U336" t="s">
        <v>1878</v>
      </c>
      <c r="W336" s="10"/>
    </row>
    <row r="337" spans="1:23" x14ac:dyDescent="0.25">
      <c r="A337">
        <v>131997245</v>
      </c>
      <c r="B337">
        <v>11.28</v>
      </c>
      <c r="C337">
        <v>3</v>
      </c>
      <c r="D337" t="s">
        <v>102</v>
      </c>
      <c r="E337" t="s">
        <v>80</v>
      </c>
      <c r="F337">
        <v>131997245</v>
      </c>
      <c r="G337" t="s">
        <v>396</v>
      </c>
      <c r="H337">
        <v>6448</v>
      </c>
      <c r="I337">
        <v>1716</v>
      </c>
      <c r="J337">
        <v>572</v>
      </c>
      <c r="K337">
        <v>22</v>
      </c>
      <c r="L337">
        <v>169.4</v>
      </c>
      <c r="M337">
        <v>-44.6</v>
      </c>
      <c r="N337" s="10">
        <v>466000</v>
      </c>
      <c r="O337" s="10">
        <v>-60700</v>
      </c>
      <c r="P337" s="10">
        <v>8170</v>
      </c>
      <c r="Q337">
        <v>0</v>
      </c>
      <c r="R337">
        <v>0</v>
      </c>
      <c r="S337" t="s">
        <v>11</v>
      </c>
      <c r="T337" t="s">
        <v>49</v>
      </c>
      <c r="U337" t="s">
        <v>1878</v>
      </c>
      <c r="W337" s="10"/>
    </row>
    <row r="338" spans="1:23" x14ac:dyDescent="0.25">
      <c r="A338">
        <v>131997276</v>
      </c>
      <c r="B338">
        <v>13.5</v>
      </c>
      <c r="C338">
        <v>3</v>
      </c>
      <c r="D338" t="s">
        <v>60</v>
      </c>
      <c r="E338" t="s">
        <v>58</v>
      </c>
      <c r="F338">
        <v>131997276</v>
      </c>
      <c r="G338" t="s">
        <v>397</v>
      </c>
      <c r="H338">
        <v>8219</v>
      </c>
      <c r="I338">
        <v>1827</v>
      </c>
      <c r="J338">
        <v>609</v>
      </c>
      <c r="K338">
        <v>24</v>
      </c>
      <c r="L338">
        <v>182.9</v>
      </c>
      <c r="M338">
        <v>-64</v>
      </c>
      <c r="N338" s="10">
        <v>391000</v>
      </c>
      <c r="O338" s="10">
        <v>-43400</v>
      </c>
      <c r="P338" s="10">
        <v>11100</v>
      </c>
      <c r="Q338">
        <v>0</v>
      </c>
      <c r="R338">
        <v>0</v>
      </c>
      <c r="S338" t="s">
        <v>11</v>
      </c>
      <c r="T338" t="s">
        <v>49</v>
      </c>
      <c r="U338" t="s">
        <v>1878</v>
      </c>
      <c r="W338" s="10"/>
    </row>
    <row r="339" spans="1:23" x14ac:dyDescent="0.25">
      <c r="A339">
        <v>131997293</v>
      </c>
      <c r="B339">
        <v>3.84</v>
      </c>
      <c r="C339">
        <v>1</v>
      </c>
      <c r="D339" t="s">
        <v>60</v>
      </c>
      <c r="E339" t="s">
        <v>55</v>
      </c>
      <c r="F339">
        <v>131997293</v>
      </c>
      <c r="G339" t="s">
        <v>398</v>
      </c>
      <c r="H339">
        <v>762</v>
      </c>
      <c r="I339">
        <v>198</v>
      </c>
      <c r="J339">
        <v>198</v>
      </c>
      <c r="K339">
        <v>3</v>
      </c>
      <c r="L339">
        <v>36.4</v>
      </c>
      <c r="M339">
        <v>-8.3000000000000007</v>
      </c>
      <c r="N339" s="10">
        <v>69600</v>
      </c>
      <c r="O339" s="10">
        <v>-6330</v>
      </c>
      <c r="P339" s="10">
        <v>1210</v>
      </c>
      <c r="Q339">
        <v>0</v>
      </c>
      <c r="R339">
        <v>0</v>
      </c>
      <c r="S339" t="s">
        <v>11</v>
      </c>
      <c r="T339" t="s">
        <v>49</v>
      </c>
      <c r="U339" t="s">
        <v>1878</v>
      </c>
      <c r="W339" s="10"/>
    </row>
    <row r="340" spans="1:23" x14ac:dyDescent="0.25">
      <c r="A340">
        <v>131997309</v>
      </c>
      <c r="B340">
        <v>4.93</v>
      </c>
      <c r="C340">
        <v>1</v>
      </c>
      <c r="D340" t="s">
        <v>54</v>
      </c>
      <c r="E340" t="s">
        <v>47</v>
      </c>
      <c r="F340">
        <v>131997309</v>
      </c>
      <c r="G340" t="s">
        <v>399</v>
      </c>
      <c r="H340">
        <v>610</v>
      </c>
      <c r="I340">
        <v>124</v>
      </c>
      <c r="J340">
        <v>124</v>
      </c>
      <c r="K340">
        <v>2</v>
      </c>
      <c r="L340">
        <v>44.6</v>
      </c>
      <c r="M340">
        <v>-6.1</v>
      </c>
      <c r="N340" s="10">
        <v>87600</v>
      </c>
      <c r="O340" s="10">
        <v>-7780</v>
      </c>
      <c r="P340" s="10">
        <v>589</v>
      </c>
      <c r="Q340">
        <v>4.5</v>
      </c>
      <c r="R340">
        <v>6219</v>
      </c>
      <c r="S340" t="s">
        <v>11</v>
      </c>
      <c r="T340" t="s">
        <v>49</v>
      </c>
      <c r="U340" t="s">
        <v>1878</v>
      </c>
      <c r="W340" s="10"/>
    </row>
    <row r="341" spans="1:23" x14ac:dyDescent="0.25">
      <c r="A341">
        <v>131997313</v>
      </c>
      <c r="B341">
        <v>10.67</v>
      </c>
      <c r="C341">
        <v>3</v>
      </c>
      <c r="D341" t="s">
        <v>54</v>
      </c>
      <c r="E341" t="s">
        <v>80</v>
      </c>
      <c r="F341">
        <v>131997313</v>
      </c>
      <c r="G341" t="s">
        <v>400</v>
      </c>
      <c r="H341">
        <v>3579</v>
      </c>
      <c r="I341">
        <v>1007</v>
      </c>
      <c r="J341">
        <v>336</v>
      </c>
      <c r="K341">
        <v>13</v>
      </c>
      <c r="L341">
        <v>90</v>
      </c>
      <c r="M341">
        <v>-24.7</v>
      </c>
      <c r="N341" s="10">
        <v>256000</v>
      </c>
      <c r="O341" s="10">
        <v>-33300</v>
      </c>
      <c r="P341" s="10">
        <v>4790</v>
      </c>
      <c r="Q341">
        <v>8</v>
      </c>
      <c r="R341">
        <v>11056</v>
      </c>
      <c r="S341" t="s">
        <v>11</v>
      </c>
      <c r="T341" t="s">
        <v>49</v>
      </c>
      <c r="U341" t="s">
        <v>1878</v>
      </c>
      <c r="W341" s="10"/>
    </row>
    <row r="342" spans="1:23" x14ac:dyDescent="0.25">
      <c r="A342">
        <v>131997322</v>
      </c>
      <c r="B342">
        <v>4.4400000000000004</v>
      </c>
      <c r="C342">
        <v>1</v>
      </c>
      <c r="D342" t="s">
        <v>60</v>
      </c>
      <c r="E342" t="s">
        <v>51</v>
      </c>
      <c r="F342">
        <v>131997322</v>
      </c>
      <c r="G342" t="s">
        <v>401</v>
      </c>
      <c r="H342">
        <v>2090</v>
      </c>
      <c r="I342">
        <v>470</v>
      </c>
      <c r="J342">
        <v>470</v>
      </c>
      <c r="K342">
        <v>6</v>
      </c>
      <c r="L342">
        <v>86</v>
      </c>
      <c r="M342">
        <v>-19</v>
      </c>
      <c r="N342" s="10">
        <v>167000</v>
      </c>
      <c r="O342" s="10">
        <v>-14700</v>
      </c>
      <c r="P342" s="10">
        <v>2870</v>
      </c>
      <c r="Q342">
        <v>0</v>
      </c>
      <c r="R342">
        <v>0</v>
      </c>
      <c r="S342" t="s">
        <v>11</v>
      </c>
      <c r="T342" t="s">
        <v>49</v>
      </c>
      <c r="U342" t="s">
        <v>1878</v>
      </c>
      <c r="W342" s="10"/>
    </row>
    <row r="343" spans="1:23" x14ac:dyDescent="0.25">
      <c r="A343">
        <v>131997325</v>
      </c>
      <c r="B343">
        <v>8.3000000000000007</v>
      </c>
      <c r="C343">
        <v>2</v>
      </c>
      <c r="D343" t="s">
        <v>60</v>
      </c>
      <c r="E343" t="s">
        <v>55</v>
      </c>
      <c r="F343">
        <v>131997325</v>
      </c>
      <c r="G343" t="s">
        <v>402</v>
      </c>
      <c r="H343">
        <v>3285</v>
      </c>
      <c r="I343">
        <v>791</v>
      </c>
      <c r="J343">
        <v>396</v>
      </c>
      <c r="K343">
        <v>10</v>
      </c>
      <c r="L343">
        <v>104.8</v>
      </c>
      <c r="M343">
        <v>-30.5</v>
      </c>
      <c r="N343" s="10">
        <v>208000</v>
      </c>
      <c r="O343" s="10">
        <v>-21700</v>
      </c>
      <c r="P343" s="10">
        <v>4820</v>
      </c>
      <c r="Q343">
        <v>0</v>
      </c>
      <c r="R343">
        <v>0</v>
      </c>
      <c r="S343" t="s">
        <v>11</v>
      </c>
      <c r="T343" t="s">
        <v>49</v>
      </c>
      <c r="U343" t="s">
        <v>1878</v>
      </c>
      <c r="W343" s="10"/>
    </row>
    <row r="344" spans="1:23" x14ac:dyDescent="0.25">
      <c r="A344">
        <v>131997326</v>
      </c>
      <c r="B344">
        <v>4.0599999999999996</v>
      </c>
      <c r="C344">
        <v>1</v>
      </c>
      <c r="D344" t="s">
        <v>54</v>
      </c>
      <c r="E344" t="s">
        <v>47</v>
      </c>
      <c r="F344">
        <v>131997326</v>
      </c>
      <c r="G344" t="s">
        <v>403</v>
      </c>
      <c r="H344">
        <v>733</v>
      </c>
      <c r="I344">
        <v>181</v>
      </c>
      <c r="J344">
        <v>181</v>
      </c>
      <c r="K344">
        <v>2</v>
      </c>
      <c r="L344">
        <v>47</v>
      </c>
      <c r="M344">
        <v>-6.9</v>
      </c>
      <c r="N344" s="10">
        <v>96900</v>
      </c>
      <c r="O344" s="10">
        <v>-9320</v>
      </c>
      <c r="P344" s="10">
        <v>859</v>
      </c>
      <c r="Q344">
        <v>4.5</v>
      </c>
      <c r="R344">
        <v>6219</v>
      </c>
      <c r="S344" t="s">
        <v>11</v>
      </c>
      <c r="T344" t="s">
        <v>49</v>
      </c>
      <c r="U344" t="s">
        <v>1878</v>
      </c>
      <c r="W344" s="10"/>
    </row>
    <row r="345" spans="1:23" x14ac:dyDescent="0.25">
      <c r="A345">
        <v>131997344</v>
      </c>
      <c r="B345">
        <v>16.41</v>
      </c>
      <c r="C345">
        <v>4</v>
      </c>
      <c r="D345" t="s">
        <v>54</v>
      </c>
      <c r="E345" t="s">
        <v>55</v>
      </c>
      <c r="F345">
        <v>131997344</v>
      </c>
      <c r="G345" t="s">
        <v>404</v>
      </c>
      <c r="H345">
        <v>10015</v>
      </c>
      <c r="I345">
        <v>2441</v>
      </c>
      <c r="J345">
        <v>610</v>
      </c>
      <c r="K345">
        <v>32</v>
      </c>
      <c r="L345">
        <v>150.6</v>
      </c>
      <c r="M345">
        <v>-57.3</v>
      </c>
      <c r="N345" s="10">
        <v>510000</v>
      </c>
      <c r="O345" s="10">
        <v>-71800</v>
      </c>
      <c r="P345" s="10">
        <v>11600</v>
      </c>
      <c r="Q345">
        <v>8</v>
      </c>
      <c r="R345">
        <v>11056</v>
      </c>
      <c r="S345" t="s">
        <v>11</v>
      </c>
      <c r="T345" t="s">
        <v>49</v>
      </c>
      <c r="U345" t="s">
        <v>1878</v>
      </c>
      <c r="W345" s="10"/>
    </row>
    <row r="346" spans="1:23" x14ac:dyDescent="0.25">
      <c r="A346">
        <v>131997386</v>
      </c>
      <c r="B346">
        <v>15.61</v>
      </c>
      <c r="C346">
        <v>4</v>
      </c>
      <c r="D346" t="s">
        <v>60</v>
      </c>
      <c r="E346" t="s">
        <v>51</v>
      </c>
      <c r="F346">
        <v>131997386</v>
      </c>
      <c r="G346" t="s">
        <v>405</v>
      </c>
      <c r="H346">
        <v>22350</v>
      </c>
      <c r="I346">
        <v>5728</v>
      </c>
      <c r="J346">
        <v>1432</v>
      </c>
      <c r="K346">
        <v>74</v>
      </c>
      <c r="L346">
        <v>416.4</v>
      </c>
      <c r="M346">
        <v>-159.6</v>
      </c>
      <c r="N346" s="10">
        <v>952000</v>
      </c>
      <c r="O346" s="10">
        <v>-111000</v>
      </c>
      <c r="P346" s="10">
        <v>34900</v>
      </c>
      <c r="Q346">
        <v>0</v>
      </c>
      <c r="R346">
        <v>0</v>
      </c>
      <c r="S346" t="s">
        <v>11</v>
      </c>
      <c r="T346" t="s">
        <v>49</v>
      </c>
      <c r="U346" t="s">
        <v>1878</v>
      </c>
      <c r="W346" s="10"/>
    </row>
    <row r="347" spans="1:23" x14ac:dyDescent="0.25">
      <c r="A347">
        <v>131997395</v>
      </c>
      <c r="B347">
        <v>13.4</v>
      </c>
      <c r="C347">
        <v>3</v>
      </c>
      <c r="D347" t="s">
        <v>54</v>
      </c>
      <c r="E347" t="s">
        <v>80</v>
      </c>
      <c r="F347">
        <v>131997395</v>
      </c>
      <c r="G347" t="s">
        <v>406</v>
      </c>
      <c r="H347">
        <v>4921</v>
      </c>
      <c r="I347">
        <v>1102</v>
      </c>
      <c r="J347">
        <v>367</v>
      </c>
      <c r="K347">
        <v>14</v>
      </c>
      <c r="L347">
        <v>144.69999999999999</v>
      </c>
      <c r="M347">
        <v>-35.299999999999997</v>
      </c>
      <c r="N347" s="10">
        <v>354000</v>
      </c>
      <c r="O347" s="10">
        <v>-46700</v>
      </c>
      <c r="P347" s="10">
        <v>5240</v>
      </c>
      <c r="Q347">
        <v>8</v>
      </c>
      <c r="R347">
        <v>11056</v>
      </c>
      <c r="S347" t="s">
        <v>11</v>
      </c>
      <c r="T347" t="s">
        <v>49</v>
      </c>
      <c r="U347" t="s">
        <v>1878</v>
      </c>
      <c r="W347" s="10"/>
    </row>
    <row r="348" spans="1:23" x14ac:dyDescent="0.25">
      <c r="A348">
        <v>131997399</v>
      </c>
      <c r="B348">
        <v>11.32</v>
      </c>
      <c r="C348">
        <v>3</v>
      </c>
      <c r="D348" t="s">
        <v>60</v>
      </c>
      <c r="E348" t="s">
        <v>51</v>
      </c>
      <c r="F348">
        <v>131997399</v>
      </c>
      <c r="G348" t="s">
        <v>407</v>
      </c>
      <c r="H348">
        <v>9783</v>
      </c>
      <c r="I348">
        <v>2594</v>
      </c>
      <c r="J348">
        <v>865</v>
      </c>
      <c r="K348">
        <v>34</v>
      </c>
      <c r="L348">
        <v>256.2</v>
      </c>
      <c r="M348">
        <v>-82.5</v>
      </c>
      <c r="N348" s="10">
        <v>535000</v>
      </c>
      <c r="O348" s="10">
        <v>-55600</v>
      </c>
      <c r="P348" s="10">
        <v>15800</v>
      </c>
      <c r="Q348">
        <v>0</v>
      </c>
      <c r="R348">
        <v>0</v>
      </c>
      <c r="S348" t="s">
        <v>11</v>
      </c>
      <c r="T348" t="s">
        <v>49</v>
      </c>
      <c r="U348" t="s">
        <v>1878</v>
      </c>
      <c r="W348" s="10"/>
    </row>
    <row r="349" spans="1:23" x14ac:dyDescent="0.25">
      <c r="A349">
        <v>131997429</v>
      </c>
      <c r="B349">
        <v>10.42</v>
      </c>
      <c r="C349">
        <v>2</v>
      </c>
      <c r="D349" t="s">
        <v>60</v>
      </c>
      <c r="E349" t="s">
        <v>47</v>
      </c>
      <c r="F349">
        <v>131997429</v>
      </c>
      <c r="G349" t="s">
        <v>408</v>
      </c>
      <c r="H349">
        <v>7188</v>
      </c>
      <c r="I349">
        <v>1380</v>
      </c>
      <c r="J349">
        <v>690</v>
      </c>
      <c r="K349">
        <v>18</v>
      </c>
      <c r="L349">
        <v>266.5</v>
      </c>
      <c r="M349">
        <v>-56.8</v>
      </c>
      <c r="N349" s="10">
        <v>523000</v>
      </c>
      <c r="O349" s="10">
        <v>-49200</v>
      </c>
      <c r="P349" s="10">
        <v>8410</v>
      </c>
      <c r="Q349">
        <v>0</v>
      </c>
      <c r="R349">
        <v>0</v>
      </c>
      <c r="S349" t="s">
        <v>11</v>
      </c>
      <c r="T349" t="s">
        <v>49</v>
      </c>
      <c r="U349" t="s">
        <v>1878</v>
      </c>
      <c r="W349" s="10"/>
    </row>
    <row r="350" spans="1:23" x14ac:dyDescent="0.25">
      <c r="A350">
        <v>131997444</v>
      </c>
      <c r="B350">
        <v>12.38</v>
      </c>
      <c r="C350">
        <v>3</v>
      </c>
      <c r="D350" t="s">
        <v>60</v>
      </c>
      <c r="E350" t="s">
        <v>55</v>
      </c>
      <c r="F350">
        <v>131997444</v>
      </c>
      <c r="G350" t="s">
        <v>409</v>
      </c>
      <c r="H350">
        <v>5306</v>
      </c>
      <c r="I350">
        <v>1286</v>
      </c>
      <c r="J350">
        <v>429</v>
      </c>
      <c r="K350">
        <v>17</v>
      </c>
      <c r="L350">
        <v>113</v>
      </c>
      <c r="M350">
        <v>-39.6</v>
      </c>
      <c r="N350" s="10">
        <v>249000</v>
      </c>
      <c r="O350" s="10">
        <v>-27800</v>
      </c>
      <c r="P350" s="10">
        <v>7840</v>
      </c>
      <c r="Q350">
        <v>0</v>
      </c>
      <c r="R350">
        <v>0</v>
      </c>
      <c r="S350" t="s">
        <v>11</v>
      </c>
      <c r="T350" t="s">
        <v>49</v>
      </c>
      <c r="U350" t="s">
        <v>1878</v>
      </c>
      <c r="W350" s="10"/>
    </row>
    <row r="351" spans="1:23" x14ac:dyDescent="0.25">
      <c r="A351">
        <v>131997522</v>
      </c>
      <c r="B351">
        <v>11.98</v>
      </c>
      <c r="C351">
        <v>3</v>
      </c>
      <c r="D351" t="s">
        <v>60</v>
      </c>
      <c r="E351" t="s">
        <v>55</v>
      </c>
      <c r="F351">
        <v>131997522</v>
      </c>
      <c r="G351" t="s">
        <v>410</v>
      </c>
      <c r="H351">
        <v>11739</v>
      </c>
      <c r="I351">
        <v>2939</v>
      </c>
      <c r="J351">
        <v>980</v>
      </c>
      <c r="K351">
        <v>38</v>
      </c>
      <c r="L351">
        <v>282.7</v>
      </c>
      <c r="M351">
        <v>-95.5</v>
      </c>
      <c r="N351" s="10">
        <v>604000</v>
      </c>
      <c r="O351" s="10">
        <v>-65400</v>
      </c>
      <c r="P351" s="10">
        <v>17900</v>
      </c>
      <c r="Q351">
        <v>0</v>
      </c>
      <c r="R351">
        <v>0</v>
      </c>
      <c r="S351" t="s">
        <v>11</v>
      </c>
      <c r="T351" t="s">
        <v>49</v>
      </c>
      <c r="U351" t="s">
        <v>1878</v>
      </c>
      <c r="W351" s="10"/>
    </row>
    <row r="352" spans="1:23" x14ac:dyDescent="0.25">
      <c r="A352">
        <v>131997525</v>
      </c>
      <c r="B352">
        <v>15.48</v>
      </c>
      <c r="C352">
        <v>4</v>
      </c>
      <c r="D352" t="s">
        <v>104</v>
      </c>
      <c r="E352" t="s">
        <v>47</v>
      </c>
      <c r="F352">
        <v>131997525</v>
      </c>
      <c r="G352" t="s">
        <v>411</v>
      </c>
      <c r="H352">
        <v>7119</v>
      </c>
      <c r="I352">
        <v>1840</v>
      </c>
      <c r="J352">
        <v>460</v>
      </c>
      <c r="K352">
        <v>24</v>
      </c>
      <c r="L352">
        <v>172.2</v>
      </c>
      <c r="M352">
        <v>-162.69999999999999</v>
      </c>
      <c r="N352" s="10">
        <v>1900000</v>
      </c>
      <c r="O352" s="10">
        <v>-566000</v>
      </c>
      <c r="P352" s="10">
        <v>67200</v>
      </c>
      <c r="Q352">
        <v>0</v>
      </c>
      <c r="R352">
        <v>0</v>
      </c>
      <c r="S352" t="s">
        <v>11</v>
      </c>
      <c r="T352" t="s">
        <v>49</v>
      </c>
      <c r="U352" t="s">
        <v>1878</v>
      </c>
      <c r="W352" s="10"/>
    </row>
    <row r="353" spans="1:23" x14ac:dyDescent="0.25">
      <c r="A353">
        <v>131997540</v>
      </c>
      <c r="B353">
        <v>8.7200000000000006</v>
      </c>
      <c r="C353">
        <v>2</v>
      </c>
      <c r="D353" t="s">
        <v>102</v>
      </c>
      <c r="E353" t="s">
        <v>51</v>
      </c>
      <c r="F353">
        <v>131997540</v>
      </c>
      <c r="G353" t="s">
        <v>412</v>
      </c>
      <c r="H353">
        <v>4280</v>
      </c>
      <c r="I353">
        <v>982</v>
      </c>
      <c r="J353">
        <v>491</v>
      </c>
      <c r="K353">
        <v>13</v>
      </c>
      <c r="L353">
        <v>103.8</v>
      </c>
      <c r="M353">
        <v>-28.2</v>
      </c>
      <c r="N353" s="10">
        <v>275000</v>
      </c>
      <c r="O353" s="10">
        <v>-34600</v>
      </c>
      <c r="P353" s="10">
        <v>4670</v>
      </c>
      <c r="Q353">
        <v>0</v>
      </c>
      <c r="R353">
        <v>0</v>
      </c>
      <c r="S353" t="s">
        <v>11</v>
      </c>
      <c r="T353" t="s">
        <v>49</v>
      </c>
      <c r="U353" t="s">
        <v>1878</v>
      </c>
      <c r="W353" s="10"/>
    </row>
    <row r="354" spans="1:23" x14ac:dyDescent="0.25">
      <c r="A354">
        <v>131997548</v>
      </c>
      <c r="B354">
        <v>8.0399999999999991</v>
      </c>
      <c r="C354">
        <v>2</v>
      </c>
      <c r="D354" t="s">
        <v>54</v>
      </c>
      <c r="E354" t="s">
        <v>47</v>
      </c>
      <c r="F354">
        <v>131997548</v>
      </c>
      <c r="G354" t="s">
        <v>413</v>
      </c>
      <c r="H354">
        <v>4854</v>
      </c>
      <c r="I354">
        <v>1208</v>
      </c>
      <c r="J354">
        <v>604</v>
      </c>
      <c r="K354">
        <v>16</v>
      </c>
      <c r="L354">
        <v>195</v>
      </c>
      <c r="M354">
        <v>-35.9</v>
      </c>
      <c r="N354" s="10">
        <v>451000</v>
      </c>
      <c r="O354" s="10">
        <v>-49800</v>
      </c>
      <c r="P354" s="10">
        <v>5750</v>
      </c>
      <c r="Q354">
        <v>8</v>
      </c>
      <c r="R354">
        <v>11056</v>
      </c>
      <c r="S354" t="s">
        <v>11</v>
      </c>
      <c r="T354" t="s">
        <v>49</v>
      </c>
      <c r="U354" t="s">
        <v>1878</v>
      </c>
      <c r="W354" s="10"/>
    </row>
    <row r="355" spans="1:23" x14ac:dyDescent="0.25">
      <c r="A355">
        <v>131997556</v>
      </c>
      <c r="B355">
        <v>13.3</v>
      </c>
      <c r="C355">
        <v>3</v>
      </c>
      <c r="D355" t="s">
        <v>60</v>
      </c>
      <c r="E355" t="s">
        <v>47</v>
      </c>
      <c r="F355">
        <v>131997556</v>
      </c>
      <c r="G355" t="s">
        <v>414</v>
      </c>
      <c r="H355">
        <v>4944</v>
      </c>
      <c r="I355">
        <v>1115</v>
      </c>
      <c r="J355">
        <v>372</v>
      </c>
      <c r="K355">
        <v>14</v>
      </c>
      <c r="L355">
        <v>221.2</v>
      </c>
      <c r="M355">
        <v>-46.1</v>
      </c>
      <c r="N355" s="10">
        <v>423000</v>
      </c>
      <c r="O355" s="10">
        <v>-40200</v>
      </c>
      <c r="P355" s="10">
        <v>6800</v>
      </c>
      <c r="Q355">
        <v>0</v>
      </c>
      <c r="R355">
        <v>0</v>
      </c>
      <c r="S355" t="s">
        <v>11</v>
      </c>
      <c r="T355" t="s">
        <v>49</v>
      </c>
      <c r="U355" t="s">
        <v>1878</v>
      </c>
      <c r="W355" s="10"/>
    </row>
    <row r="356" spans="1:23" x14ac:dyDescent="0.25">
      <c r="A356">
        <v>131997566</v>
      </c>
      <c r="B356">
        <v>7.85</v>
      </c>
      <c r="C356">
        <v>2</v>
      </c>
      <c r="D356" t="s">
        <v>60</v>
      </c>
      <c r="E356" t="s">
        <v>55</v>
      </c>
      <c r="F356">
        <v>131997566</v>
      </c>
      <c r="G356" t="s">
        <v>415</v>
      </c>
      <c r="H356">
        <v>5346</v>
      </c>
      <c r="I356">
        <v>1362</v>
      </c>
      <c r="J356">
        <v>681</v>
      </c>
      <c r="K356">
        <v>18</v>
      </c>
      <c r="L356">
        <v>141.30000000000001</v>
      </c>
      <c r="M356">
        <v>-41.7</v>
      </c>
      <c r="N356" s="10">
        <v>300000</v>
      </c>
      <c r="O356" s="10">
        <v>-29900</v>
      </c>
      <c r="P356" s="10">
        <v>8300</v>
      </c>
      <c r="Q356">
        <v>0</v>
      </c>
      <c r="R356">
        <v>0</v>
      </c>
      <c r="S356" t="s">
        <v>11</v>
      </c>
      <c r="T356" t="s">
        <v>49</v>
      </c>
      <c r="U356" t="s">
        <v>1878</v>
      </c>
      <c r="W356" s="10"/>
    </row>
    <row r="357" spans="1:23" x14ac:dyDescent="0.25">
      <c r="A357">
        <v>131997612</v>
      </c>
      <c r="B357">
        <v>8.16</v>
      </c>
      <c r="C357">
        <v>2</v>
      </c>
      <c r="D357" t="s">
        <v>310</v>
      </c>
      <c r="E357" t="s">
        <v>51</v>
      </c>
      <c r="F357">
        <v>131997612</v>
      </c>
      <c r="G357" t="s">
        <v>416</v>
      </c>
      <c r="H357">
        <v>6956</v>
      </c>
      <c r="I357">
        <v>1705</v>
      </c>
      <c r="J357">
        <v>853</v>
      </c>
      <c r="K357">
        <v>22</v>
      </c>
      <c r="L357">
        <v>157.30000000000001</v>
      </c>
      <c r="M357">
        <v>-49.9</v>
      </c>
      <c r="N357" s="10">
        <v>412000</v>
      </c>
      <c r="O357" s="10">
        <v>-63900</v>
      </c>
      <c r="P357" s="10">
        <v>70300</v>
      </c>
      <c r="Q357">
        <v>0</v>
      </c>
      <c r="R357">
        <v>0</v>
      </c>
      <c r="S357" t="s">
        <v>11</v>
      </c>
      <c r="T357" t="s">
        <v>49</v>
      </c>
      <c r="U357" t="s">
        <v>1878</v>
      </c>
      <c r="W357" s="10"/>
    </row>
    <row r="358" spans="1:23" x14ac:dyDescent="0.25">
      <c r="A358">
        <v>131997629</v>
      </c>
      <c r="B358">
        <v>10.8</v>
      </c>
      <c r="C358">
        <v>3</v>
      </c>
      <c r="D358" t="s">
        <v>369</v>
      </c>
      <c r="E358" t="s">
        <v>47</v>
      </c>
      <c r="F358">
        <v>131997629</v>
      </c>
      <c r="G358" t="s">
        <v>417</v>
      </c>
      <c r="H358">
        <v>8106</v>
      </c>
      <c r="I358">
        <v>2252</v>
      </c>
      <c r="J358">
        <v>751</v>
      </c>
      <c r="K358">
        <v>29</v>
      </c>
      <c r="L358">
        <v>301.2</v>
      </c>
      <c r="M358">
        <v>-61.4</v>
      </c>
      <c r="N358" s="10">
        <v>738000</v>
      </c>
      <c r="O358" s="10">
        <v>-87200</v>
      </c>
      <c r="P358" s="10">
        <v>10700</v>
      </c>
      <c r="Q358">
        <v>8</v>
      </c>
      <c r="R358">
        <v>11056</v>
      </c>
      <c r="S358" t="s">
        <v>11</v>
      </c>
      <c r="T358" t="s">
        <v>49</v>
      </c>
      <c r="U358" t="s">
        <v>1878</v>
      </c>
      <c r="W358" s="10"/>
    </row>
    <row r="359" spans="1:23" x14ac:dyDescent="0.25">
      <c r="A359">
        <v>131997650</v>
      </c>
      <c r="B359">
        <v>8.39</v>
      </c>
      <c r="C359">
        <v>2</v>
      </c>
      <c r="D359" t="s">
        <v>60</v>
      </c>
      <c r="E359" t="s">
        <v>55</v>
      </c>
      <c r="F359">
        <v>131997650</v>
      </c>
      <c r="G359" t="s">
        <v>418</v>
      </c>
      <c r="H359">
        <v>6941</v>
      </c>
      <c r="I359">
        <v>1655</v>
      </c>
      <c r="J359">
        <v>828</v>
      </c>
      <c r="K359">
        <v>21</v>
      </c>
      <c r="L359">
        <v>196.3</v>
      </c>
      <c r="M359">
        <v>-57.8</v>
      </c>
      <c r="N359" s="10">
        <v>403000</v>
      </c>
      <c r="O359" s="10">
        <v>-41600</v>
      </c>
      <c r="P359" s="10">
        <v>10100</v>
      </c>
      <c r="Q359">
        <v>0</v>
      </c>
      <c r="R359">
        <v>0</v>
      </c>
      <c r="S359" t="s">
        <v>11</v>
      </c>
      <c r="T359" t="s">
        <v>49</v>
      </c>
      <c r="U359" t="s">
        <v>1878</v>
      </c>
      <c r="W359" s="10"/>
    </row>
    <row r="360" spans="1:23" x14ac:dyDescent="0.25">
      <c r="A360">
        <v>131997657</v>
      </c>
      <c r="B360">
        <v>10.3</v>
      </c>
      <c r="C360">
        <v>2</v>
      </c>
      <c r="D360" t="s">
        <v>60</v>
      </c>
      <c r="E360" t="s">
        <v>51</v>
      </c>
      <c r="F360">
        <v>131997657</v>
      </c>
      <c r="G360" t="s">
        <v>419</v>
      </c>
      <c r="H360">
        <v>3017</v>
      </c>
      <c r="I360">
        <v>586</v>
      </c>
      <c r="J360">
        <v>293</v>
      </c>
      <c r="K360">
        <v>8</v>
      </c>
      <c r="L360">
        <v>96.9</v>
      </c>
      <c r="M360">
        <v>-26.6</v>
      </c>
      <c r="N360" s="10">
        <v>187000</v>
      </c>
      <c r="O360" s="10">
        <v>-19600</v>
      </c>
      <c r="P360" s="10">
        <v>3570</v>
      </c>
      <c r="Q360">
        <v>0</v>
      </c>
      <c r="R360">
        <v>0</v>
      </c>
      <c r="S360" t="s">
        <v>11</v>
      </c>
      <c r="T360" t="s">
        <v>49</v>
      </c>
      <c r="U360" t="s">
        <v>1878</v>
      </c>
      <c r="W360" s="10"/>
    </row>
    <row r="361" spans="1:23" x14ac:dyDescent="0.25">
      <c r="A361">
        <v>131997677</v>
      </c>
      <c r="B361">
        <v>8.0500000000000007</v>
      </c>
      <c r="C361">
        <v>2</v>
      </c>
      <c r="D361" t="s">
        <v>54</v>
      </c>
      <c r="E361" t="s">
        <v>80</v>
      </c>
      <c r="F361">
        <v>131997677</v>
      </c>
      <c r="G361" t="s">
        <v>420</v>
      </c>
      <c r="H361">
        <v>4082</v>
      </c>
      <c r="I361">
        <v>1014</v>
      </c>
      <c r="J361">
        <v>507</v>
      </c>
      <c r="K361">
        <v>13</v>
      </c>
      <c r="L361">
        <v>131.69999999999999</v>
      </c>
      <c r="M361">
        <v>-29.4</v>
      </c>
      <c r="N361" s="10">
        <v>326000</v>
      </c>
      <c r="O361" s="10">
        <v>-40000</v>
      </c>
      <c r="P361" s="10">
        <v>4830</v>
      </c>
      <c r="Q361">
        <v>8</v>
      </c>
      <c r="R361">
        <v>11056</v>
      </c>
      <c r="S361" t="s">
        <v>11</v>
      </c>
      <c r="T361" t="s">
        <v>49</v>
      </c>
      <c r="U361" t="s">
        <v>1878</v>
      </c>
      <c r="W361" s="10"/>
    </row>
    <row r="362" spans="1:23" x14ac:dyDescent="0.25">
      <c r="A362">
        <v>131997678</v>
      </c>
      <c r="B362">
        <v>8.0500000000000007</v>
      </c>
      <c r="C362">
        <v>2</v>
      </c>
      <c r="D362" t="s">
        <v>46</v>
      </c>
      <c r="E362" t="s">
        <v>47</v>
      </c>
      <c r="F362">
        <v>131997678</v>
      </c>
      <c r="G362" t="s">
        <v>421</v>
      </c>
      <c r="H362">
        <v>7248</v>
      </c>
      <c r="I362">
        <v>1801</v>
      </c>
      <c r="J362">
        <v>901</v>
      </c>
      <c r="K362">
        <v>23</v>
      </c>
      <c r="L362">
        <v>258.8</v>
      </c>
      <c r="M362">
        <v>-49.4</v>
      </c>
      <c r="N362" s="10">
        <v>624000</v>
      </c>
      <c r="O362" s="10">
        <v>-70400</v>
      </c>
      <c r="P362" s="10">
        <v>8570</v>
      </c>
      <c r="Q362">
        <v>8</v>
      </c>
      <c r="R362">
        <v>11056</v>
      </c>
      <c r="S362" t="s">
        <v>11</v>
      </c>
      <c r="T362" t="s">
        <v>49</v>
      </c>
      <c r="U362" t="s">
        <v>1878</v>
      </c>
      <c r="W362" s="10"/>
    </row>
    <row r="363" spans="1:23" x14ac:dyDescent="0.25">
      <c r="A363">
        <v>131997686</v>
      </c>
      <c r="B363">
        <v>5.85</v>
      </c>
      <c r="C363">
        <v>1</v>
      </c>
      <c r="D363" t="s">
        <v>60</v>
      </c>
      <c r="E363" t="s">
        <v>47</v>
      </c>
      <c r="F363">
        <v>131997686</v>
      </c>
      <c r="G363" t="s">
        <v>422</v>
      </c>
      <c r="H363">
        <v>2383</v>
      </c>
      <c r="I363">
        <v>407</v>
      </c>
      <c r="J363">
        <v>407</v>
      </c>
      <c r="K363">
        <v>5</v>
      </c>
      <c r="L363">
        <v>137.69999999999999</v>
      </c>
      <c r="M363">
        <v>-22.6</v>
      </c>
      <c r="N363" s="10">
        <v>255000</v>
      </c>
      <c r="O363" s="10">
        <v>-21200</v>
      </c>
      <c r="P363" s="10">
        <v>2480</v>
      </c>
      <c r="Q363">
        <v>0</v>
      </c>
      <c r="R363">
        <v>0</v>
      </c>
      <c r="S363" t="s">
        <v>11</v>
      </c>
      <c r="T363" t="s">
        <v>49</v>
      </c>
      <c r="U363" t="s">
        <v>1878</v>
      </c>
      <c r="W363" s="10"/>
    </row>
    <row r="364" spans="1:23" x14ac:dyDescent="0.25">
      <c r="A364">
        <v>131997694</v>
      </c>
      <c r="B364">
        <v>11.27</v>
      </c>
      <c r="C364">
        <v>3</v>
      </c>
      <c r="D364" t="s">
        <v>46</v>
      </c>
      <c r="E364" t="s">
        <v>47</v>
      </c>
      <c r="F364">
        <v>131997694</v>
      </c>
      <c r="G364" t="s">
        <v>423</v>
      </c>
      <c r="H364">
        <v>13531</v>
      </c>
      <c r="I364">
        <v>3603</v>
      </c>
      <c r="J364">
        <v>1201</v>
      </c>
      <c r="K364">
        <v>47</v>
      </c>
      <c r="L364">
        <v>423.5</v>
      </c>
      <c r="M364">
        <v>-91.5</v>
      </c>
      <c r="N364" s="10">
        <v>1090000</v>
      </c>
      <c r="O364" s="10">
        <v>-130000</v>
      </c>
      <c r="P364" s="10">
        <v>17100</v>
      </c>
      <c r="Q364">
        <v>25</v>
      </c>
      <c r="R364">
        <v>34550</v>
      </c>
      <c r="S364" t="s">
        <v>11</v>
      </c>
      <c r="T364" t="s">
        <v>49</v>
      </c>
      <c r="U364" t="s">
        <v>1878</v>
      </c>
      <c r="W364" s="10"/>
    </row>
    <row r="365" spans="1:23" x14ac:dyDescent="0.25">
      <c r="A365">
        <v>131997696</v>
      </c>
      <c r="B365">
        <v>11.67</v>
      </c>
      <c r="C365">
        <v>3</v>
      </c>
      <c r="D365" t="s">
        <v>104</v>
      </c>
      <c r="E365" t="s">
        <v>58</v>
      </c>
      <c r="F365">
        <v>131997696</v>
      </c>
      <c r="G365" t="s">
        <v>424</v>
      </c>
      <c r="H365">
        <v>21149</v>
      </c>
      <c r="I365">
        <v>5436</v>
      </c>
      <c r="J365">
        <v>1812</v>
      </c>
      <c r="K365">
        <v>71</v>
      </c>
      <c r="L365">
        <v>363.5</v>
      </c>
      <c r="M365">
        <v>-487.7</v>
      </c>
      <c r="N365" s="10">
        <v>5350000</v>
      </c>
      <c r="O365" s="10">
        <v>-1650000</v>
      </c>
      <c r="P365" s="10">
        <v>198000</v>
      </c>
      <c r="Q365">
        <v>0</v>
      </c>
      <c r="R365">
        <v>0</v>
      </c>
      <c r="S365" t="s">
        <v>1879</v>
      </c>
      <c r="T365" t="s">
        <v>49</v>
      </c>
      <c r="U365" t="s">
        <v>1506</v>
      </c>
      <c r="W365" s="10"/>
    </row>
    <row r="366" spans="1:23" x14ac:dyDescent="0.25">
      <c r="A366">
        <v>131997703</v>
      </c>
      <c r="B366">
        <v>12.92</v>
      </c>
      <c r="C366">
        <v>3</v>
      </c>
      <c r="D366" t="s">
        <v>60</v>
      </c>
      <c r="E366" t="s">
        <v>47</v>
      </c>
      <c r="F366">
        <v>131997703</v>
      </c>
      <c r="G366" t="s">
        <v>425</v>
      </c>
      <c r="H366">
        <v>24966</v>
      </c>
      <c r="I366">
        <v>5797</v>
      </c>
      <c r="J366">
        <v>1932</v>
      </c>
      <c r="K366">
        <v>75</v>
      </c>
      <c r="L366">
        <v>882.2</v>
      </c>
      <c r="M366">
        <v>-205.9</v>
      </c>
      <c r="N366" s="10">
        <v>1770000</v>
      </c>
      <c r="O366" s="10">
        <v>-169000</v>
      </c>
      <c r="P366" s="10">
        <v>35300</v>
      </c>
      <c r="Q366">
        <v>0</v>
      </c>
      <c r="R366">
        <v>0</v>
      </c>
      <c r="S366" t="s">
        <v>1879</v>
      </c>
      <c r="T366" t="s">
        <v>49</v>
      </c>
      <c r="U366" t="s">
        <v>1506</v>
      </c>
      <c r="W366" s="10"/>
    </row>
    <row r="367" spans="1:23" x14ac:dyDescent="0.25">
      <c r="A367">
        <v>131997717</v>
      </c>
      <c r="B367">
        <v>9.6</v>
      </c>
      <c r="C367">
        <v>2</v>
      </c>
      <c r="D367" t="s">
        <v>60</v>
      </c>
      <c r="E367" t="s">
        <v>51</v>
      </c>
      <c r="F367">
        <v>131997717</v>
      </c>
      <c r="G367" t="s">
        <v>426</v>
      </c>
      <c r="H367">
        <v>42204</v>
      </c>
      <c r="I367">
        <v>8793</v>
      </c>
      <c r="J367">
        <v>4397</v>
      </c>
      <c r="K367">
        <v>114</v>
      </c>
      <c r="L367">
        <v>950.6</v>
      </c>
      <c r="M367">
        <v>-290.8</v>
      </c>
      <c r="N367" s="10">
        <v>2050000</v>
      </c>
      <c r="O367" s="10">
        <v>-221000</v>
      </c>
      <c r="P367" s="10">
        <v>53600</v>
      </c>
      <c r="Q367">
        <v>0</v>
      </c>
      <c r="R367">
        <v>0</v>
      </c>
      <c r="S367" t="s">
        <v>1879</v>
      </c>
      <c r="T367" t="s">
        <v>49</v>
      </c>
      <c r="U367" t="s">
        <v>1506</v>
      </c>
      <c r="W367" s="10"/>
    </row>
    <row r="368" spans="1:23" x14ac:dyDescent="0.25">
      <c r="A368">
        <v>131997755</v>
      </c>
      <c r="B368">
        <v>8.17</v>
      </c>
      <c r="C368">
        <v>2</v>
      </c>
      <c r="D368" t="s">
        <v>369</v>
      </c>
      <c r="E368" t="s">
        <v>47</v>
      </c>
      <c r="F368">
        <v>131997755</v>
      </c>
      <c r="G368" t="s">
        <v>427</v>
      </c>
      <c r="H368">
        <v>28200</v>
      </c>
      <c r="I368">
        <v>6906</v>
      </c>
      <c r="J368">
        <v>3453</v>
      </c>
      <c r="K368">
        <v>90</v>
      </c>
      <c r="L368">
        <v>856.1</v>
      </c>
      <c r="M368">
        <v>-175.3</v>
      </c>
      <c r="N368" s="10">
        <v>2180000</v>
      </c>
      <c r="O368" s="10">
        <v>-250000</v>
      </c>
      <c r="P368" s="10">
        <v>32900</v>
      </c>
      <c r="Q368">
        <v>25</v>
      </c>
      <c r="R368">
        <v>34550</v>
      </c>
      <c r="S368" t="s">
        <v>1879</v>
      </c>
      <c r="T368" t="s">
        <v>49</v>
      </c>
      <c r="U368" t="s">
        <v>1506</v>
      </c>
      <c r="W368" s="10"/>
    </row>
    <row r="369" spans="1:23" x14ac:dyDescent="0.25">
      <c r="A369">
        <v>131997778</v>
      </c>
      <c r="B369">
        <v>9.81</v>
      </c>
      <c r="C369">
        <v>2</v>
      </c>
      <c r="D369" t="s">
        <v>104</v>
      </c>
      <c r="E369" t="s">
        <v>47</v>
      </c>
      <c r="F369">
        <v>131997778</v>
      </c>
      <c r="G369" t="s">
        <v>428</v>
      </c>
      <c r="H369">
        <v>9359</v>
      </c>
      <c r="I369">
        <v>1908</v>
      </c>
      <c r="J369">
        <v>954</v>
      </c>
      <c r="K369">
        <v>25</v>
      </c>
      <c r="L369">
        <v>259.3</v>
      </c>
      <c r="M369">
        <v>-173.8</v>
      </c>
      <c r="N369" s="10">
        <v>2120000</v>
      </c>
      <c r="O369" s="10">
        <v>-586000</v>
      </c>
      <c r="P369" s="10">
        <v>69600</v>
      </c>
      <c r="Q369">
        <v>0</v>
      </c>
      <c r="R369">
        <v>0</v>
      </c>
      <c r="S369" t="s">
        <v>1879</v>
      </c>
      <c r="T369" t="s">
        <v>49</v>
      </c>
      <c r="U369" t="s">
        <v>1506</v>
      </c>
      <c r="W369" s="10"/>
    </row>
    <row r="370" spans="1:23" x14ac:dyDescent="0.25">
      <c r="A370">
        <v>131997786</v>
      </c>
      <c r="B370">
        <v>7.98</v>
      </c>
      <c r="C370">
        <v>2</v>
      </c>
      <c r="D370" t="s">
        <v>60</v>
      </c>
      <c r="E370" t="s">
        <v>51</v>
      </c>
      <c r="F370">
        <v>131997786</v>
      </c>
      <c r="G370" t="s">
        <v>429</v>
      </c>
      <c r="H370">
        <v>14240</v>
      </c>
      <c r="I370">
        <v>3567</v>
      </c>
      <c r="J370">
        <v>1784</v>
      </c>
      <c r="K370">
        <v>46</v>
      </c>
      <c r="L370">
        <v>403.8</v>
      </c>
      <c r="M370">
        <v>-117.2</v>
      </c>
      <c r="N370" s="10">
        <v>834000</v>
      </c>
      <c r="O370" s="10">
        <v>-83400</v>
      </c>
      <c r="P370" s="10">
        <v>21700</v>
      </c>
      <c r="Q370">
        <v>0</v>
      </c>
      <c r="R370">
        <v>0</v>
      </c>
      <c r="S370" t="s">
        <v>1879</v>
      </c>
      <c r="T370" t="s">
        <v>49</v>
      </c>
      <c r="U370" t="s">
        <v>1506</v>
      </c>
      <c r="W370" s="10"/>
    </row>
    <row r="371" spans="1:23" x14ac:dyDescent="0.25">
      <c r="A371">
        <v>131997793</v>
      </c>
      <c r="B371">
        <v>11.91</v>
      </c>
      <c r="C371">
        <v>3</v>
      </c>
      <c r="D371" t="s">
        <v>46</v>
      </c>
      <c r="E371" t="s">
        <v>47</v>
      </c>
      <c r="F371">
        <v>131997793</v>
      </c>
      <c r="G371" t="s">
        <v>430</v>
      </c>
      <c r="H371">
        <v>42428</v>
      </c>
      <c r="I371">
        <v>10683</v>
      </c>
      <c r="J371">
        <v>3561</v>
      </c>
      <c r="K371">
        <v>139</v>
      </c>
      <c r="L371">
        <v>920.4</v>
      </c>
      <c r="M371">
        <v>-232.8</v>
      </c>
      <c r="N371" s="10">
        <v>2720000</v>
      </c>
      <c r="O371" s="10">
        <v>-341000</v>
      </c>
      <c r="P371" s="10">
        <v>50800</v>
      </c>
      <c r="Q371">
        <v>25</v>
      </c>
      <c r="R371">
        <v>34550</v>
      </c>
      <c r="S371" t="s">
        <v>1879</v>
      </c>
      <c r="T371" t="s">
        <v>49</v>
      </c>
      <c r="U371" t="s">
        <v>1506</v>
      </c>
      <c r="W371" s="10"/>
    </row>
    <row r="372" spans="1:23" x14ac:dyDescent="0.25">
      <c r="A372">
        <v>131997799</v>
      </c>
      <c r="B372">
        <v>11.25</v>
      </c>
      <c r="C372">
        <v>3</v>
      </c>
      <c r="D372" t="s">
        <v>46</v>
      </c>
      <c r="E372" t="s">
        <v>47</v>
      </c>
      <c r="F372">
        <v>131997799</v>
      </c>
      <c r="G372" t="s">
        <v>431</v>
      </c>
      <c r="H372">
        <v>18491</v>
      </c>
      <c r="I372">
        <v>4931</v>
      </c>
      <c r="J372">
        <v>1644</v>
      </c>
      <c r="K372">
        <v>64</v>
      </c>
      <c r="L372">
        <v>555.5</v>
      </c>
      <c r="M372">
        <v>-123</v>
      </c>
      <c r="N372" s="10">
        <v>1460000</v>
      </c>
      <c r="O372" s="10">
        <v>-174000</v>
      </c>
      <c r="P372" s="10">
        <v>23500</v>
      </c>
      <c r="Q372">
        <v>25</v>
      </c>
      <c r="R372">
        <v>34550</v>
      </c>
      <c r="S372" t="s">
        <v>1879</v>
      </c>
      <c r="T372" t="s">
        <v>49</v>
      </c>
      <c r="U372" t="s">
        <v>1506</v>
      </c>
      <c r="W372" s="10"/>
    </row>
    <row r="373" spans="1:23" x14ac:dyDescent="0.25">
      <c r="A373">
        <v>131997871</v>
      </c>
      <c r="B373">
        <v>9.9</v>
      </c>
      <c r="C373">
        <v>2</v>
      </c>
      <c r="D373" t="s">
        <v>54</v>
      </c>
      <c r="E373" t="s">
        <v>47</v>
      </c>
      <c r="F373">
        <v>131997871</v>
      </c>
      <c r="G373" t="s">
        <v>432</v>
      </c>
      <c r="H373">
        <v>791</v>
      </c>
      <c r="I373">
        <v>160</v>
      </c>
      <c r="J373">
        <v>80</v>
      </c>
      <c r="K373">
        <v>2</v>
      </c>
      <c r="L373">
        <v>37.700000000000003</v>
      </c>
      <c r="M373">
        <v>-6.4</v>
      </c>
      <c r="N373" s="10">
        <v>77100</v>
      </c>
      <c r="O373" s="10">
        <v>-8470</v>
      </c>
      <c r="P373" s="10">
        <v>761</v>
      </c>
      <c r="Q373">
        <v>3</v>
      </c>
      <c r="R373">
        <v>4146</v>
      </c>
      <c r="S373" t="s">
        <v>1879</v>
      </c>
      <c r="T373" t="s">
        <v>49</v>
      </c>
      <c r="U373" t="s">
        <v>1506</v>
      </c>
      <c r="W373" s="10"/>
    </row>
    <row r="374" spans="1:23" x14ac:dyDescent="0.25">
      <c r="A374">
        <v>131997925</v>
      </c>
      <c r="B374">
        <v>9.5</v>
      </c>
      <c r="C374">
        <v>2</v>
      </c>
      <c r="D374" t="s">
        <v>60</v>
      </c>
      <c r="E374" t="s">
        <v>51</v>
      </c>
      <c r="F374">
        <v>131997925</v>
      </c>
      <c r="G374" t="s">
        <v>433</v>
      </c>
      <c r="H374">
        <v>2438</v>
      </c>
      <c r="I374">
        <v>513</v>
      </c>
      <c r="J374">
        <v>257</v>
      </c>
      <c r="K374">
        <v>7</v>
      </c>
      <c r="L374">
        <v>73.8</v>
      </c>
      <c r="M374">
        <v>-20.5</v>
      </c>
      <c r="N374" s="10">
        <v>147000</v>
      </c>
      <c r="O374" s="10">
        <v>-15400</v>
      </c>
      <c r="P374" s="10">
        <v>3130</v>
      </c>
      <c r="Q374">
        <v>0</v>
      </c>
      <c r="R374">
        <v>0</v>
      </c>
      <c r="S374" t="s">
        <v>1879</v>
      </c>
      <c r="T374" t="s">
        <v>49</v>
      </c>
      <c r="U374" t="s">
        <v>1506</v>
      </c>
      <c r="W374" s="10"/>
    </row>
    <row r="375" spans="1:23" x14ac:dyDescent="0.25">
      <c r="A375">
        <v>131998112</v>
      </c>
      <c r="B375">
        <v>12.45</v>
      </c>
      <c r="C375">
        <v>3</v>
      </c>
      <c r="D375" t="s">
        <v>60</v>
      </c>
      <c r="E375" t="s">
        <v>47</v>
      </c>
      <c r="F375">
        <v>131998112</v>
      </c>
      <c r="G375" t="s">
        <v>434</v>
      </c>
      <c r="H375">
        <v>3322</v>
      </c>
      <c r="I375">
        <v>801</v>
      </c>
      <c r="J375">
        <v>267</v>
      </c>
      <c r="K375">
        <v>10</v>
      </c>
      <c r="L375">
        <v>146.4</v>
      </c>
      <c r="M375">
        <v>-30.9</v>
      </c>
      <c r="N375" s="10">
        <v>280000</v>
      </c>
      <c r="O375" s="10">
        <v>-25500</v>
      </c>
      <c r="P375" s="10">
        <v>4880</v>
      </c>
      <c r="Q375">
        <v>0</v>
      </c>
      <c r="R375">
        <v>0</v>
      </c>
      <c r="S375" t="s">
        <v>1879</v>
      </c>
      <c r="T375" t="s">
        <v>49</v>
      </c>
      <c r="U375" t="s">
        <v>1506</v>
      </c>
      <c r="W375" s="10"/>
    </row>
    <row r="376" spans="1:23" x14ac:dyDescent="0.25">
      <c r="A376">
        <v>131998177</v>
      </c>
      <c r="B376">
        <v>5</v>
      </c>
      <c r="C376">
        <v>1</v>
      </c>
      <c r="D376" t="s">
        <v>60</v>
      </c>
      <c r="E376" t="s">
        <v>58</v>
      </c>
      <c r="F376">
        <v>131998177</v>
      </c>
      <c r="G376" t="s">
        <v>435</v>
      </c>
      <c r="H376">
        <v>440</v>
      </c>
      <c r="I376">
        <v>88</v>
      </c>
      <c r="J376">
        <v>88</v>
      </c>
      <c r="K376">
        <v>1</v>
      </c>
      <c r="L376">
        <v>21</v>
      </c>
      <c r="M376">
        <v>-5.0999999999999996</v>
      </c>
      <c r="N376" s="10">
        <v>39500</v>
      </c>
      <c r="O376" s="10">
        <v>-3760</v>
      </c>
      <c r="P376" s="10">
        <v>536</v>
      </c>
      <c r="Q376">
        <v>0</v>
      </c>
      <c r="R376">
        <v>0</v>
      </c>
      <c r="S376" t="s">
        <v>1879</v>
      </c>
      <c r="T376" t="s">
        <v>49</v>
      </c>
      <c r="U376" t="s">
        <v>1506</v>
      </c>
      <c r="W376" s="10"/>
    </row>
    <row r="377" spans="1:23" x14ac:dyDescent="0.25">
      <c r="A377">
        <v>131998267</v>
      </c>
      <c r="B377">
        <v>6.5</v>
      </c>
      <c r="C377">
        <v>1</v>
      </c>
      <c r="D377" t="s">
        <v>60</v>
      </c>
      <c r="E377" t="s">
        <v>47</v>
      </c>
      <c r="F377">
        <v>131998267</v>
      </c>
      <c r="G377" t="s">
        <v>436</v>
      </c>
      <c r="H377">
        <v>589</v>
      </c>
      <c r="I377">
        <v>91</v>
      </c>
      <c r="J377">
        <v>91</v>
      </c>
      <c r="K377">
        <v>1</v>
      </c>
      <c r="L377">
        <v>45.3</v>
      </c>
      <c r="M377">
        <v>-7</v>
      </c>
      <c r="N377" s="10">
        <v>84100</v>
      </c>
      <c r="O377" s="10">
        <v>-6600</v>
      </c>
      <c r="P377" s="10">
        <v>552</v>
      </c>
      <c r="Q377">
        <v>0</v>
      </c>
      <c r="R377">
        <v>0</v>
      </c>
      <c r="S377" t="s">
        <v>1879</v>
      </c>
      <c r="T377" t="s">
        <v>49</v>
      </c>
      <c r="U377" t="s">
        <v>1506</v>
      </c>
      <c r="W377" s="10"/>
    </row>
    <row r="378" spans="1:23" x14ac:dyDescent="0.25">
      <c r="A378">
        <v>131998888</v>
      </c>
      <c r="B378">
        <v>8.1</v>
      </c>
      <c r="C378">
        <v>2</v>
      </c>
      <c r="D378" t="s">
        <v>54</v>
      </c>
      <c r="E378" t="s">
        <v>47</v>
      </c>
      <c r="F378">
        <v>131998888</v>
      </c>
      <c r="G378" t="s">
        <v>437</v>
      </c>
      <c r="H378">
        <v>1832</v>
      </c>
      <c r="I378">
        <v>452</v>
      </c>
      <c r="J378">
        <v>226</v>
      </c>
      <c r="K378">
        <v>6</v>
      </c>
      <c r="L378">
        <v>82.6</v>
      </c>
      <c r="M378">
        <v>-14.4</v>
      </c>
      <c r="N378" s="10">
        <v>183000</v>
      </c>
      <c r="O378" s="10">
        <v>-20100</v>
      </c>
      <c r="P378" s="10">
        <v>2150</v>
      </c>
      <c r="Q378">
        <v>4.5</v>
      </c>
      <c r="R378">
        <v>6219</v>
      </c>
      <c r="S378" t="s">
        <v>1879</v>
      </c>
      <c r="T378" t="s">
        <v>49</v>
      </c>
      <c r="U378" t="s">
        <v>1506</v>
      </c>
      <c r="W378" s="10"/>
    </row>
    <row r="379" spans="1:23" x14ac:dyDescent="0.25">
      <c r="A379">
        <v>131998913</v>
      </c>
      <c r="B379">
        <v>10.9</v>
      </c>
      <c r="C379">
        <v>3</v>
      </c>
      <c r="D379" t="s">
        <v>60</v>
      </c>
      <c r="E379" t="s">
        <v>55</v>
      </c>
      <c r="F379">
        <v>131998913</v>
      </c>
      <c r="G379" t="s">
        <v>438</v>
      </c>
      <c r="H379">
        <v>2368</v>
      </c>
      <c r="I379">
        <v>652</v>
      </c>
      <c r="J379">
        <v>217</v>
      </c>
      <c r="K379">
        <v>8</v>
      </c>
      <c r="L379">
        <v>72</v>
      </c>
      <c r="M379">
        <v>-23.4</v>
      </c>
      <c r="N379" s="10">
        <v>145000</v>
      </c>
      <c r="O379" s="10">
        <v>-16500</v>
      </c>
      <c r="P379" s="10">
        <v>3970</v>
      </c>
      <c r="Q379">
        <v>0</v>
      </c>
      <c r="R379">
        <v>0</v>
      </c>
      <c r="S379" t="s">
        <v>1879</v>
      </c>
      <c r="T379" t="s">
        <v>49</v>
      </c>
      <c r="U379" t="s">
        <v>1506</v>
      </c>
      <c r="W379" s="10"/>
    </row>
    <row r="380" spans="1:23" x14ac:dyDescent="0.25">
      <c r="A380">
        <v>131999125</v>
      </c>
      <c r="B380">
        <v>5</v>
      </c>
      <c r="C380">
        <v>1</v>
      </c>
      <c r="D380" t="s">
        <v>54</v>
      </c>
      <c r="E380" t="s">
        <v>51</v>
      </c>
      <c r="F380">
        <v>131999125</v>
      </c>
      <c r="G380" t="s">
        <v>439</v>
      </c>
      <c r="H380">
        <v>504</v>
      </c>
      <c r="I380">
        <v>101</v>
      </c>
      <c r="J380">
        <v>101</v>
      </c>
      <c r="K380">
        <v>1</v>
      </c>
      <c r="L380">
        <v>21.4</v>
      </c>
      <c r="M380">
        <v>-4.5</v>
      </c>
      <c r="N380" s="10">
        <v>46100</v>
      </c>
      <c r="O380" s="10">
        <v>-5250</v>
      </c>
      <c r="P380" s="10">
        <v>480</v>
      </c>
      <c r="Q380">
        <v>4.5</v>
      </c>
      <c r="R380">
        <v>6219</v>
      </c>
      <c r="S380" t="s">
        <v>1879</v>
      </c>
      <c r="T380" t="s">
        <v>49</v>
      </c>
      <c r="U380" t="s">
        <v>1506</v>
      </c>
      <c r="W380" s="10"/>
    </row>
    <row r="381" spans="1:23" x14ac:dyDescent="0.25">
      <c r="A381">
        <v>131999247</v>
      </c>
      <c r="B381">
        <v>10.1</v>
      </c>
      <c r="C381">
        <v>2</v>
      </c>
      <c r="D381" t="s">
        <v>54</v>
      </c>
      <c r="E381" t="s">
        <v>47</v>
      </c>
      <c r="F381">
        <v>131999247</v>
      </c>
      <c r="G381" t="s">
        <v>440</v>
      </c>
      <c r="H381">
        <v>3174</v>
      </c>
      <c r="I381">
        <v>629</v>
      </c>
      <c r="J381">
        <v>315</v>
      </c>
      <c r="K381">
        <v>8</v>
      </c>
      <c r="L381">
        <v>124.8</v>
      </c>
      <c r="M381">
        <v>-21.8</v>
      </c>
      <c r="N381" s="10">
        <v>271000</v>
      </c>
      <c r="O381" s="10">
        <v>-29600</v>
      </c>
      <c r="P381" s="10">
        <v>2990</v>
      </c>
      <c r="Q381">
        <v>8</v>
      </c>
      <c r="R381">
        <v>11056</v>
      </c>
      <c r="S381" t="s">
        <v>1879</v>
      </c>
      <c r="T381" t="s">
        <v>49</v>
      </c>
      <c r="U381" t="s">
        <v>1506</v>
      </c>
      <c r="W381" s="10"/>
    </row>
    <row r="382" spans="1:23" x14ac:dyDescent="0.25">
      <c r="A382">
        <v>131999256</v>
      </c>
      <c r="B382">
        <v>20.9</v>
      </c>
      <c r="C382">
        <v>5</v>
      </c>
      <c r="D382" t="s">
        <v>46</v>
      </c>
      <c r="E382" t="s">
        <v>47</v>
      </c>
      <c r="F382">
        <v>131999256</v>
      </c>
      <c r="G382" t="s">
        <v>441</v>
      </c>
      <c r="H382">
        <v>30815</v>
      </c>
      <c r="I382">
        <v>7372</v>
      </c>
      <c r="J382">
        <v>1474</v>
      </c>
      <c r="K382">
        <v>96</v>
      </c>
      <c r="L382">
        <v>801.7</v>
      </c>
      <c r="M382">
        <v>-191.8</v>
      </c>
      <c r="N382" s="10">
        <v>2120000</v>
      </c>
      <c r="O382" s="10">
        <v>-259000</v>
      </c>
      <c r="P382" s="10">
        <v>35100</v>
      </c>
      <c r="Q382">
        <v>25</v>
      </c>
      <c r="R382">
        <v>34550</v>
      </c>
      <c r="S382" t="s">
        <v>1879</v>
      </c>
      <c r="T382" t="s">
        <v>49</v>
      </c>
      <c r="U382" t="s">
        <v>1506</v>
      </c>
      <c r="W382" s="10"/>
    </row>
    <row r="383" spans="1:23" x14ac:dyDescent="0.25">
      <c r="A383">
        <v>131999316</v>
      </c>
      <c r="B383">
        <v>8.6999999999999993</v>
      </c>
      <c r="C383">
        <v>2</v>
      </c>
      <c r="D383" t="s">
        <v>60</v>
      </c>
      <c r="E383" t="s">
        <v>47</v>
      </c>
      <c r="F383">
        <v>131999316</v>
      </c>
      <c r="G383" t="s">
        <v>442</v>
      </c>
      <c r="H383">
        <v>1459</v>
      </c>
      <c r="I383">
        <v>335</v>
      </c>
      <c r="J383">
        <v>168</v>
      </c>
      <c r="K383">
        <v>4</v>
      </c>
      <c r="L383">
        <v>44.5</v>
      </c>
      <c r="M383">
        <v>-10.4</v>
      </c>
      <c r="N383" s="10">
        <v>93300</v>
      </c>
      <c r="O383" s="10">
        <v>-8920</v>
      </c>
      <c r="P383" s="10">
        <v>2040</v>
      </c>
      <c r="Q383">
        <v>0</v>
      </c>
      <c r="R383">
        <v>0</v>
      </c>
      <c r="S383" t="s">
        <v>1879</v>
      </c>
      <c r="T383" t="s">
        <v>49</v>
      </c>
      <c r="U383" t="s">
        <v>1506</v>
      </c>
      <c r="W383" s="10"/>
    </row>
    <row r="384" spans="1:23" x14ac:dyDescent="0.25">
      <c r="A384">
        <v>131999363</v>
      </c>
      <c r="B384">
        <v>9.73</v>
      </c>
      <c r="C384">
        <v>2</v>
      </c>
      <c r="D384" t="s">
        <v>60</v>
      </c>
      <c r="E384" t="s">
        <v>55</v>
      </c>
      <c r="F384">
        <v>131999363</v>
      </c>
      <c r="G384" t="s">
        <v>443</v>
      </c>
      <c r="H384">
        <v>1919</v>
      </c>
      <c r="I384">
        <v>394</v>
      </c>
      <c r="J384">
        <v>197</v>
      </c>
      <c r="K384">
        <v>5</v>
      </c>
      <c r="L384">
        <v>55.1</v>
      </c>
      <c r="M384">
        <v>-16.3</v>
      </c>
      <c r="N384" s="10">
        <v>110000</v>
      </c>
      <c r="O384" s="10">
        <v>-11900</v>
      </c>
      <c r="P384" s="10">
        <v>2400</v>
      </c>
      <c r="Q384">
        <v>0</v>
      </c>
      <c r="R384">
        <v>0</v>
      </c>
      <c r="S384" t="s">
        <v>1879</v>
      </c>
      <c r="T384" t="s">
        <v>49</v>
      </c>
      <c r="U384" t="s">
        <v>1506</v>
      </c>
      <c r="W384" s="10"/>
    </row>
    <row r="385" spans="1:23" x14ac:dyDescent="0.25">
      <c r="A385">
        <v>131999397</v>
      </c>
      <c r="B385">
        <v>15.5</v>
      </c>
      <c r="C385">
        <v>4</v>
      </c>
      <c r="D385" t="s">
        <v>60</v>
      </c>
      <c r="E385" t="s">
        <v>55</v>
      </c>
      <c r="F385">
        <v>131999397</v>
      </c>
      <c r="G385" t="s">
        <v>444</v>
      </c>
      <c r="H385">
        <v>2337</v>
      </c>
      <c r="I385">
        <v>603</v>
      </c>
      <c r="J385">
        <v>151</v>
      </c>
      <c r="K385">
        <v>8</v>
      </c>
      <c r="L385">
        <v>51.9</v>
      </c>
      <c r="M385">
        <v>-19.399999999999999</v>
      </c>
      <c r="N385" s="10">
        <v>112000</v>
      </c>
      <c r="O385" s="10">
        <v>-13000</v>
      </c>
      <c r="P385" s="10">
        <v>3680</v>
      </c>
      <c r="Q385">
        <v>0</v>
      </c>
      <c r="R385">
        <v>0</v>
      </c>
      <c r="S385" t="s">
        <v>1879</v>
      </c>
      <c r="T385" t="s">
        <v>49</v>
      </c>
      <c r="U385" t="s">
        <v>1506</v>
      </c>
      <c r="W385" s="10"/>
    </row>
    <row r="386" spans="1:23" x14ac:dyDescent="0.25">
      <c r="A386">
        <v>131999430</v>
      </c>
      <c r="B386">
        <v>7.4</v>
      </c>
      <c r="C386">
        <v>2</v>
      </c>
      <c r="D386" t="s">
        <v>60</v>
      </c>
      <c r="E386" t="s">
        <v>47</v>
      </c>
      <c r="F386">
        <v>131999430</v>
      </c>
      <c r="G386" t="s">
        <v>445</v>
      </c>
      <c r="H386">
        <v>1377</v>
      </c>
      <c r="I386">
        <v>372</v>
      </c>
      <c r="J386">
        <v>186</v>
      </c>
      <c r="K386">
        <v>5</v>
      </c>
      <c r="L386">
        <v>63.1</v>
      </c>
      <c r="M386">
        <v>-13.3</v>
      </c>
      <c r="N386" s="10">
        <v>121000</v>
      </c>
      <c r="O386" s="10">
        <v>-11400</v>
      </c>
      <c r="P386" s="10">
        <v>2270</v>
      </c>
      <c r="Q386">
        <v>0</v>
      </c>
      <c r="R386">
        <v>0</v>
      </c>
      <c r="S386" t="s">
        <v>1879</v>
      </c>
      <c r="T386" t="s">
        <v>49</v>
      </c>
      <c r="U386" t="s">
        <v>1506</v>
      </c>
      <c r="W386" s="10"/>
    </row>
    <row r="387" spans="1:23" x14ac:dyDescent="0.25">
      <c r="A387">
        <v>131999479</v>
      </c>
      <c r="B387">
        <v>5.3</v>
      </c>
      <c r="C387">
        <v>1</v>
      </c>
      <c r="D387" t="s">
        <v>46</v>
      </c>
      <c r="E387" t="s">
        <v>55</v>
      </c>
      <c r="F387">
        <v>131999479</v>
      </c>
      <c r="G387" t="s">
        <v>446</v>
      </c>
      <c r="H387">
        <v>1703</v>
      </c>
      <c r="I387">
        <v>321</v>
      </c>
      <c r="J387">
        <v>321</v>
      </c>
      <c r="K387">
        <v>4</v>
      </c>
      <c r="L387">
        <v>51.6</v>
      </c>
      <c r="M387">
        <v>-11.3</v>
      </c>
      <c r="N387" s="10">
        <v>120000</v>
      </c>
      <c r="O387" s="10">
        <v>-13400</v>
      </c>
      <c r="P387" s="10">
        <v>1530</v>
      </c>
      <c r="Q387">
        <v>8</v>
      </c>
      <c r="R387">
        <v>11056</v>
      </c>
      <c r="S387" t="s">
        <v>1879</v>
      </c>
      <c r="T387" t="s">
        <v>49</v>
      </c>
      <c r="U387" t="s">
        <v>1506</v>
      </c>
      <c r="W387" s="10"/>
    </row>
    <row r="388" spans="1:23" x14ac:dyDescent="0.25">
      <c r="A388">
        <v>131999538</v>
      </c>
      <c r="B388">
        <v>12.5</v>
      </c>
      <c r="C388">
        <v>3</v>
      </c>
      <c r="D388" t="s">
        <v>60</v>
      </c>
      <c r="E388" t="s">
        <v>51</v>
      </c>
      <c r="F388">
        <v>131999538</v>
      </c>
      <c r="G388" t="s">
        <v>447</v>
      </c>
      <c r="H388">
        <v>3092</v>
      </c>
      <c r="I388">
        <v>742</v>
      </c>
      <c r="J388">
        <v>247</v>
      </c>
      <c r="K388">
        <v>10</v>
      </c>
      <c r="L388">
        <v>82.7</v>
      </c>
      <c r="M388">
        <v>-25.9</v>
      </c>
      <c r="N388" s="10">
        <v>170000</v>
      </c>
      <c r="O388" s="10">
        <v>-17500</v>
      </c>
      <c r="P388" s="10">
        <v>4520</v>
      </c>
      <c r="Q388">
        <v>0</v>
      </c>
      <c r="R388">
        <v>0</v>
      </c>
      <c r="S388" t="s">
        <v>1879</v>
      </c>
      <c r="T388" t="s">
        <v>49</v>
      </c>
      <c r="U388" t="s">
        <v>1506</v>
      </c>
      <c r="W388" s="10"/>
    </row>
    <row r="389" spans="1:23" x14ac:dyDescent="0.25">
      <c r="A389">
        <v>131999543</v>
      </c>
      <c r="B389">
        <v>7.7</v>
      </c>
      <c r="C389">
        <v>2</v>
      </c>
      <c r="D389" t="s">
        <v>60</v>
      </c>
      <c r="E389" t="s">
        <v>51</v>
      </c>
      <c r="F389">
        <v>131999543</v>
      </c>
      <c r="G389" t="s">
        <v>448</v>
      </c>
      <c r="H389">
        <v>941</v>
      </c>
      <c r="I389">
        <v>244</v>
      </c>
      <c r="J389">
        <v>122</v>
      </c>
      <c r="K389">
        <v>3</v>
      </c>
      <c r="L389">
        <v>31.1</v>
      </c>
      <c r="M389">
        <v>-8.5</v>
      </c>
      <c r="N389" s="10">
        <v>61600</v>
      </c>
      <c r="O389" s="10">
        <v>-6210</v>
      </c>
      <c r="P389" s="10">
        <v>1490</v>
      </c>
      <c r="Q389">
        <v>0</v>
      </c>
      <c r="R389">
        <v>0</v>
      </c>
      <c r="S389" t="s">
        <v>1879</v>
      </c>
      <c r="T389" t="s">
        <v>49</v>
      </c>
      <c r="U389" t="s">
        <v>1506</v>
      </c>
      <c r="W389" s="10"/>
    </row>
    <row r="390" spans="1:23" x14ac:dyDescent="0.25">
      <c r="A390">
        <v>131999662</v>
      </c>
      <c r="B390">
        <v>5.6</v>
      </c>
      <c r="C390">
        <v>1</v>
      </c>
      <c r="D390" t="s">
        <v>54</v>
      </c>
      <c r="E390" t="s">
        <v>51</v>
      </c>
      <c r="F390">
        <v>131999662</v>
      </c>
      <c r="G390" t="s">
        <v>449</v>
      </c>
      <c r="H390">
        <v>498</v>
      </c>
      <c r="I390">
        <v>89</v>
      </c>
      <c r="J390">
        <v>89</v>
      </c>
      <c r="K390">
        <v>1</v>
      </c>
      <c r="L390">
        <v>19.8</v>
      </c>
      <c r="M390">
        <v>-4.2</v>
      </c>
      <c r="N390" s="10">
        <v>42300</v>
      </c>
      <c r="O390" s="10">
        <v>-4740</v>
      </c>
      <c r="P390" s="10">
        <v>423</v>
      </c>
      <c r="Q390">
        <v>3</v>
      </c>
      <c r="R390">
        <v>4146</v>
      </c>
      <c r="S390" t="s">
        <v>1879</v>
      </c>
      <c r="T390" t="s">
        <v>49</v>
      </c>
      <c r="U390" t="s">
        <v>1506</v>
      </c>
      <c r="W390" s="10"/>
    </row>
    <row r="391" spans="1:23" x14ac:dyDescent="0.25">
      <c r="A391">
        <v>131999681</v>
      </c>
      <c r="B391">
        <v>9.3000000000000007</v>
      </c>
      <c r="C391">
        <v>2</v>
      </c>
      <c r="D391" t="s">
        <v>60</v>
      </c>
      <c r="E391" t="s">
        <v>47</v>
      </c>
      <c r="F391">
        <v>131999681</v>
      </c>
      <c r="G391" t="s">
        <v>450</v>
      </c>
      <c r="H391">
        <v>2107</v>
      </c>
      <c r="I391">
        <v>453</v>
      </c>
      <c r="J391">
        <v>227</v>
      </c>
      <c r="K391">
        <v>6</v>
      </c>
      <c r="L391">
        <v>86.5</v>
      </c>
      <c r="M391">
        <v>-18</v>
      </c>
      <c r="N391" s="10">
        <v>166000</v>
      </c>
      <c r="O391" s="10">
        <v>-16100</v>
      </c>
      <c r="P391" s="10">
        <v>2760</v>
      </c>
      <c r="Q391">
        <v>0</v>
      </c>
      <c r="R391">
        <v>0</v>
      </c>
      <c r="S391" t="s">
        <v>1879</v>
      </c>
      <c r="T391" t="s">
        <v>49</v>
      </c>
      <c r="U391" t="s">
        <v>1506</v>
      </c>
      <c r="W391" s="10"/>
    </row>
    <row r="392" spans="1:23" x14ac:dyDescent="0.25">
      <c r="A392">
        <v>131999746</v>
      </c>
      <c r="B392">
        <v>11.6</v>
      </c>
      <c r="C392">
        <v>3</v>
      </c>
      <c r="D392" t="s">
        <v>60</v>
      </c>
      <c r="E392" t="s">
        <v>55</v>
      </c>
      <c r="F392">
        <v>131999746</v>
      </c>
      <c r="G392" t="s">
        <v>451</v>
      </c>
      <c r="H392">
        <v>2420</v>
      </c>
      <c r="I392">
        <v>626</v>
      </c>
      <c r="J392">
        <v>209</v>
      </c>
      <c r="K392">
        <v>8</v>
      </c>
      <c r="L392">
        <v>71.2</v>
      </c>
      <c r="M392">
        <v>-23</v>
      </c>
      <c r="N392" s="10">
        <v>143000</v>
      </c>
      <c r="O392" s="10">
        <v>-16000</v>
      </c>
      <c r="P392" s="10">
        <v>3820</v>
      </c>
      <c r="Q392">
        <v>0</v>
      </c>
      <c r="R392">
        <v>0</v>
      </c>
      <c r="S392" t="s">
        <v>1879</v>
      </c>
      <c r="T392" t="s">
        <v>49</v>
      </c>
      <c r="U392" t="s">
        <v>1506</v>
      </c>
      <c r="W392" s="10"/>
    </row>
    <row r="393" spans="1:23" x14ac:dyDescent="0.25">
      <c r="A393">
        <v>131999805</v>
      </c>
      <c r="B393">
        <v>5.9</v>
      </c>
      <c r="C393">
        <v>1</v>
      </c>
      <c r="D393" t="s">
        <v>60</v>
      </c>
      <c r="E393" t="s">
        <v>55</v>
      </c>
      <c r="F393">
        <v>131999805</v>
      </c>
      <c r="G393" t="s">
        <v>452</v>
      </c>
      <c r="H393">
        <v>814</v>
      </c>
      <c r="I393">
        <v>138</v>
      </c>
      <c r="J393">
        <v>138</v>
      </c>
      <c r="K393">
        <v>2</v>
      </c>
      <c r="L393">
        <v>33</v>
      </c>
      <c r="M393">
        <v>-8</v>
      </c>
      <c r="N393" s="10">
        <v>63200</v>
      </c>
      <c r="O393" s="10">
        <v>-6490</v>
      </c>
      <c r="P393" s="10">
        <v>841</v>
      </c>
      <c r="Q393">
        <v>0</v>
      </c>
      <c r="R393">
        <v>0</v>
      </c>
      <c r="S393" t="s">
        <v>1879</v>
      </c>
      <c r="T393" t="s">
        <v>49</v>
      </c>
      <c r="U393" t="s">
        <v>1506</v>
      </c>
      <c r="W393" s="10"/>
    </row>
    <row r="394" spans="1:23" x14ac:dyDescent="0.25">
      <c r="A394">
        <v>131999835</v>
      </c>
      <c r="B394">
        <v>7.25</v>
      </c>
      <c r="C394">
        <v>2</v>
      </c>
      <c r="D394" t="s">
        <v>60</v>
      </c>
      <c r="E394" t="s">
        <v>51</v>
      </c>
      <c r="F394">
        <v>131999835</v>
      </c>
      <c r="G394" t="s">
        <v>453</v>
      </c>
      <c r="H394">
        <v>1353</v>
      </c>
      <c r="I394">
        <v>373</v>
      </c>
      <c r="J394">
        <v>187</v>
      </c>
      <c r="K394">
        <v>5</v>
      </c>
      <c r="L394">
        <v>41.3</v>
      </c>
      <c r="M394">
        <v>-11.7</v>
      </c>
      <c r="N394" s="10">
        <v>84900</v>
      </c>
      <c r="O394" s="10">
        <v>-8120</v>
      </c>
      <c r="P394" s="10">
        <v>2280</v>
      </c>
      <c r="Q394">
        <v>0</v>
      </c>
      <c r="R394">
        <v>0</v>
      </c>
      <c r="S394" t="s">
        <v>1879</v>
      </c>
      <c r="T394" t="s">
        <v>49</v>
      </c>
      <c r="U394" t="s">
        <v>1506</v>
      </c>
      <c r="W394" s="10"/>
    </row>
    <row r="395" spans="1:23" x14ac:dyDescent="0.25">
      <c r="A395">
        <v>131999935</v>
      </c>
      <c r="B395">
        <v>5.0999999999999996</v>
      </c>
      <c r="C395">
        <v>1</v>
      </c>
      <c r="D395" t="s">
        <v>60</v>
      </c>
      <c r="E395" t="s">
        <v>47</v>
      </c>
      <c r="F395">
        <v>131999935</v>
      </c>
      <c r="G395" t="s">
        <v>454</v>
      </c>
      <c r="H395">
        <v>604</v>
      </c>
      <c r="I395">
        <v>118</v>
      </c>
      <c r="J395">
        <v>118</v>
      </c>
      <c r="K395">
        <v>2</v>
      </c>
      <c r="L395">
        <v>43</v>
      </c>
      <c r="M395">
        <v>-6.7</v>
      </c>
      <c r="N395" s="10">
        <v>78800</v>
      </c>
      <c r="O395" s="10">
        <v>-6160</v>
      </c>
      <c r="P395" s="10">
        <v>722</v>
      </c>
      <c r="Q395">
        <v>0</v>
      </c>
      <c r="R395">
        <v>0</v>
      </c>
      <c r="S395" t="s">
        <v>1879</v>
      </c>
      <c r="T395" t="s">
        <v>49</v>
      </c>
      <c r="U395" t="s">
        <v>1506</v>
      </c>
      <c r="W395" s="10"/>
    </row>
    <row r="396" spans="1:23" x14ac:dyDescent="0.25">
      <c r="A396">
        <v>131999937</v>
      </c>
      <c r="B396">
        <v>3.8</v>
      </c>
      <c r="C396">
        <v>1</v>
      </c>
      <c r="D396" t="s">
        <v>54</v>
      </c>
      <c r="E396" t="s">
        <v>47</v>
      </c>
      <c r="F396">
        <v>131999937</v>
      </c>
      <c r="G396" t="s">
        <v>455</v>
      </c>
      <c r="H396">
        <v>550</v>
      </c>
      <c r="I396">
        <v>145</v>
      </c>
      <c r="J396">
        <v>145</v>
      </c>
      <c r="K396">
        <v>2</v>
      </c>
      <c r="L396">
        <v>37</v>
      </c>
      <c r="M396">
        <v>-5.4</v>
      </c>
      <c r="N396" s="10">
        <v>76500</v>
      </c>
      <c r="O396" s="10">
        <v>-7400</v>
      </c>
      <c r="P396" s="10">
        <v>689</v>
      </c>
      <c r="Q396">
        <v>4.5</v>
      </c>
      <c r="R396">
        <v>6219</v>
      </c>
      <c r="S396" t="s">
        <v>1879</v>
      </c>
      <c r="T396" t="s">
        <v>49</v>
      </c>
      <c r="U396" t="s">
        <v>1506</v>
      </c>
      <c r="W396" s="10"/>
    </row>
    <row r="397" spans="1:23" x14ac:dyDescent="0.25">
      <c r="A397">
        <v>131999973</v>
      </c>
      <c r="B397">
        <v>8.1</v>
      </c>
      <c r="C397">
        <v>2</v>
      </c>
      <c r="D397" t="s">
        <v>54</v>
      </c>
      <c r="E397" t="s">
        <v>47</v>
      </c>
      <c r="F397">
        <v>131999973</v>
      </c>
      <c r="G397" t="s">
        <v>456</v>
      </c>
      <c r="H397">
        <v>808</v>
      </c>
      <c r="I397">
        <v>200</v>
      </c>
      <c r="J397">
        <v>100</v>
      </c>
      <c r="K397">
        <v>3</v>
      </c>
      <c r="L397">
        <v>44</v>
      </c>
      <c r="M397">
        <v>-7.3</v>
      </c>
      <c r="N397" s="10">
        <v>91900</v>
      </c>
      <c r="O397" s="10">
        <v>-9700</v>
      </c>
      <c r="P397" s="10">
        <v>950</v>
      </c>
      <c r="Q397">
        <v>4.5</v>
      </c>
      <c r="R397">
        <v>6219</v>
      </c>
      <c r="S397" t="s">
        <v>1879</v>
      </c>
      <c r="T397" t="s">
        <v>49</v>
      </c>
      <c r="U397" t="s">
        <v>1506</v>
      </c>
      <c r="W397" s="10"/>
    </row>
    <row r="398" spans="1:23" x14ac:dyDescent="0.25">
      <c r="A398">
        <v>131999996</v>
      </c>
      <c r="B398">
        <v>6.7</v>
      </c>
      <c r="C398">
        <v>1</v>
      </c>
      <c r="D398" t="s">
        <v>60</v>
      </c>
      <c r="E398" t="s">
        <v>47</v>
      </c>
      <c r="F398">
        <v>131999996</v>
      </c>
      <c r="G398" t="s">
        <v>457</v>
      </c>
      <c r="H398">
        <v>1847</v>
      </c>
      <c r="I398">
        <v>276</v>
      </c>
      <c r="J398">
        <v>276</v>
      </c>
      <c r="K398">
        <v>4</v>
      </c>
      <c r="L398">
        <v>95.4</v>
      </c>
      <c r="M398">
        <v>-15.9</v>
      </c>
      <c r="N398" s="10">
        <v>179000</v>
      </c>
      <c r="O398" s="10">
        <v>-14900</v>
      </c>
      <c r="P398" s="10">
        <v>1680</v>
      </c>
      <c r="Q398">
        <v>0</v>
      </c>
      <c r="R398">
        <v>0</v>
      </c>
      <c r="S398" t="s">
        <v>1879</v>
      </c>
      <c r="T398" t="s">
        <v>49</v>
      </c>
      <c r="U398" t="s">
        <v>1506</v>
      </c>
      <c r="W398" s="10"/>
    </row>
    <row r="399" spans="1:23" x14ac:dyDescent="0.25">
      <c r="A399">
        <v>131999997</v>
      </c>
      <c r="B399">
        <v>5.2</v>
      </c>
      <c r="C399">
        <v>1</v>
      </c>
      <c r="D399" t="s">
        <v>60</v>
      </c>
      <c r="E399" t="s">
        <v>51</v>
      </c>
      <c r="F399">
        <v>131999997</v>
      </c>
      <c r="G399" t="s">
        <v>458</v>
      </c>
      <c r="H399">
        <v>571</v>
      </c>
      <c r="I399">
        <v>110</v>
      </c>
      <c r="J399">
        <v>110</v>
      </c>
      <c r="K399">
        <v>1</v>
      </c>
      <c r="L399">
        <v>25.8</v>
      </c>
      <c r="M399">
        <v>-5.8</v>
      </c>
      <c r="N399" s="10">
        <v>48600</v>
      </c>
      <c r="O399" s="10">
        <v>-4640</v>
      </c>
      <c r="P399" s="10">
        <v>669</v>
      </c>
      <c r="Q399">
        <v>0</v>
      </c>
      <c r="R399">
        <v>0</v>
      </c>
      <c r="S399" t="s">
        <v>1879</v>
      </c>
      <c r="T399" t="s">
        <v>49</v>
      </c>
      <c r="U399" t="s">
        <v>1506</v>
      </c>
      <c r="W399" s="10"/>
    </row>
    <row r="400" spans="1:23" x14ac:dyDescent="0.25">
      <c r="A400">
        <v>132000003</v>
      </c>
      <c r="B400">
        <v>7.3</v>
      </c>
      <c r="C400">
        <v>2</v>
      </c>
      <c r="D400" t="s">
        <v>60</v>
      </c>
      <c r="E400" t="s">
        <v>51</v>
      </c>
      <c r="F400">
        <v>132000003</v>
      </c>
      <c r="G400" t="s">
        <v>459</v>
      </c>
      <c r="H400">
        <v>916</v>
      </c>
      <c r="I400">
        <v>251</v>
      </c>
      <c r="J400">
        <v>126</v>
      </c>
      <c r="K400">
        <v>3</v>
      </c>
      <c r="L400">
        <v>35.700000000000003</v>
      </c>
      <c r="M400">
        <v>-9.6</v>
      </c>
      <c r="N400" s="10">
        <v>68300</v>
      </c>
      <c r="O400" s="10">
        <v>-6990</v>
      </c>
      <c r="P400" s="10">
        <v>1530</v>
      </c>
      <c r="Q400">
        <v>0</v>
      </c>
      <c r="R400">
        <v>0</v>
      </c>
      <c r="S400" t="s">
        <v>1879</v>
      </c>
      <c r="T400" t="s">
        <v>49</v>
      </c>
      <c r="U400" t="s">
        <v>1506</v>
      </c>
      <c r="W400" s="10"/>
    </row>
    <row r="401" spans="1:23" x14ac:dyDescent="0.25">
      <c r="A401">
        <v>132000021</v>
      </c>
      <c r="B401">
        <v>5.35</v>
      </c>
      <c r="C401">
        <v>1</v>
      </c>
      <c r="D401" t="s">
        <v>60</v>
      </c>
      <c r="E401" t="s">
        <v>47</v>
      </c>
      <c r="F401">
        <v>132000021</v>
      </c>
      <c r="G401" t="s">
        <v>460</v>
      </c>
      <c r="H401">
        <v>528</v>
      </c>
      <c r="I401">
        <v>99</v>
      </c>
      <c r="J401">
        <v>99</v>
      </c>
      <c r="K401">
        <v>1</v>
      </c>
      <c r="L401">
        <v>37.700000000000003</v>
      </c>
      <c r="M401">
        <v>-5.8</v>
      </c>
      <c r="N401" s="10">
        <v>68900</v>
      </c>
      <c r="O401" s="10">
        <v>-5430</v>
      </c>
      <c r="P401" s="10">
        <v>602</v>
      </c>
      <c r="Q401">
        <v>0</v>
      </c>
      <c r="R401">
        <v>0</v>
      </c>
      <c r="S401" t="s">
        <v>1879</v>
      </c>
      <c r="T401" t="s">
        <v>49</v>
      </c>
      <c r="U401" t="s">
        <v>1506</v>
      </c>
      <c r="W401" s="10"/>
    </row>
    <row r="402" spans="1:23" x14ac:dyDescent="0.25">
      <c r="A402">
        <v>132000045</v>
      </c>
      <c r="B402">
        <v>9.6</v>
      </c>
      <c r="C402">
        <v>2</v>
      </c>
      <c r="D402" t="s">
        <v>102</v>
      </c>
      <c r="E402" t="s">
        <v>51</v>
      </c>
      <c r="F402">
        <v>132000045</v>
      </c>
      <c r="G402" t="s">
        <v>461</v>
      </c>
      <c r="H402">
        <v>779</v>
      </c>
      <c r="I402">
        <v>162</v>
      </c>
      <c r="J402">
        <v>81</v>
      </c>
      <c r="K402">
        <v>2</v>
      </c>
      <c r="L402">
        <v>23.4</v>
      </c>
      <c r="M402">
        <v>-5.9</v>
      </c>
      <c r="N402" s="10">
        <v>55200</v>
      </c>
      <c r="O402" s="10">
        <v>-7120</v>
      </c>
      <c r="P402" s="10">
        <v>773</v>
      </c>
      <c r="Q402">
        <v>0</v>
      </c>
      <c r="R402">
        <v>0</v>
      </c>
      <c r="S402" t="s">
        <v>1879</v>
      </c>
      <c r="T402" t="s">
        <v>49</v>
      </c>
      <c r="U402" t="s">
        <v>1506</v>
      </c>
      <c r="W402" s="10"/>
    </row>
    <row r="403" spans="1:23" x14ac:dyDescent="0.25">
      <c r="A403">
        <v>132000057</v>
      </c>
      <c r="B403">
        <v>11.7</v>
      </c>
      <c r="C403">
        <v>3</v>
      </c>
      <c r="D403" t="s">
        <v>46</v>
      </c>
      <c r="E403" t="s">
        <v>47</v>
      </c>
      <c r="F403">
        <v>132000057</v>
      </c>
      <c r="G403" t="s">
        <v>462</v>
      </c>
      <c r="H403">
        <v>4184</v>
      </c>
      <c r="I403">
        <v>1073</v>
      </c>
      <c r="J403">
        <v>358</v>
      </c>
      <c r="K403">
        <v>14</v>
      </c>
      <c r="L403">
        <v>134.1</v>
      </c>
      <c r="M403">
        <v>-28.6</v>
      </c>
      <c r="N403" s="10">
        <v>338000</v>
      </c>
      <c r="O403" s="10">
        <v>-40300</v>
      </c>
      <c r="P403" s="10">
        <v>5110</v>
      </c>
      <c r="Q403">
        <v>8</v>
      </c>
      <c r="R403">
        <v>11056</v>
      </c>
      <c r="S403" t="s">
        <v>1879</v>
      </c>
      <c r="T403" t="s">
        <v>49</v>
      </c>
      <c r="U403" t="s">
        <v>1506</v>
      </c>
      <c r="W403" s="10"/>
    </row>
    <row r="404" spans="1:23" x14ac:dyDescent="0.25">
      <c r="A404">
        <v>132000076</v>
      </c>
      <c r="B404">
        <v>4.7300000000000004</v>
      </c>
      <c r="C404">
        <v>1</v>
      </c>
      <c r="D404" t="s">
        <v>54</v>
      </c>
      <c r="E404" t="s">
        <v>58</v>
      </c>
      <c r="F404">
        <v>132000076</v>
      </c>
      <c r="G404" t="s">
        <v>463</v>
      </c>
      <c r="H404">
        <v>456</v>
      </c>
      <c r="I404">
        <v>96</v>
      </c>
      <c r="J404">
        <v>96</v>
      </c>
      <c r="K404">
        <v>1</v>
      </c>
      <c r="L404">
        <v>15.5</v>
      </c>
      <c r="M404">
        <v>-3.5</v>
      </c>
      <c r="N404" s="10">
        <v>36300</v>
      </c>
      <c r="O404" s="10">
        <v>-3830</v>
      </c>
      <c r="P404" s="10">
        <v>458</v>
      </c>
      <c r="Q404">
        <v>3</v>
      </c>
      <c r="R404">
        <v>4146</v>
      </c>
      <c r="S404" t="s">
        <v>1879</v>
      </c>
      <c r="T404" t="s">
        <v>49</v>
      </c>
      <c r="U404" t="s">
        <v>1506</v>
      </c>
      <c r="W404" s="10"/>
    </row>
    <row r="405" spans="1:23" x14ac:dyDescent="0.25">
      <c r="A405">
        <v>132000077</v>
      </c>
      <c r="B405">
        <v>13.55</v>
      </c>
      <c r="C405">
        <v>3</v>
      </c>
      <c r="D405" t="s">
        <v>54</v>
      </c>
      <c r="E405" t="s">
        <v>47</v>
      </c>
      <c r="F405">
        <v>132000077</v>
      </c>
      <c r="G405" t="s">
        <v>464</v>
      </c>
      <c r="H405">
        <v>2291</v>
      </c>
      <c r="I405">
        <v>507</v>
      </c>
      <c r="J405">
        <v>169</v>
      </c>
      <c r="K405">
        <v>7</v>
      </c>
      <c r="L405">
        <v>61.7</v>
      </c>
      <c r="M405">
        <v>-13.7</v>
      </c>
      <c r="N405" s="10">
        <v>157000</v>
      </c>
      <c r="O405" s="10">
        <v>-18400</v>
      </c>
      <c r="P405" s="10">
        <v>2410</v>
      </c>
      <c r="Q405">
        <v>4.5</v>
      </c>
      <c r="R405">
        <v>6219</v>
      </c>
      <c r="S405" t="s">
        <v>1879</v>
      </c>
      <c r="T405" t="s">
        <v>49</v>
      </c>
      <c r="U405" t="s">
        <v>1506</v>
      </c>
      <c r="W405" s="10"/>
    </row>
    <row r="406" spans="1:23" x14ac:dyDescent="0.25">
      <c r="A406">
        <v>132000106</v>
      </c>
      <c r="B406">
        <v>10.7</v>
      </c>
      <c r="C406">
        <v>3</v>
      </c>
      <c r="D406" t="s">
        <v>46</v>
      </c>
      <c r="E406" t="s">
        <v>47</v>
      </c>
      <c r="F406">
        <v>132000106</v>
      </c>
      <c r="G406" t="s">
        <v>465</v>
      </c>
      <c r="H406">
        <v>4870</v>
      </c>
      <c r="I406">
        <v>1365</v>
      </c>
      <c r="J406">
        <v>455</v>
      </c>
      <c r="K406">
        <v>18</v>
      </c>
      <c r="L406">
        <v>166.4</v>
      </c>
      <c r="M406">
        <v>-35.6</v>
      </c>
      <c r="N406" s="10">
        <v>424000</v>
      </c>
      <c r="O406" s="10">
        <v>-50100</v>
      </c>
      <c r="P406" s="10">
        <v>6500</v>
      </c>
      <c r="Q406">
        <v>8</v>
      </c>
      <c r="R406">
        <v>11056</v>
      </c>
      <c r="S406" t="s">
        <v>1879</v>
      </c>
      <c r="T406" t="s">
        <v>49</v>
      </c>
      <c r="U406" t="s">
        <v>1506</v>
      </c>
      <c r="W406" s="10"/>
    </row>
    <row r="407" spans="1:23" x14ac:dyDescent="0.25">
      <c r="A407">
        <v>132000117</v>
      </c>
      <c r="B407">
        <v>11.7</v>
      </c>
      <c r="C407">
        <v>3</v>
      </c>
      <c r="D407" t="s">
        <v>60</v>
      </c>
      <c r="E407" t="s">
        <v>80</v>
      </c>
      <c r="F407">
        <v>132000117</v>
      </c>
      <c r="G407" t="s">
        <v>466</v>
      </c>
      <c r="H407">
        <v>2627</v>
      </c>
      <c r="I407">
        <v>674</v>
      </c>
      <c r="J407">
        <v>225</v>
      </c>
      <c r="K407">
        <v>9</v>
      </c>
      <c r="L407">
        <v>95.1</v>
      </c>
      <c r="M407">
        <v>-24.9</v>
      </c>
      <c r="N407" s="10">
        <v>187000</v>
      </c>
      <c r="O407" s="10">
        <v>-19400</v>
      </c>
      <c r="P407" s="10">
        <v>4110</v>
      </c>
      <c r="Q407">
        <v>0</v>
      </c>
      <c r="R407">
        <v>0</v>
      </c>
      <c r="S407" t="s">
        <v>1879</v>
      </c>
      <c r="T407" t="s">
        <v>49</v>
      </c>
      <c r="U407" t="s">
        <v>1506</v>
      </c>
      <c r="W407" s="10"/>
    </row>
    <row r="408" spans="1:23" x14ac:dyDescent="0.25">
      <c r="A408">
        <v>132000122</v>
      </c>
      <c r="B408">
        <v>7.7</v>
      </c>
      <c r="C408">
        <v>2</v>
      </c>
      <c r="D408" t="s">
        <v>60</v>
      </c>
      <c r="E408" t="s">
        <v>47</v>
      </c>
      <c r="F408">
        <v>132000122</v>
      </c>
      <c r="G408" t="s">
        <v>467</v>
      </c>
      <c r="H408">
        <v>719</v>
      </c>
      <c r="I408">
        <v>187</v>
      </c>
      <c r="J408">
        <v>94</v>
      </c>
      <c r="K408">
        <v>2</v>
      </c>
      <c r="L408">
        <v>39</v>
      </c>
      <c r="M408">
        <v>-7.8</v>
      </c>
      <c r="N408" s="10">
        <v>72900</v>
      </c>
      <c r="O408" s="10">
        <v>-6430</v>
      </c>
      <c r="P408" s="10">
        <v>1140</v>
      </c>
      <c r="Q408">
        <v>0</v>
      </c>
      <c r="R408">
        <v>0</v>
      </c>
      <c r="S408" t="s">
        <v>1879</v>
      </c>
      <c r="T408" t="s">
        <v>49</v>
      </c>
      <c r="U408" t="s">
        <v>1506</v>
      </c>
      <c r="W408" s="10"/>
    </row>
    <row r="409" spans="1:23" x14ac:dyDescent="0.25">
      <c r="A409">
        <v>132000130</v>
      </c>
      <c r="B409">
        <v>11.4</v>
      </c>
      <c r="C409">
        <v>3</v>
      </c>
      <c r="D409" t="s">
        <v>60</v>
      </c>
      <c r="E409" t="s">
        <v>51</v>
      </c>
      <c r="F409">
        <v>132000130</v>
      </c>
      <c r="G409" t="s">
        <v>468</v>
      </c>
      <c r="H409">
        <v>2413</v>
      </c>
      <c r="I409">
        <v>635</v>
      </c>
      <c r="J409">
        <v>212</v>
      </c>
      <c r="K409">
        <v>8</v>
      </c>
      <c r="L409">
        <v>72.3</v>
      </c>
      <c r="M409">
        <v>-22.3</v>
      </c>
      <c r="N409" s="10">
        <v>145000</v>
      </c>
      <c r="O409" s="10">
        <v>-15600</v>
      </c>
      <c r="P409" s="10">
        <v>3870</v>
      </c>
      <c r="Q409">
        <v>0</v>
      </c>
      <c r="R409">
        <v>0</v>
      </c>
      <c r="S409" t="s">
        <v>1879</v>
      </c>
      <c r="T409" t="s">
        <v>49</v>
      </c>
      <c r="U409" t="s">
        <v>1506</v>
      </c>
      <c r="W409" s="10"/>
    </row>
    <row r="410" spans="1:23" x14ac:dyDescent="0.25">
      <c r="A410">
        <v>132000134</v>
      </c>
      <c r="B410">
        <v>5.7</v>
      </c>
      <c r="C410">
        <v>1</v>
      </c>
      <c r="D410" t="s">
        <v>54</v>
      </c>
      <c r="E410" t="s">
        <v>47</v>
      </c>
      <c r="F410">
        <v>132000134</v>
      </c>
      <c r="G410" t="s">
        <v>469</v>
      </c>
      <c r="H410">
        <v>520</v>
      </c>
      <c r="I410">
        <v>91</v>
      </c>
      <c r="J410">
        <v>91</v>
      </c>
      <c r="K410">
        <v>1</v>
      </c>
      <c r="L410">
        <v>26.7</v>
      </c>
      <c r="M410">
        <v>-4</v>
      </c>
      <c r="N410" s="10">
        <v>54300</v>
      </c>
      <c r="O410" s="10">
        <v>-5240</v>
      </c>
      <c r="P410" s="10">
        <v>434</v>
      </c>
      <c r="Q410">
        <v>3</v>
      </c>
      <c r="R410">
        <v>4146</v>
      </c>
      <c r="S410" t="s">
        <v>1879</v>
      </c>
      <c r="T410" t="s">
        <v>49</v>
      </c>
      <c r="U410" t="s">
        <v>1506</v>
      </c>
      <c r="W410" s="10"/>
    </row>
    <row r="411" spans="1:23" x14ac:dyDescent="0.25">
      <c r="A411">
        <v>132000219</v>
      </c>
      <c r="B411">
        <v>6.33</v>
      </c>
      <c r="C411">
        <v>1</v>
      </c>
      <c r="D411" t="s">
        <v>60</v>
      </c>
      <c r="E411" t="s">
        <v>80</v>
      </c>
      <c r="F411">
        <v>132000219</v>
      </c>
      <c r="G411" t="s">
        <v>470</v>
      </c>
      <c r="H411">
        <v>1370</v>
      </c>
      <c r="I411">
        <v>216</v>
      </c>
      <c r="J411">
        <v>216</v>
      </c>
      <c r="K411">
        <v>3</v>
      </c>
      <c r="L411">
        <v>60.1</v>
      </c>
      <c r="M411">
        <v>-12</v>
      </c>
      <c r="N411" s="10">
        <v>115000</v>
      </c>
      <c r="O411" s="10">
        <v>-10600</v>
      </c>
      <c r="P411" s="10">
        <v>1320</v>
      </c>
      <c r="Q411">
        <v>0</v>
      </c>
      <c r="R411">
        <v>0</v>
      </c>
      <c r="S411" t="s">
        <v>1879</v>
      </c>
      <c r="T411" t="s">
        <v>49</v>
      </c>
      <c r="U411" t="s">
        <v>1506</v>
      </c>
      <c r="W411" s="10"/>
    </row>
    <row r="412" spans="1:23" x14ac:dyDescent="0.25">
      <c r="A412">
        <v>132000234</v>
      </c>
      <c r="B412">
        <v>4.5999999999999996</v>
      </c>
      <c r="C412">
        <v>1</v>
      </c>
      <c r="D412" t="s">
        <v>54</v>
      </c>
      <c r="E412" t="s">
        <v>47</v>
      </c>
      <c r="F412">
        <v>132000234</v>
      </c>
      <c r="G412" t="s">
        <v>471</v>
      </c>
      <c r="H412">
        <v>749</v>
      </c>
      <c r="I412">
        <v>163</v>
      </c>
      <c r="J412">
        <v>163</v>
      </c>
      <c r="K412">
        <v>2</v>
      </c>
      <c r="L412">
        <v>45.9</v>
      </c>
      <c r="M412">
        <v>-6.5</v>
      </c>
      <c r="N412" s="10">
        <v>93300</v>
      </c>
      <c r="O412" s="10">
        <v>-8820</v>
      </c>
      <c r="P412" s="10">
        <v>775</v>
      </c>
      <c r="Q412">
        <v>4.5</v>
      </c>
      <c r="R412">
        <v>6219</v>
      </c>
      <c r="S412" t="s">
        <v>1879</v>
      </c>
      <c r="T412" t="s">
        <v>49</v>
      </c>
      <c r="U412" t="s">
        <v>1506</v>
      </c>
      <c r="W412" s="10"/>
    </row>
    <row r="413" spans="1:23" x14ac:dyDescent="0.25">
      <c r="A413">
        <v>132000291</v>
      </c>
      <c r="B413">
        <v>7.1</v>
      </c>
      <c r="C413">
        <v>2</v>
      </c>
      <c r="D413" t="s">
        <v>60</v>
      </c>
      <c r="E413" t="s">
        <v>80</v>
      </c>
      <c r="F413">
        <v>132000291</v>
      </c>
      <c r="G413" t="s">
        <v>472</v>
      </c>
      <c r="H413">
        <v>841</v>
      </c>
      <c r="I413">
        <v>237</v>
      </c>
      <c r="J413">
        <v>119</v>
      </c>
      <c r="K413">
        <v>3</v>
      </c>
      <c r="L413">
        <v>39.299999999999997</v>
      </c>
      <c r="M413">
        <v>-9.1</v>
      </c>
      <c r="N413" s="10">
        <v>74700</v>
      </c>
      <c r="O413" s="10">
        <v>-7580</v>
      </c>
      <c r="P413" s="10">
        <v>1440</v>
      </c>
      <c r="Q413">
        <v>0</v>
      </c>
      <c r="R413">
        <v>0</v>
      </c>
      <c r="S413" t="s">
        <v>1879</v>
      </c>
      <c r="T413" t="s">
        <v>49</v>
      </c>
      <c r="U413" t="s">
        <v>1506</v>
      </c>
      <c r="W413" s="10"/>
    </row>
    <row r="414" spans="1:23" x14ac:dyDescent="0.25">
      <c r="A414">
        <v>132000357</v>
      </c>
      <c r="B414">
        <v>8.0500000000000007</v>
      </c>
      <c r="C414">
        <v>2</v>
      </c>
      <c r="D414" t="s">
        <v>54</v>
      </c>
      <c r="E414" t="s">
        <v>47</v>
      </c>
      <c r="F414">
        <v>132000357</v>
      </c>
      <c r="G414" t="s">
        <v>473</v>
      </c>
      <c r="H414">
        <v>1371</v>
      </c>
      <c r="I414">
        <v>341</v>
      </c>
      <c r="J414">
        <v>171</v>
      </c>
      <c r="K414">
        <v>4</v>
      </c>
      <c r="L414">
        <v>78</v>
      </c>
      <c r="M414">
        <v>-12.8</v>
      </c>
      <c r="N414" s="10">
        <v>161000</v>
      </c>
      <c r="O414" s="10">
        <v>-16700</v>
      </c>
      <c r="P414" s="10">
        <v>1620</v>
      </c>
      <c r="Q414">
        <v>4.5</v>
      </c>
      <c r="R414">
        <v>6219</v>
      </c>
      <c r="S414" t="s">
        <v>1879</v>
      </c>
      <c r="T414" t="s">
        <v>49</v>
      </c>
      <c r="U414" t="s">
        <v>1506</v>
      </c>
      <c r="W414" s="10"/>
    </row>
    <row r="415" spans="1:23" x14ac:dyDescent="0.25">
      <c r="A415">
        <v>132000416</v>
      </c>
      <c r="B415">
        <v>7.23</v>
      </c>
      <c r="C415">
        <v>2</v>
      </c>
      <c r="D415" t="s">
        <v>54</v>
      </c>
      <c r="E415" t="s">
        <v>51</v>
      </c>
      <c r="F415">
        <v>132000416</v>
      </c>
      <c r="G415" t="s">
        <v>474</v>
      </c>
      <c r="H415">
        <v>2207</v>
      </c>
      <c r="I415">
        <v>611</v>
      </c>
      <c r="J415">
        <v>306</v>
      </c>
      <c r="K415">
        <v>8</v>
      </c>
      <c r="L415">
        <v>52.2</v>
      </c>
      <c r="M415">
        <v>-14.5</v>
      </c>
      <c r="N415" s="10">
        <v>152000</v>
      </c>
      <c r="O415" s="10">
        <v>-19000</v>
      </c>
      <c r="P415" s="10">
        <v>2910</v>
      </c>
      <c r="Q415">
        <v>8</v>
      </c>
      <c r="R415">
        <v>11056</v>
      </c>
      <c r="S415" t="s">
        <v>1879</v>
      </c>
      <c r="T415" t="s">
        <v>49</v>
      </c>
      <c r="U415" t="s">
        <v>1506</v>
      </c>
      <c r="W415" s="10"/>
    </row>
    <row r="416" spans="1:23" x14ac:dyDescent="0.25">
      <c r="A416">
        <v>132000422</v>
      </c>
      <c r="B416">
        <v>5.8</v>
      </c>
      <c r="C416">
        <v>1</v>
      </c>
      <c r="D416" t="s">
        <v>54</v>
      </c>
      <c r="E416" t="s">
        <v>47</v>
      </c>
      <c r="F416">
        <v>132000422</v>
      </c>
      <c r="G416" t="s">
        <v>475</v>
      </c>
      <c r="H416">
        <v>872</v>
      </c>
      <c r="I416">
        <v>150</v>
      </c>
      <c r="J416">
        <v>150</v>
      </c>
      <c r="K416">
        <v>2</v>
      </c>
      <c r="L416">
        <v>48.6</v>
      </c>
      <c r="M416">
        <v>-7.1</v>
      </c>
      <c r="N416" s="10">
        <v>96900</v>
      </c>
      <c r="O416" s="10">
        <v>-8600</v>
      </c>
      <c r="P416" s="10">
        <v>715</v>
      </c>
      <c r="Q416">
        <v>4.5</v>
      </c>
      <c r="R416">
        <v>6219</v>
      </c>
      <c r="S416" t="s">
        <v>1879</v>
      </c>
      <c r="T416" t="s">
        <v>49</v>
      </c>
      <c r="U416" t="s">
        <v>1506</v>
      </c>
      <c r="W416" s="10"/>
    </row>
    <row r="417" spans="1:23" x14ac:dyDescent="0.25">
      <c r="A417">
        <v>132000486</v>
      </c>
      <c r="B417">
        <v>20.86</v>
      </c>
      <c r="C417">
        <v>5</v>
      </c>
      <c r="D417" t="s">
        <v>102</v>
      </c>
      <c r="E417" t="s">
        <v>51</v>
      </c>
      <c r="F417">
        <v>132000486</v>
      </c>
      <c r="G417" t="s">
        <v>476</v>
      </c>
      <c r="H417">
        <v>19172</v>
      </c>
      <c r="I417">
        <v>4595</v>
      </c>
      <c r="J417">
        <v>919</v>
      </c>
      <c r="K417">
        <v>60</v>
      </c>
      <c r="L417">
        <v>227.3</v>
      </c>
      <c r="M417">
        <v>-96.6</v>
      </c>
      <c r="N417" s="10">
        <v>862000</v>
      </c>
      <c r="O417" s="10">
        <v>-127000</v>
      </c>
      <c r="P417" s="10">
        <v>21900</v>
      </c>
      <c r="Q417">
        <v>0</v>
      </c>
      <c r="R417">
        <v>0</v>
      </c>
      <c r="S417" t="s">
        <v>1879</v>
      </c>
      <c r="T417" t="s">
        <v>49</v>
      </c>
      <c r="U417" t="s">
        <v>1506</v>
      </c>
      <c r="W417" s="10"/>
    </row>
    <row r="418" spans="1:23" x14ac:dyDescent="0.25">
      <c r="A418">
        <v>132000502</v>
      </c>
      <c r="B418">
        <v>3.85</v>
      </c>
      <c r="C418">
        <v>1</v>
      </c>
      <c r="D418" t="s">
        <v>310</v>
      </c>
      <c r="E418" t="s">
        <v>47</v>
      </c>
      <c r="F418">
        <v>132000502</v>
      </c>
      <c r="G418" t="s">
        <v>477</v>
      </c>
      <c r="H418">
        <v>758</v>
      </c>
      <c r="I418">
        <v>197</v>
      </c>
      <c r="J418">
        <v>197</v>
      </c>
      <c r="K418">
        <v>3</v>
      </c>
      <c r="L418">
        <v>52.7</v>
      </c>
      <c r="M418">
        <v>-8.1</v>
      </c>
      <c r="N418" s="10">
        <v>105000</v>
      </c>
      <c r="O418" s="10">
        <v>-11300</v>
      </c>
      <c r="P418" s="10">
        <v>8120</v>
      </c>
      <c r="Q418">
        <v>0</v>
      </c>
      <c r="R418">
        <v>0</v>
      </c>
      <c r="S418" t="s">
        <v>1879</v>
      </c>
      <c r="T418" t="s">
        <v>49</v>
      </c>
      <c r="U418" t="s">
        <v>1506</v>
      </c>
      <c r="W418" s="10"/>
    </row>
    <row r="419" spans="1:23" x14ac:dyDescent="0.25">
      <c r="A419">
        <v>132000503</v>
      </c>
      <c r="B419">
        <v>8.0299999999999994</v>
      </c>
      <c r="C419">
        <v>2</v>
      </c>
      <c r="D419" t="s">
        <v>104</v>
      </c>
      <c r="E419" t="s">
        <v>47</v>
      </c>
      <c r="F419">
        <v>132000503</v>
      </c>
      <c r="G419" t="s">
        <v>478</v>
      </c>
      <c r="H419">
        <v>870</v>
      </c>
      <c r="I419">
        <v>216</v>
      </c>
      <c r="J419">
        <v>108</v>
      </c>
      <c r="K419">
        <v>3</v>
      </c>
      <c r="L419">
        <v>39.5</v>
      </c>
      <c r="M419">
        <v>-23.5</v>
      </c>
      <c r="N419" s="10">
        <v>257000</v>
      </c>
      <c r="O419" s="10">
        <v>-67800</v>
      </c>
      <c r="P419" s="10">
        <v>7900</v>
      </c>
      <c r="Q419">
        <v>0</v>
      </c>
      <c r="R419">
        <v>0</v>
      </c>
      <c r="S419" t="s">
        <v>1879</v>
      </c>
      <c r="T419" t="s">
        <v>49</v>
      </c>
      <c r="U419" t="s">
        <v>1506</v>
      </c>
      <c r="W419" s="10"/>
    </row>
    <row r="420" spans="1:23" x14ac:dyDescent="0.25">
      <c r="A420">
        <v>132000504</v>
      </c>
      <c r="B420">
        <v>8.0500000000000007</v>
      </c>
      <c r="C420">
        <v>2</v>
      </c>
      <c r="D420" t="s">
        <v>54</v>
      </c>
      <c r="E420" t="s">
        <v>47</v>
      </c>
      <c r="F420">
        <v>132000504</v>
      </c>
      <c r="G420" t="s">
        <v>479</v>
      </c>
      <c r="H420">
        <v>2749</v>
      </c>
      <c r="I420">
        <v>683</v>
      </c>
      <c r="J420">
        <v>342</v>
      </c>
      <c r="K420">
        <v>9</v>
      </c>
      <c r="L420">
        <v>79.099999999999994</v>
      </c>
      <c r="M420">
        <v>-16.8</v>
      </c>
      <c r="N420" s="10">
        <v>207000</v>
      </c>
      <c r="O420" s="10">
        <v>-23800</v>
      </c>
      <c r="P420" s="10">
        <v>3250</v>
      </c>
      <c r="Q420">
        <v>8</v>
      </c>
      <c r="R420">
        <v>11056</v>
      </c>
      <c r="S420" t="s">
        <v>1879</v>
      </c>
      <c r="T420" t="s">
        <v>49</v>
      </c>
      <c r="U420" t="s">
        <v>1506</v>
      </c>
      <c r="W420" s="10"/>
    </row>
    <row r="421" spans="1:23" x14ac:dyDescent="0.25">
      <c r="A421">
        <v>132000532</v>
      </c>
      <c r="B421">
        <v>10.3</v>
      </c>
      <c r="C421">
        <v>2</v>
      </c>
      <c r="D421" t="s">
        <v>102</v>
      </c>
      <c r="E421" t="s">
        <v>51</v>
      </c>
      <c r="F421">
        <v>132000532</v>
      </c>
      <c r="G421" t="s">
        <v>480</v>
      </c>
      <c r="H421">
        <v>3557</v>
      </c>
      <c r="I421">
        <v>691</v>
      </c>
      <c r="J421">
        <v>346</v>
      </c>
      <c r="K421">
        <v>9</v>
      </c>
      <c r="L421">
        <v>74.3</v>
      </c>
      <c r="M421">
        <v>-20.7</v>
      </c>
      <c r="N421" s="10">
        <v>196000</v>
      </c>
      <c r="O421" s="10">
        <v>-24600</v>
      </c>
      <c r="P421" s="10">
        <v>3290</v>
      </c>
      <c r="Q421">
        <v>0</v>
      </c>
      <c r="R421">
        <v>0</v>
      </c>
      <c r="S421" t="s">
        <v>1879</v>
      </c>
      <c r="T421" t="s">
        <v>49</v>
      </c>
      <c r="U421" t="s">
        <v>1506</v>
      </c>
      <c r="W421" s="10"/>
    </row>
    <row r="422" spans="1:23" x14ac:dyDescent="0.25">
      <c r="A422">
        <v>132000561</v>
      </c>
      <c r="B422">
        <v>4.8</v>
      </c>
      <c r="C422">
        <v>1</v>
      </c>
      <c r="D422" t="s">
        <v>46</v>
      </c>
      <c r="E422" t="s">
        <v>55</v>
      </c>
      <c r="F422">
        <v>132000561</v>
      </c>
      <c r="G422" t="s">
        <v>481</v>
      </c>
      <c r="H422">
        <v>916</v>
      </c>
      <c r="I422">
        <v>191</v>
      </c>
      <c r="J422">
        <v>191</v>
      </c>
      <c r="K422">
        <v>2</v>
      </c>
      <c r="L422">
        <v>31.8</v>
      </c>
      <c r="M422">
        <v>-6.9</v>
      </c>
      <c r="N422" s="10">
        <v>73000</v>
      </c>
      <c r="O422" s="10">
        <v>-8140</v>
      </c>
      <c r="P422" s="10">
        <v>908</v>
      </c>
      <c r="Q422">
        <v>4.5</v>
      </c>
      <c r="R422">
        <v>6219</v>
      </c>
      <c r="S422" t="s">
        <v>1879</v>
      </c>
      <c r="T422" t="s">
        <v>49</v>
      </c>
      <c r="U422" t="s">
        <v>1506</v>
      </c>
      <c r="W422" s="10"/>
    </row>
    <row r="423" spans="1:23" x14ac:dyDescent="0.25">
      <c r="A423">
        <v>132000589</v>
      </c>
      <c r="B423">
        <v>6.87</v>
      </c>
      <c r="C423">
        <v>1</v>
      </c>
      <c r="D423" t="s">
        <v>54</v>
      </c>
      <c r="E423" t="s">
        <v>80</v>
      </c>
      <c r="F423">
        <v>132000589</v>
      </c>
      <c r="G423" t="s">
        <v>482</v>
      </c>
      <c r="H423">
        <v>682</v>
      </c>
      <c r="I423">
        <v>99</v>
      </c>
      <c r="J423">
        <v>99</v>
      </c>
      <c r="K423">
        <v>1</v>
      </c>
      <c r="L423">
        <v>32.1</v>
      </c>
      <c r="M423">
        <v>-5.8</v>
      </c>
      <c r="N423" s="10">
        <v>65100</v>
      </c>
      <c r="O423" s="10">
        <v>-6780</v>
      </c>
      <c r="P423" s="10">
        <v>473</v>
      </c>
      <c r="Q423">
        <v>3</v>
      </c>
      <c r="R423">
        <v>4146</v>
      </c>
      <c r="S423" t="s">
        <v>1879</v>
      </c>
      <c r="T423" t="s">
        <v>49</v>
      </c>
      <c r="U423" t="s">
        <v>1506</v>
      </c>
      <c r="W423" s="10"/>
    </row>
    <row r="424" spans="1:23" x14ac:dyDescent="0.25">
      <c r="A424">
        <v>132000651</v>
      </c>
      <c r="B424">
        <v>12.2</v>
      </c>
      <c r="C424">
        <v>3</v>
      </c>
      <c r="D424" t="s">
        <v>60</v>
      </c>
      <c r="E424" t="s">
        <v>55</v>
      </c>
      <c r="F424">
        <v>132000651</v>
      </c>
      <c r="G424" t="s">
        <v>483</v>
      </c>
      <c r="H424">
        <v>2228</v>
      </c>
      <c r="I424">
        <v>548</v>
      </c>
      <c r="J424">
        <v>183</v>
      </c>
      <c r="K424">
        <v>7</v>
      </c>
      <c r="L424">
        <v>68</v>
      </c>
      <c r="M424">
        <v>-21.7</v>
      </c>
      <c r="N424" s="10">
        <v>135000</v>
      </c>
      <c r="O424" s="10">
        <v>-15300</v>
      </c>
      <c r="P424" s="10">
        <v>3340</v>
      </c>
      <c r="Q424">
        <v>0</v>
      </c>
      <c r="R424">
        <v>0</v>
      </c>
      <c r="S424" t="s">
        <v>1879</v>
      </c>
      <c r="T424" t="s">
        <v>49</v>
      </c>
      <c r="U424" t="s">
        <v>1506</v>
      </c>
      <c r="W424" s="10"/>
    </row>
    <row r="425" spans="1:23" x14ac:dyDescent="0.25">
      <c r="A425">
        <v>132000685</v>
      </c>
      <c r="B425">
        <v>9.85</v>
      </c>
      <c r="C425">
        <v>2</v>
      </c>
      <c r="D425" t="s">
        <v>54</v>
      </c>
      <c r="E425" t="s">
        <v>51</v>
      </c>
      <c r="F425">
        <v>132000685</v>
      </c>
      <c r="G425" t="s">
        <v>484</v>
      </c>
      <c r="H425">
        <v>8282</v>
      </c>
      <c r="I425">
        <v>1682</v>
      </c>
      <c r="J425">
        <v>841</v>
      </c>
      <c r="K425">
        <v>22</v>
      </c>
      <c r="L425">
        <v>151.5</v>
      </c>
      <c r="M425">
        <v>-44.3</v>
      </c>
      <c r="N425" s="10">
        <v>430000</v>
      </c>
      <c r="O425" s="10">
        <v>-54100</v>
      </c>
      <c r="P425" s="10">
        <v>8000</v>
      </c>
      <c r="Q425">
        <v>8</v>
      </c>
      <c r="R425">
        <v>11056</v>
      </c>
      <c r="S425" t="s">
        <v>1879</v>
      </c>
      <c r="T425" t="s">
        <v>49</v>
      </c>
      <c r="U425" t="s">
        <v>1506</v>
      </c>
      <c r="W425" s="10"/>
    </row>
    <row r="426" spans="1:23" x14ac:dyDescent="0.25">
      <c r="A426">
        <v>132000734</v>
      </c>
      <c r="B426">
        <v>5.65</v>
      </c>
      <c r="C426">
        <v>1</v>
      </c>
      <c r="D426" t="s">
        <v>60</v>
      </c>
      <c r="E426" t="s">
        <v>80</v>
      </c>
      <c r="F426">
        <v>132000734</v>
      </c>
      <c r="G426" t="s">
        <v>485</v>
      </c>
      <c r="H426">
        <v>1053</v>
      </c>
      <c r="I426">
        <v>186</v>
      </c>
      <c r="J426">
        <v>186</v>
      </c>
      <c r="K426">
        <v>2</v>
      </c>
      <c r="L426">
        <v>51.9</v>
      </c>
      <c r="M426">
        <v>-10.1</v>
      </c>
      <c r="N426" s="10">
        <v>98100</v>
      </c>
      <c r="O426" s="10">
        <v>-9160</v>
      </c>
      <c r="P426" s="10">
        <v>1140</v>
      </c>
      <c r="Q426">
        <v>0</v>
      </c>
      <c r="R426">
        <v>0</v>
      </c>
      <c r="S426" t="s">
        <v>1879</v>
      </c>
      <c r="T426" t="s">
        <v>49</v>
      </c>
      <c r="U426" t="s">
        <v>1506</v>
      </c>
      <c r="W426" s="10"/>
    </row>
    <row r="427" spans="1:23" x14ac:dyDescent="0.25">
      <c r="A427">
        <v>132000737</v>
      </c>
      <c r="B427">
        <v>7.5</v>
      </c>
      <c r="C427">
        <v>2</v>
      </c>
      <c r="D427" t="s">
        <v>54</v>
      </c>
      <c r="E427" t="s">
        <v>51</v>
      </c>
      <c r="F427">
        <v>132000737</v>
      </c>
      <c r="G427" t="s">
        <v>486</v>
      </c>
      <c r="H427">
        <v>2398</v>
      </c>
      <c r="I427">
        <v>639</v>
      </c>
      <c r="J427">
        <v>320</v>
      </c>
      <c r="K427">
        <v>8</v>
      </c>
      <c r="L427">
        <v>64</v>
      </c>
      <c r="M427">
        <v>-17.7</v>
      </c>
      <c r="N427" s="10">
        <v>172000</v>
      </c>
      <c r="O427" s="10">
        <v>-21700</v>
      </c>
      <c r="P427" s="10">
        <v>3040</v>
      </c>
      <c r="Q427">
        <v>8</v>
      </c>
      <c r="R427">
        <v>11056</v>
      </c>
      <c r="S427" t="s">
        <v>1879</v>
      </c>
      <c r="T427" t="s">
        <v>49</v>
      </c>
      <c r="U427" t="s">
        <v>1506</v>
      </c>
      <c r="W427" s="10"/>
    </row>
    <row r="428" spans="1:23" x14ac:dyDescent="0.25">
      <c r="A428">
        <v>132000802</v>
      </c>
      <c r="B428">
        <v>6.07</v>
      </c>
      <c r="C428">
        <v>1</v>
      </c>
      <c r="D428" t="s">
        <v>60</v>
      </c>
      <c r="E428" t="s">
        <v>80</v>
      </c>
      <c r="F428">
        <v>132000802</v>
      </c>
      <c r="G428" t="s">
        <v>487</v>
      </c>
      <c r="H428">
        <v>1099</v>
      </c>
      <c r="I428">
        <v>181</v>
      </c>
      <c r="J428">
        <v>181</v>
      </c>
      <c r="K428">
        <v>2</v>
      </c>
      <c r="L428">
        <v>55</v>
      </c>
      <c r="M428">
        <v>-10.8</v>
      </c>
      <c r="N428" s="10">
        <v>104000</v>
      </c>
      <c r="O428" s="10">
        <v>-9640</v>
      </c>
      <c r="P428" s="10">
        <v>1100</v>
      </c>
      <c r="Q428">
        <v>0</v>
      </c>
      <c r="R428">
        <v>0</v>
      </c>
      <c r="S428" t="s">
        <v>1879</v>
      </c>
      <c r="T428" t="s">
        <v>49</v>
      </c>
      <c r="U428" t="s">
        <v>1506</v>
      </c>
      <c r="W428" s="10"/>
    </row>
    <row r="429" spans="1:23" x14ac:dyDescent="0.25">
      <c r="A429">
        <v>132000816</v>
      </c>
      <c r="B429">
        <v>5</v>
      </c>
      <c r="C429">
        <v>1</v>
      </c>
      <c r="D429" t="s">
        <v>60</v>
      </c>
      <c r="E429" t="s">
        <v>51</v>
      </c>
      <c r="F429">
        <v>132000816</v>
      </c>
      <c r="G429" t="s">
        <v>488</v>
      </c>
      <c r="H429">
        <v>534</v>
      </c>
      <c r="I429">
        <v>107</v>
      </c>
      <c r="J429">
        <v>107</v>
      </c>
      <c r="K429">
        <v>1</v>
      </c>
      <c r="L429">
        <v>25</v>
      </c>
      <c r="M429">
        <v>-5.6</v>
      </c>
      <c r="N429" s="10">
        <v>47100</v>
      </c>
      <c r="O429" s="10">
        <v>-4510</v>
      </c>
      <c r="P429" s="10">
        <v>651</v>
      </c>
      <c r="Q429">
        <v>0</v>
      </c>
      <c r="R429">
        <v>0</v>
      </c>
      <c r="S429" t="s">
        <v>1879</v>
      </c>
      <c r="T429" t="s">
        <v>49</v>
      </c>
      <c r="U429" t="s">
        <v>1506</v>
      </c>
      <c r="W429" s="10"/>
    </row>
    <row r="430" spans="1:23" x14ac:dyDescent="0.25">
      <c r="A430">
        <v>132000846</v>
      </c>
      <c r="B430">
        <v>12.5</v>
      </c>
      <c r="C430">
        <v>3</v>
      </c>
      <c r="D430" t="s">
        <v>60</v>
      </c>
      <c r="E430" t="s">
        <v>55</v>
      </c>
      <c r="F430">
        <v>132000846</v>
      </c>
      <c r="G430" t="s">
        <v>489</v>
      </c>
      <c r="H430">
        <v>1731</v>
      </c>
      <c r="I430">
        <v>415</v>
      </c>
      <c r="J430">
        <v>138</v>
      </c>
      <c r="K430">
        <v>5</v>
      </c>
      <c r="L430">
        <v>43.8</v>
      </c>
      <c r="M430">
        <v>-14.7</v>
      </c>
      <c r="N430" s="10">
        <v>90500</v>
      </c>
      <c r="O430" s="10">
        <v>-10200</v>
      </c>
      <c r="P430" s="10">
        <v>2530</v>
      </c>
      <c r="Q430">
        <v>0</v>
      </c>
      <c r="R430">
        <v>0</v>
      </c>
      <c r="S430" t="s">
        <v>1879</v>
      </c>
      <c r="T430" t="s">
        <v>49</v>
      </c>
      <c r="U430" t="s">
        <v>1506</v>
      </c>
      <c r="W430" s="10"/>
    </row>
    <row r="431" spans="1:23" x14ac:dyDescent="0.25">
      <c r="A431">
        <v>132000874</v>
      </c>
      <c r="B431">
        <v>6.13</v>
      </c>
      <c r="C431">
        <v>1</v>
      </c>
      <c r="D431" t="s">
        <v>60</v>
      </c>
      <c r="E431" t="s">
        <v>51</v>
      </c>
      <c r="F431">
        <v>132000874</v>
      </c>
      <c r="G431" t="s">
        <v>490</v>
      </c>
      <c r="H431">
        <v>485</v>
      </c>
      <c r="I431">
        <v>79</v>
      </c>
      <c r="J431">
        <v>79</v>
      </c>
      <c r="K431">
        <v>1</v>
      </c>
      <c r="L431">
        <v>20</v>
      </c>
      <c r="M431">
        <v>-4.7</v>
      </c>
      <c r="N431" s="10">
        <v>38200</v>
      </c>
      <c r="O431" s="10">
        <v>-3700</v>
      </c>
      <c r="P431" s="10">
        <v>482</v>
      </c>
      <c r="Q431">
        <v>0</v>
      </c>
      <c r="R431">
        <v>0</v>
      </c>
      <c r="S431" t="s">
        <v>1879</v>
      </c>
      <c r="T431" t="s">
        <v>49</v>
      </c>
      <c r="U431" t="s">
        <v>1506</v>
      </c>
      <c r="W431" s="10"/>
    </row>
    <row r="432" spans="1:23" x14ac:dyDescent="0.25">
      <c r="A432">
        <v>132000898</v>
      </c>
      <c r="B432">
        <v>9.6999999999999993</v>
      </c>
      <c r="C432">
        <v>2</v>
      </c>
      <c r="D432" t="s">
        <v>369</v>
      </c>
      <c r="E432" t="s">
        <v>47</v>
      </c>
      <c r="F432">
        <v>132000898</v>
      </c>
      <c r="G432" t="s">
        <v>491</v>
      </c>
      <c r="H432">
        <v>4372</v>
      </c>
      <c r="I432">
        <v>901</v>
      </c>
      <c r="J432">
        <v>451</v>
      </c>
      <c r="K432">
        <v>12</v>
      </c>
      <c r="L432">
        <v>150.9</v>
      </c>
      <c r="M432">
        <v>-28.1</v>
      </c>
      <c r="N432" s="10">
        <v>346000</v>
      </c>
      <c r="O432" s="10">
        <v>-37700</v>
      </c>
      <c r="P432" s="10">
        <v>4290</v>
      </c>
      <c r="Q432">
        <v>8</v>
      </c>
      <c r="R432">
        <v>11056</v>
      </c>
      <c r="S432" t="s">
        <v>1879</v>
      </c>
      <c r="T432" t="s">
        <v>49</v>
      </c>
      <c r="U432" t="s">
        <v>1506</v>
      </c>
      <c r="W432" s="10"/>
    </row>
    <row r="433" spans="1:23" x14ac:dyDescent="0.25">
      <c r="A433">
        <v>132000909</v>
      </c>
      <c r="B433">
        <v>5.0999999999999996</v>
      </c>
      <c r="C433">
        <v>1</v>
      </c>
      <c r="D433" t="s">
        <v>60</v>
      </c>
      <c r="E433" t="s">
        <v>51</v>
      </c>
      <c r="F433">
        <v>132000909</v>
      </c>
      <c r="G433" t="s">
        <v>492</v>
      </c>
      <c r="H433">
        <v>577</v>
      </c>
      <c r="I433">
        <v>113</v>
      </c>
      <c r="J433">
        <v>113</v>
      </c>
      <c r="K433">
        <v>1</v>
      </c>
      <c r="L433">
        <v>24.5</v>
      </c>
      <c r="M433">
        <v>-5.7</v>
      </c>
      <c r="N433" s="10">
        <v>46600</v>
      </c>
      <c r="O433" s="10">
        <v>-4440</v>
      </c>
      <c r="P433" s="10">
        <v>690</v>
      </c>
      <c r="Q433">
        <v>0</v>
      </c>
      <c r="R433">
        <v>0</v>
      </c>
      <c r="S433" t="s">
        <v>1879</v>
      </c>
      <c r="T433" t="s">
        <v>49</v>
      </c>
      <c r="U433" t="s">
        <v>1506</v>
      </c>
      <c r="W433" s="10"/>
    </row>
    <row r="434" spans="1:23" x14ac:dyDescent="0.25">
      <c r="A434">
        <v>132000917</v>
      </c>
      <c r="B434">
        <v>8.73</v>
      </c>
      <c r="C434">
        <v>2</v>
      </c>
      <c r="D434" t="s">
        <v>310</v>
      </c>
      <c r="E434" t="s">
        <v>51</v>
      </c>
      <c r="F434">
        <v>132000917</v>
      </c>
      <c r="G434" t="s">
        <v>493</v>
      </c>
      <c r="H434">
        <v>1213</v>
      </c>
      <c r="I434">
        <v>278</v>
      </c>
      <c r="J434">
        <v>139</v>
      </c>
      <c r="K434">
        <v>4</v>
      </c>
      <c r="L434">
        <v>28.2</v>
      </c>
      <c r="M434">
        <v>-9.3000000000000007</v>
      </c>
      <c r="N434" s="10">
        <v>70900</v>
      </c>
      <c r="O434" s="10">
        <v>-11000</v>
      </c>
      <c r="P434" s="10">
        <v>11500</v>
      </c>
      <c r="Q434">
        <v>0</v>
      </c>
      <c r="R434">
        <v>0</v>
      </c>
      <c r="S434" t="s">
        <v>1879</v>
      </c>
      <c r="T434" t="s">
        <v>49</v>
      </c>
      <c r="U434" t="s">
        <v>1506</v>
      </c>
      <c r="W434" s="10"/>
    </row>
    <row r="435" spans="1:23" x14ac:dyDescent="0.25">
      <c r="A435">
        <v>132000923</v>
      </c>
      <c r="B435">
        <v>10.63</v>
      </c>
      <c r="C435">
        <v>3</v>
      </c>
      <c r="D435" t="s">
        <v>60</v>
      </c>
      <c r="E435" t="s">
        <v>47</v>
      </c>
      <c r="F435">
        <v>132000923</v>
      </c>
      <c r="G435" t="s">
        <v>494</v>
      </c>
      <c r="H435">
        <v>990</v>
      </c>
      <c r="I435">
        <v>279</v>
      </c>
      <c r="J435">
        <v>93</v>
      </c>
      <c r="K435">
        <v>4</v>
      </c>
      <c r="L435">
        <v>49.2</v>
      </c>
      <c r="M435">
        <v>-10.4</v>
      </c>
      <c r="N435" s="10">
        <v>94800</v>
      </c>
      <c r="O435" s="10">
        <v>-8220</v>
      </c>
      <c r="P435" s="10">
        <v>1700</v>
      </c>
      <c r="Q435">
        <v>0</v>
      </c>
      <c r="R435">
        <v>0</v>
      </c>
      <c r="S435" t="s">
        <v>1879</v>
      </c>
      <c r="T435" t="s">
        <v>49</v>
      </c>
      <c r="U435" t="s">
        <v>1506</v>
      </c>
      <c r="W435" s="10"/>
    </row>
    <row r="436" spans="1:23" x14ac:dyDescent="0.25">
      <c r="A436">
        <v>132000959</v>
      </c>
      <c r="B436">
        <v>4.5999999999999996</v>
      </c>
      <c r="C436">
        <v>1</v>
      </c>
      <c r="D436" t="s">
        <v>60</v>
      </c>
      <c r="E436" t="s">
        <v>47</v>
      </c>
      <c r="F436">
        <v>132000959</v>
      </c>
      <c r="G436" t="s">
        <v>495</v>
      </c>
      <c r="H436">
        <v>1175</v>
      </c>
      <c r="I436">
        <v>255</v>
      </c>
      <c r="J436">
        <v>255</v>
      </c>
      <c r="K436">
        <v>3</v>
      </c>
      <c r="L436">
        <v>74</v>
      </c>
      <c r="M436">
        <v>-12.1</v>
      </c>
      <c r="N436" s="10">
        <v>136000</v>
      </c>
      <c r="O436" s="10">
        <v>-11300</v>
      </c>
      <c r="P436" s="10">
        <v>1560</v>
      </c>
      <c r="Q436">
        <v>0</v>
      </c>
      <c r="R436">
        <v>0</v>
      </c>
      <c r="S436" t="s">
        <v>1879</v>
      </c>
      <c r="T436" t="s">
        <v>49</v>
      </c>
      <c r="U436" t="s">
        <v>1506</v>
      </c>
      <c r="W436" s="10"/>
    </row>
    <row r="437" spans="1:23" x14ac:dyDescent="0.25">
      <c r="A437">
        <v>132000978</v>
      </c>
      <c r="B437">
        <v>11.7</v>
      </c>
      <c r="C437">
        <v>3</v>
      </c>
      <c r="D437" t="s">
        <v>60</v>
      </c>
      <c r="E437" t="s">
        <v>80</v>
      </c>
      <c r="F437">
        <v>132000978</v>
      </c>
      <c r="G437" t="s">
        <v>496</v>
      </c>
      <c r="H437">
        <v>2202</v>
      </c>
      <c r="I437">
        <v>565</v>
      </c>
      <c r="J437">
        <v>188</v>
      </c>
      <c r="K437">
        <v>7</v>
      </c>
      <c r="L437">
        <v>83.8</v>
      </c>
      <c r="M437">
        <v>-21.6</v>
      </c>
      <c r="N437" s="10">
        <v>163000</v>
      </c>
      <c r="O437" s="10">
        <v>-17100</v>
      </c>
      <c r="P437" s="10">
        <v>3440</v>
      </c>
      <c r="Q437">
        <v>0</v>
      </c>
      <c r="R437">
        <v>0</v>
      </c>
      <c r="S437" t="s">
        <v>1879</v>
      </c>
      <c r="T437" t="s">
        <v>49</v>
      </c>
      <c r="U437" t="s">
        <v>1506</v>
      </c>
      <c r="W437" s="10"/>
    </row>
    <row r="438" spans="1:23" x14ac:dyDescent="0.25">
      <c r="A438">
        <v>132001022</v>
      </c>
      <c r="B438">
        <v>6.4</v>
      </c>
      <c r="C438">
        <v>1</v>
      </c>
      <c r="D438" t="s">
        <v>60</v>
      </c>
      <c r="E438" t="s">
        <v>80</v>
      </c>
      <c r="F438">
        <v>132001022</v>
      </c>
      <c r="G438" t="s">
        <v>497</v>
      </c>
      <c r="H438">
        <v>731</v>
      </c>
      <c r="I438">
        <v>114</v>
      </c>
      <c r="J438">
        <v>114</v>
      </c>
      <c r="K438">
        <v>1</v>
      </c>
      <c r="L438">
        <v>35.6</v>
      </c>
      <c r="M438">
        <v>-7</v>
      </c>
      <c r="N438" s="10">
        <v>66900</v>
      </c>
      <c r="O438" s="10">
        <v>-6240</v>
      </c>
      <c r="P438" s="10">
        <v>697</v>
      </c>
      <c r="Q438">
        <v>0</v>
      </c>
      <c r="R438">
        <v>0</v>
      </c>
      <c r="S438" t="s">
        <v>1879</v>
      </c>
      <c r="T438" t="s">
        <v>49</v>
      </c>
      <c r="U438" t="s">
        <v>1506</v>
      </c>
      <c r="W438" s="10"/>
    </row>
    <row r="439" spans="1:23" x14ac:dyDescent="0.25">
      <c r="A439">
        <v>132001030</v>
      </c>
      <c r="B439">
        <v>3.75</v>
      </c>
      <c r="C439">
        <v>1</v>
      </c>
      <c r="D439" t="s">
        <v>46</v>
      </c>
      <c r="E439" t="s">
        <v>47</v>
      </c>
      <c r="F439">
        <v>132001030</v>
      </c>
      <c r="G439" t="s">
        <v>498</v>
      </c>
      <c r="H439">
        <v>2240</v>
      </c>
      <c r="I439">
        <v>597</v>
      </c>
      <c r="J439">
        <v>597</v>
      </c>
      <c r="K439">
        <v>8</v>
      </c>
      <c r="L439">
        <v>115</v>
      </c>
      <c r="M439">
        <v>-17.3</v>
      </c>
      <c r="N439" s="10">
        <v>253000</v>
      </c>
      <c r="O439" s="10">
        <v>-25700</v>
      </c>
      <c r="P439" s="10">
        <v>2840</v>
      </c>
      <c r="Q439">
        <v>8</v>
      </c>
      <c r="R439">
        <v>11056</v>
      </c>
      <c r="S439" t="s">
        <v>1879</v>
      </c>
      <c r="T439" t="s">
        <v>49</v>
      </c>
      <c r="U439" t="s">
        <v>1506</v>
      </c>
      <c r="W439" s="10"/>
    </row>
    <row r="440" spans="1:23" x14ac:dyDescent="0.25">
      <c r="A440">
        <v>132001093</v>
      </c>
      <c r="B440">
        <v>4.9000000000000004</v>
      </c>
      <c r="C440">
        <v>1</v>
      </c>
      <c r="D440" t="s">
        <v>54</v>
      </c>
      <c r="E440" t="s">
        <v>47</v>
      </c>
      <c r="F440">
        <v>132001093</v>
      </c>
      <c r="G440" t="s">
        <v>499</v>
      </c>
      <c r="H440">
        <v>438</v>
      </c>
      <c r="I440">
        <v>89</v>
      </c>
      <c r="J440">
        <v>89</v>
      </c>
      <c r="K440">
        <v>1</v>
      </c>
      <c r="L440">
        <v>28.3</v>
      </c>
      <c r="M440">
        <v>-3.9</v>
      </c>
      <c r="N440" s="10">
        <v>56700</v>
      </c>
      <c r="O440" s="10">
        <v>-5150</v>
      </c>
      <c r="P440" s="10">
        <v>425</v>
      </c>
      <c r="Q440">
        <v>3</v>
      </c>
      <c r="R440">
        <v>4146</v>
      </c>
      <c r="S440" t="s">
        <v>1879</v>
      </c>
      <c r="T440" t="s">
        <v>49</v>
      </c>
      <c r="U440" t="s">
        <v>1506</v>
      </c>
      <c r="W440" s="10"/>
    </row>
    <row r="441" spans="1:23" x14ac:dyDescent="0.25">
      <c r="A441">
        <v>132001094</v>
      </c>
      <c r="B441">
        <v>12.8</v>
      </c>
      <c r="C441">
        <v>3</v>
      </c>
      <c r="D441" t="s">
        <v>54</v>
      </c>
      <c r="E441" t="s">
        <v>55</v>
      </c>
      <c r="F441">
        <v>132001094</v>
      </c>
      <c r="G441" t="s">
        <v>500</v>
      </c>
      <c r="H441">
        <v>4262</v>
      </c>
      <c r="I441">
        <v>999</v>
      </c>
      <c r="J441">
        <v>333</v>
      </c>
      <c r="K441">
        <v>13</v>
      </c>
      <c r="L441">
        <v>77.2</v>
      </c>
      <c r="M441">
        <v>-26.2</v>
      </c>
      <c r="N441" s="10">
        <v>232000</v>
      </c>
      <c r="O441" s="10">
        <v>-32000</v>
      </c>
      <c r="P441" s="10">
        <v>4750</v>
      </c>
      <c r="Q441">
        <v>8</v>
      </c>
      <c r="R441">
        <v>11056</v>
      </c>
      <c r="S441" t="s">
        <v>1879</v>
      </c>
      <c r="T441" t="s">
        <v>49</v>
      </c>
      <c r="U441" t="s">
        <v>1506</v>
      </c>
      <c r="W441" s="10"/>
    </row>
    <row r="442" spans="1:23" x14ac:dyDescent="0.25">
      <c r="A442">
        <v>132001117</v>
      </c>
      <c r="B442">
        <v>5.15</v>
      </c>
      <c r="C442">
        <v>1</v>
      </c>
      <c r="D442" t="s">
        <v>60</v>
      </c>
      <c r="E442" t="s">
        <v>80</v>
      </c>
      <c r="F442">
        <v>132001117</v>
      </c>
      <c r="G442" t="s">
        <v>501</v>
      </c>
      <c r="H442">
        <v>633</v>
      </c>
      <c r="I442">
        <v>123</v>
      </c>
      <c r="J442">
        <v>123</v>
      </c>
      <c r="K442">
        <v>2</v>
      </c>
      <c r="L442">
        <v>39.200000000000003</v>
      </c>
      <c r="M442">
        <v>-7.6</v>
      </c>
      <c r="N442" s="10">
        <v>72800</v>
      </c>
      <c r="O442" s="10">
        <v>-6520</v>
      </c>
      <c r="P442" s="10">
        <v>750</v>
      </c>
      <c r="Q442">
        <v>0</v>
      </c>
      <c r="R442">
        <v>0</v>
      </c>
      <c r="S442" t="s">
        <v>1879</v>
      </c>
      <c r="T442" t="s">
        <v>49</v>
      </c>
      <c r="U442" t="s">
        <v>1506</v>
      </c>
      <c r="W442" s="10"/>
    </row>
    <row r="443" spans="1:23" x14ac:dyDescent="0.25">
      <c r="A443">
        <v>132001195</v>
      </c>
      <c r="B443">
        <v>10</v>
      </c>
      <c r="C443">
        <v>2</v>
      </c>
      <c r="D443" t="s">
        <v>60</v>
      </c>
      <c r="E443" t="s">
        <v>47</v>
      </c>
      <c r="F443">
        <v>132001195</v>
      </c>
      <c r="G443" t="s">
        <v>502</v>
      </c>
      <c r="H443">
        <v>2362</v>
      </c>
      <c r="I443">
        <v>472</v>
      </c>
      <c r="J443">
        <v>236</v>
      </c>
      <c r="K443">
        <v>6</v>
      </c>
      <c r="L443">
        <v>100</v>
      </c>
      <c r="M443">
        <v>-19.7</v>
      </c>
      <c r="N443" s="10">
        <v>191000</v>
      </c>
      <c r="O443" s="10">
        <v>-17100</v>
      </c>
      <c r="P443" s="10">
        <v>2880</v>
      </c>
      <c r="Q443">
        <v>0</v>
      </c>
      <c r="R443">
        <v>0</v>
      </c>
      <c r="S443" t="s">
        <v>1879</v>
      </c>
      <c r="T443" t="s">
        <v>49</v>
      </c>
      <c r="U443" t="s">
        <v>1506</v>
      </c>
      <c r="W443" s="10"/>
    </row>
    <row r="444" spans="1:23" x14ac:dyDescent="0.25">
      <c r="A444">
        <v>132001204</v>
      </c>
      <c r="B444">
        <v>3.5</v>
      </c>
      <c r="C444">
        <v>1</v>
      </c>
      <c r="D444" t="s">
        <v>46</v>
      </c>
      <c r="E444" t="s">
        <v>80</v>
      </c>
      <c r="F444">
        <v>132001204</v>
      </c>
      <c r="G444" t="s">
        <v>503</v>
      </c>
      <c r="H444">
        <v>1006</v>
      </c>
      <c r="I444">
        <v>287</v>
      </c>
      <c r="J444">
        <v>287</v>
      </c>
      <c r="K444">
        <v>4</v>
      </c>
      <c r="L444">
        <v>57.4</v>
      </c>
      <c r="M444">
        <v>-9.8000000000000007</v>
      </c>
      <c r="N444" s="10">
        <v>125000</v>
      </c>
      <c r="O444" s="10">
        <v>-13600</v>
      </c>
      <c r="P444" s="10">
        <v>1370</v>
      </c>
      <c r="Q444">
        <v>4.5</v>
      </c>
      <c r="R444">
        <v>6219</v>
      </c>
      <c r="S444" t="s">
        <v>1879</v>
      </c>
      <c r="T444" t="s">
        <v>49</v>
      </c>
      <c r="U444" t="s">
        <v>1506</v>
      </c>
      <c r="W444" s="10"/>
    </row>
    <row r="445" spans="1:23" x14ac:dyDescent="0.25">
      <c r="A445">
        <v>132001209</v>
      </c>
      <c r="B445">
        <v>8.5299999999999994</v>
      </c>
      <c r="C445">
        <v>2</v>
      </c>
      <c r="D445" t="s">
        <v>54</v>
      </c>
      <c r="E445" t="s">
        <v>80</v>
      </c>
      <c r="F445">
        <v>132001209</v>
      </c>
      <c r="G445" t="s">
        <v>504</v>
      </c>
      <c r="H445">
        <v>1618</v>
      </c>
      <c r="I445">
        <v>379</v>
      </c>
      <c r="J445">
        <v>190</v>
      </c>
      <c r="K445">
        <v>5</v>
      </c>
      <c r="L445">
        <v>47.5</v>
      </c>
      <c r="M445">
        <v>-10.9</v>
      </c>
      <c r="N445" s="10">
        <v>120000</v>
      </c>
      <c r="O445" s="10">
        <v>-14300</v>
      </c>
      <c r="P445" s="10">
        <v>1810</v>
      </c>
      <c r="Q445">
        <v>4.5</v>
      </c>
      <c r="R445">
        <v>6219</v>
      </c>
      <c r="S445" t="s">
        <v>1879</v>
      </c>
      <c r="T445" t="s">
        <v>49</v>
      </c>
      <c r="U445" t="s">
        <v>1506</v>
      </c>
      <c r="W445" s="10"/>
    </row>
    <row r="446" spans="1:23" x14ac:dyDescent="0.25">
      <c r="A446">
        <v>132001264</v>
      </c>
      <c r="B446">
        <v>4.28</v>
      </c>
      <c r="C446">
        <v>1</v>
      </c>
      <c r="D446" t="s">
        <v>60</v>
      </c>
      <c r="E446" t="s">
        <v>47</v>
      </c>
      <c r="F446">
        <v>132001264</v>
      </c>
      <c r="G446" t="s">
        <v>505</v>
      </c>
      <c r="H446">
        <v>409</v>
      </c>
      <c r="I446">
        <v>96</v>
      </c>
      <c r="J446">
        <v>96</v>
      </c>
      <c r="K446">
        <v>1</v>
      </c>
      <c r="L446">
        <v>30.5</v>
      </c>
      <c r="M446">
        <v>-4.7</v>
      </c>
      <c r="N446" s="10">
        <v>55700</v>
      </c>
      <c r="O446" s="10">
        <v>-4360</v>
      </c>
      <c r="P446" s="10">
        <v>583</v>
      </c>
      <c r="Q446">
        <v>0</v>
      </c>
      <c r="R446">
        <v>0</v>
      </c>
      <c r="S446" t="s">
        <v>1879</v>
      </c>
      <c r="T446" t="s">
        <v>49</v>
      </c>
      <c r="U446" t="s">
        <v>1506</v>
      </c>
      <c r="W446" s="10"/>
    </row>
    <row r="447" spans="1:23" x14ac:dyDescent="0.25">
      <c r="A447">
        <v>132001282</v>
      </c>
      <c r="B447">
        <v>6.8</v>
      </c>
      <c r="C447">
        <v>1</v>
      </c>
      <c r="D447" t="s">
        <v>60</v>
      </c>
      <c r="E447" t="s">
        <v>47</v>
      </c>
      <c r="F447">
        <v>132001282</v>
      </c>
      <c r="G447" t="s">
        <v>506</v>
      </c>
      <c r="H447">
        <v>1183</v>
      </c>
      <c r="I447">
        <v>174</v>
      </c>
      <c r="J447">
        <v>174</v>
      </c>
      <c r="K447">
        <v>2</v>
      </c>
      <c r="L447">
        <v>62.4</v>
      </c>
      <c r="M447">
        <v>-10.4</v>
      </c>
      <c r="N447" s="10">
        <v>118000</v>
      </c>
      <c r="O447" s="10">
        <v>-9500</v>
      </c>
      <c r="P447" s="10">
        <v>1060</v>
      </c>
      <c r="Q447">
        <v>0</v>
      </c>
      <c r="R447">
        <v>0</v>
      </c>
      <c r="S447" t="s">
        <v>1879</v>
      </c>
      <c r="T447" t="s">
        <v>49</v>
      </c>
      <c r="U447" t="s">
        <v>1506</v>
      </c>
      <c r="W447" s="10"/>
    </row>
    <row r="448" spans="1:23" x14ac:dyDescent="0.25">
      <c r="A448">
        <v>132001348</v>
      </c>
      <c r="B448">
        <v>7.1</v>
      </c>
      <c r="C448">
        <v>2</v>
      </c>
      <c r="D448" t="s">
        <v>60</v>
      </c>
      <c r="E448" t="s">
        <v>51</v>
      </c>
      <c r="F448">
        <v>132001348</v>
      </c>
      <c r="G448" t="s">
        <v>507</v>
      </c>
      <c r="H448">
        <v>592</v>
      </c>
      <c r="I448">
        <v>167</v>
      </c>
      <c r="J448">
        <v>84</v>
      </c>
      <c r="K448">
        <v>2</v>
      </c>
      <c r="L448">
        <v>27.2</v>
      </c>
      <c r="M448">
        <v>-7.1</v>
      </c>
      <c r="N448" s="10">
        <v>50200</v>
      </c>
      <c r="O448" s="10">
        <v>-5340</v>
      </c>
      <c r="P448" s="10">
        <v>1020</v>
      </c>
      <c r="Q448">
        <v>0</v>
      </c>
      <c r="R448">
        <v>0</v>
      </c>
      <c r="S448" t="s">
        <v>1879</v>
      </c>
      <c r="T448" t="s">
        <v>49</v>
      </c>
      <c r="U448" t="s">
        <v>1506</v>
      </c>
      <c r="W448" s="10"/>
    </row>
    <row r="449" spans="1:23" x14ac:dyDescent="0.25">
      <c r="A449">
        <v>132001351</v>
      </c>
      <c r="B449">
        <v>8.1</v>
      </c>
      <c r="C449">
        <v>2</v>
      </c>
      <c r="D449" t="s">
        <v>54</v>
      </c>
      <c r="E449" t="s">
        <v>80</v>
      </c>
      <c r="F449">
        <v>132001351</v>
      </c>
      <c r="G449" t="s">
        <v>508</v>
      </c>
      <c r="H449">
        <v>775</v>
      </c>
      <c r="I449">
        <v>191</v>
      </c>
      <c r="J449">
        <v>96</v>
      </c>
      <c r="K449">
        <v>2</v>
      </c>
      <c r="L449">
        <v>35.799999999999997</v>
      </c>
      <c r="M449">
        <v>-7.5</v>
      </c>
      <c r="N449" s="10">
        <v>77200</v>
      </c>
      <c r="O449" s="10">
        <v>-9420</v>
      </c>
      <c r="P449" s="10">
        <v>911</v>
      </c>
      <c r="Q449">
        <v>3</v>
      </c>
      <c r="R449">
        <v>4146</v>
      </c>
      <c r="S449" t="s">
        <v>1879</v>
      </c>
      <c r="T449" t="s">
        <v>49</v>
      </c>
      <c r="U449" t="s">
        <v>1506</v>
      </c>
      <c r="W449" s="10"/>
    </row>
    <row r="450" spans="1:23" x14ac:dyDescent="0.25">
      <c r="A450">
        <v>132001352</v>
      </c>
      <c r="B450">
        <v>7.05</v>
      </c>
      <c r="C450">
        <v>2</v>
      </c>
      <c r="D450" t="s">
        <v>54</v>
      </c>
      <c r="E450" t="s">
        <v>55</v>
      </c>
      <c r="F450">
        <v>132001352</v>
      </c>
      <c r="G450" t="s">
        <v>509</v>
      </c>
      <c r="H450">
        <v>2202</v>
      </c>
      <c r="I450">
        <v>625</v>
      </c>
      <c r="J450">
        <v>313</v>
      </c>
      <c r="K450">
        <v>8</v>
      </c>
      <c r="L450">
        <v>53.6</v>
      </c>
      <c r="M450">
        <v>-15.6</v>
      </c>
      <c r="N450" s="10">
        <v>155000</v>
      </c>
      <c r="O450" s="10">
        <v>-19800</v>
      </c>
      <c r="P450" s="10">
        <v>2970</v>
      </c>
      <c r="Q450">
        <v>8</v>
      </c>
      <c r="R450">
        <v>11056</v>
      </c>
      <c r="S450" t="s">
        <v>1879</v>
      </c>
      <c r="T450" t="s">
        <v>49</v>
      </c>
      <c r="U450" t="s">
        <v>1506</v>
      </c>
      <c r="W450" s="10"/>
    </row>
    <row r="451" spans="1:23" x14ac:dyDescent="0.25">
      <c r="A451">
        <v>169832741</v>
      </c>
      <c r="B451">
        <v>14.5</v>
      </c>
      <c r="C451">
        <v>4</v>
      </c>
      <c r="D451" t="s">
        <v>60</v>
      </c>
      <c r="E451" t="s">
        <v>51</v>
      </c>
      <c r="F451">
        <v>169832741</v>
      </c>
      <c r="G451" t="s">
        <v>510</v>
      </c>
      <c r="H451">
        <v>4726</v>
      </c>
      <c r="I451">
        <v>1304</v>
      </c>
      <c r="J451">
        <v>326</v>
      </c>
      <c r="K451">
        <v>17</v>
      </c>
      <c r="L451">
        <v>121</v>
      </c>
      <c r="M451">
        <v>-41.3</v>
      </c>
      <c r="N451" s="10">
        <v>253000</v>
      </c>
      <c r="O451" s="10">
        <v>-27500</v>
      </c>
      <c r="P451" s="10">
        <v>7950</v>
      </c>
      <c r="Q451">
        <v>0</v>
      </c>
      <c r="R451">
        <v>0</v>
      </c>
      <c r="S451" t="s">
        <v>1879</v>
      </c>
      <c r="T451" t="s">
        <v>49</v>
      </c>
      <c r="U451" t="s">
        <v>1506</v>
      </c>
      <c r="W451" s="10"/>
    </row>
    <row r="452" spans="1:23" x14ac:dyDescent="0.25">
      <c r="A452">
        <v>169832742</v>
      </c>
      <c r="B452">
        <v>4.05</v>
      </c>
      <c r="C452">
        <v>1</v>
      </c>
      <c r="D452" t="s">
        <v>46</v>
      </c>
      <c r="E452" t="s">
        <v>51</v>
      </c>
      <c r="F452">
        <v>169832742</v>
      </c>
      <c r="G452" t="s">
        <v>511</v>
      </c>
      <c r="H452">
        <v>883</v>
      </c>
      <c r="I452">
        <v>218</v>
      </c>
      <c r="J452">
        <v>218</v>
      </c>
      <c r="K452">
        <v>3</v>
      </c>
      <c r="L452">
        <v>31.5</v>
      </c>
      <c r="M452">
        <v>-6.4</v>
      </c>
      <c r="N452" s="10">
        <v>75100</v>
      </c>
      <c r="O452" s="10">
        <v>-8240</v>
      </c>
      <c r="P452" s="10">
        <v>1040</v>
      </c>
      <c r="Q452">
        <v>4.5</v>
      </c>
      <c r="R452">
        <v>6219</v>
      </c>
      <c r="S452" t="s">
        <v>1879</v>
      </c>
      <c r="T452" t="s">
        <v>49</v>
      </c>
      <c r="U452" t="s">
        <v>1506</v>
      </c>
      <c r="W452" s="10"/>
    </row>
    <row r="453" spans="1:23" x14ac:dyDescent="0.25">
      <c r="A453">
        <v>182680865</v>
      </c>
      <c r="B453">
        <v>9.89</v>
      </c>
      <c r="C453">
        <v>2</v>
      </c>
      <c r="D453" t="s">
        <v>46</v>
      </c>
      <c r="E453" t="s">
        <v>47</v>
      </c>
      <c r="F453">
        <v>182680865</v>
      </c>
      <c r="G453" t="s">
        <v>512</v>
      </c>
      <c r="H453">
        <v>26779</v>
      </c>
      <c r="I453">
        <v>5417</v>
      </c>
      <c r="J453">
        <v>2709</v>
      </c>
      <c r="K453">
        <v>70</v>
      </c>
      <c r="L453">
        <v>735.9</v>
      </c>
      <c r="M453">
        <v>-148</v>
      </c>
      <c r="N453" s="10">
        <v>1820000</v>
      </c>
      <c r="O453" s="10">
        <v>-207000</v>
      </c>
      <c r="P453" s="10">
        <v>25800</v>
      </c>
      <c r="Q453">
        <v>25</v>
      </c>
      <c r="R453">
        <v>34550</v>
      </c>
      <c r="S453" t="s">
        <v>1879</v>
      </c>
      <c r="T453" t="s">
        <v>49</v>
      </c>
      <c r="U453" t="s">
        <v>1506</v>
      </c>
      <c r="W453" s="10"/>
    </row>
    <row r="454" spans="1:23" x14ac:dyDescent="0.25">
      <c r="A454">
        <v>182681467</v>
      </c>
      <c r="B454">
        <v>8.6</v>
      </c>
      <c r="C454">
        <v>2</v>
      </c>
      <c r="D454" t="s">
        <v>46</v>
      </c>
      <c r="E454" t="s">
        <v>47</v>
      </c>
      <c r="F454">
        <v>182681467</v>
      </c>
      <c r="G454" t="s">
        <v>513</v>
      </c>
      <c r="H454">
        <v>3576</v>
      </c>
      <c r="I454">
        <v>832</v>
      </c>
      <c r="J454">
        <v>416</v>
      </c>
      <c r="K454">
        <v>11</v>
      </c>
      <c r="L454">
        <v>126.9</v>
      </c>
      <c r="M454">
        <v>-24.5</v>
      </c>
      <c r="N454" s="10">
        <v>301000</v>
      </c>
      <c r="O454" s="10">
        <v>-33600</v>
      </c>
      <c r="P454" s="10">
        <v>3960</v>
      </c>
      <c r="Q454">
        <v>8</v>
      </c>
      <c r="R454">
        <v>11056</v>
      </c>
      <c r="S454" t="s">
        <v>1879</v>
      </c>
      <c r="T454" t="s">
        <v>49</v>
      </c>
      <c r="U454" t="s">
        <v>1506</v>
      </c>
      <c r="W454" s="10"/>
    </row>
    <row r="455" spans="1:23" x14ac:dyDescent="0.25">
      <c r="A455">
        <v>262271563</v>
      </c>
      <c r="B455">
        <v>10.8</v>
      </c>
      <c r="C455">
        <v>3</v>
      </c>
      <c r="D455" t="s">
        <v>102</v>
      </c>
      <c r="E455" t="s">
        <v>51</v>
      </c>
      <c r="F455">
        <v>262271563</v>
      </c>
      <c r="G455" t="s">
        <v>514</v>
      </c>
      <c r="H455">
        <v>5487</v>
      </c>
      <c r="I455">
        <v>1524</v>
      </c>
      <c r="J455">
        <v>508</v>
      </c>
      <c r="K455">
        <v>20</v>
      </c>
      <c r="L455">
        <v>120</v>
      </c>
      <c r="M455">
        <v>-37.9</v>
      </c>
      <c r="N455" s="10">
        <v>356000</v>
      </c>
      <c r="O455" s="10">
        <v>-48000</v>
      </c>
      <c r="P455" s="10">
        <v>7250</v>
      </c>
      <c r="Q455">
        <v>0</v>
      </c>
      <c r="R455">
        <v>0</v>
      </c>
      <c r="S455" t="s">
        <v>1879</v>
      </c>
      <c r="T455" t="s">
        <v>49</v>
      </c>
      <c r="U455" t="s">
        <v>1506</v>
      </c>
      <c r="W455" s="10"/>
    </row>
    <row r="456" spans="1:23" x14ac:dyDescent="0.25">
      <c r="A456">
        <v>262278622</v>
      </c>
      <c r="B456">
        <v>11.84</v>
      </c>
      <c r="C456">
        <v>3</v>
      </c>
      <c r="D456" t="s">
        <v>46</v>
      </c>
      <c r="E456" t="s">
        <v>51</v>
      </c>
      <c r="F456">
        <v>262278622</v>
      </c>
      <c r="G456" t="s">
        <v>515</v>
      </c>
      <c r="H456">
        <v>3366</v>
      </c>
      <c r="I456">
        <v>853</v>
      </c>
      <c r="J456">
        <v>284</v>
      </c>
      <c r="K456">
        <v>11</v>
      </c>
      <c r="L456">
        <v>52.3</v>
      </c>
      <c r="M456">
        <v>-18.100000000000001</v>
      </c>
      <c r="N456" s="10">
        <v>178000</v>
      </c>
      <c r="O456" s="10">
        <v>-24300</v>
      </c>
      <c r="P456" s="10">
        <v>4060</v>
      </c>
      <c r="Q456">
        <v>4.5</v>
      </c>
      <c r="R456">
        <v>6219</v>
      </c>
      <c r="S456" t="s">
        <v>1879</v>
      </c>
      <c r="T456" t="s">
        <v>49</v>
      </c>
      <c r="U456" t="s">
        <v>1506</v>
      </c>
      <c r="W456" s="10"/>
    </row>
    <row r="457" spans="1:23" x14ac:dyDescent="0.25">
      <c r="A457">
        <v>262278623</v>
      </c>
      <c r="B457">
        <v>5.77</v>
      </c>
      <c r="C457">
        <v>1</v>
      </c>
      <c r="D457" t="s">
        <v>46</v>
      </c>
      <c r="E457" t="s">
        <v>58</v>
      </c>
      <c r="F457">
        <v>262278623</v>
      </c>
      <c r="G457" t="s">
        <v>516</v>
      </c>
      <c r="H457">
        <v>1009</v>
      </c>
      <c r="I457">
        <v>175</v>
      </c>
      <c r="J457">
        <v>175</v>
      </c>
      <c r="K457">
        <v>2</v>
      </c>
      <c r="L457">
        <v>29.1</v>
      </c>
      <c r="M457">
        <v>-6.9</v>
      </c>
      <c r="N457" s="10">
        <v>67700</v>
      </c>
      <c r="O457" s="10">
        <v>-7590</v>
      </c>
      <c r="P457" s="10">
        <v>832</v>
      </c>
      <c r="Q457">
        <v>4.5</v>
      </c>
      <c r="R457">
        <v>6219</v>
      </c>
      <c r="S457" t="s">
        <v>1879</v>
      </c>
      <c r="T457" t="s">
        <v>49</v>
      </c>
      <c r="U457" t="s">
        <v>1506</v>
      </c>
      <c r="W457" s="10"/>
    </row>
    <row r="458" spans="1:23" x14ac:dyDescent="0.25">
      <c r="A458">
        <v>354919796</v>
      </c>
      <c r="B458">
        <v>12.16</v>
      </c>
      <c r="C458">
        <v>3</v>
      </c>
      <c r="D458" t="s">
        <v>46</v>
      </c>
      <c r="E458" t="s">
        <v>51</v>
      </c>
      <c r="F458">
        <v>354919796</v>
      </c>
      <c r="G458" t="s">
        <v>517</v>
      </c>
      <c r="H458">
        <v>7941</v>
      </c>
      <c r="I458">
        <v>1959</v>
      </c>
      <c r="J458">
        <v>653</v>
      </c>
      <c r="K458">
        <v>25</v>
      </c>
      <c r="L458">
        <v>117.3</v>
      </c>
      <c r="M458">
        <v>-41.4</v>
      </c>
      <c r="N458" s="10">
        <v>404000</v>
      </c>
      <c r="O458" s="10">
        <v>-55600</v>
      </c>
      <c r="P458" s="10">
        <v>9320</v>
      </c>
      <c r="Q458">
        <v>8</v>
      </c>
      <c r="R458">
        <v>11056</v>
      </c>
      <c r="S458" t="s">
        <v>1879</v>
      </c>
      <c r="T458" t="s">
        <v>49</v>
      </c>
      <c r="U458" t="s">
        <v>1506</v>
      </c>
      <c r="W458" s="10"/>
    </row>
    <row r="459" spans="1:23" x14ac:dyDescent="0.25">
      <c r="A459">
        <v>354919799</v>
      </c>
      <c r="B459">
        <v>9.0500000000000007</v>
      </c>
      <c r="C459">
        <v>2</v>
      </c>
      <c r="D459" t="s">
        <v>46</v>
      </c>
      <c r="E459" t="s">
        <v>47</v>
      </c>
      <c r="F459">
        <v>354919799</v>
      </c>
      <c r="G459" t="s">
        <v>518</v>
      </c>
      <c r="H459">
        <v>7724</v>
      </c>
      <c r="I459">
        <v>1707</v>
      </c>
      <c r="J459">
        <v>854</v>
      </c>
      <c r="K459">
        <v>22</v>
      </c>
      <c r="L459">
        <v>305.2</v>
      </c>
      <c r="M459">
        <v>-55</v>
      </c>
      <c r="N459" s="10">
        <v>684000</v>
      </c>
      <c r="O459" s="10">
        <v>-75600</v>
      </c>
      <c r="P459" s="10">
        <v>8120</v>
      </c>
      <c r="Q459">
        <v>8</v>
      </c>
      <c r="R459">
        <v>11056</v>
      </c>
      <c r="S459" t="s">
        <v>1879</v>
      </c>
      <c r="T459" t="s">
        <v>49</v>
      </c>
      <c r="U459" t="s">
        <v>1506</v>
      </c>
      <c r="W459" s="10"/>
    </row>
    <row r="460" spans="1:23" x14ac:dyDescent="0.25">
      <c r="A460">
        <v>370495122</v>
      </c>
      <c r="B460">
        <v>9.6</v>
      </c>
      <c r="C460">
        <v>2</v>
      </c>
      <c r="D460" t="s">
        <v>46</v>
      </c>
      <c r="E460" t="s">
        <v>47</v>
      </c>
      <c r="F460">
        <v>370495122</v>
      </c>
      <c r="G460" t="s">
        <v>519</v>
      </c>
      <c r="H460">
        <v>4269</v>
      </c>
      <c r="I460">
        <v>889</v>
      </c>
      <c r="J460">
        <v>445</v>
      </c>
      <c r="K460">
        <v>12</v>
      </c>
      <c r="L460">
        <v>129.6</v>
      </c>
      <c r="M460">
        <v>-26.7</v>
      </c>
      <c r="N460" s="10">
        <v>310000</v>
      </c>
      <c r="O460" s="10">
        <v>-35300</v>
      </c>
      <c r="P460" s="10">
        <v>4230</v>
      </c>
      <c r="Q460">
        <v>8</v>
      </c>
      <c r="R460">
        <v>11056</v>
      </c>
      <c r="S460" t="s">
        <v>1879</v>
      </c>
      <c r="T460" t="s">
        <v>49</v>
      </c>
      <c r="U460" t="s">
        <v>1506</v>
      </c>
      <c r="W460" s="10"/>
    </row>
    <row r="461" spans="1:23" x14ac:dyDescent="0.25">
      <c r="A461">
        <v>371476578</v>
      </c>
      <c r="B461">
        <v>4.3499999999999996</v>
      </c>
      <c r="C461">
        <v>1</v>
      </c>
      <c r="D461" t="s">
        <v>369</v>
      </c>
      <c r="E461" t="s">
        <v>47</v>
      </c>
      <c r="F461">
        <v>371476578</v>
      </c>
      <c r="G461" t="s">
        <v>520</v>
      </c>
      <c r="H461">
        <v>1944</v>
      </c>
      <c r="I461">
        <v>447</v>
      </c>
      <c r="J461">
        <v>447</v>
      </c>
      <c r="K461">
        <v>6</v>
      </c>
      <c r="L461">
        <v>107.3</v>
      </c>
      <c r="M461">
        <v>-15.6</v>
      </c>
      <c r="N461" s="10">
        <v>225000</v>
      </c>
      <c r="O461" s="10">
        <v>-22100</v>
      </c>
      <c r="P461" s="10">
        <v>2130</v>
      </c>
      <c r="Q461">
        <v>8</v>
      </c>
      <c r="R461">
        <v>11056</v>
      </c>
      <c r="S461" t="s">
        <v>1879</v>
      </c>
      <c r="T461" t="s">
        <v>49</v>
      </c>
      <c r="U461" t="s">
        <v>1506</v>
      </c>
      <c r="W461" s="10"/>
    </row>
    <row r="462" spans="1:23" x14ac:dyDescent="0.25">
      <c r="A462">
        <v>386557725</v>
      </c>
      <c r="B462">
        <v>4.2</v>
      </c>
      <c r="C462">
        <v>1</v>
      </c>
      <c r="D462" t="s">
        <v>369</v>
      </c>
      <c r="E462" t="s">
        <v>51</v>
      </c>
      <c r="F462">
        <v>386557725</v>
      </c>
      <c r="G462" t="s">
        <v>521</v>
      </c>
      <c r="H462">
        <v>434</v>
      </c>
      <c r="I462">
        <v>103</v>
      </c>
      <c r="J462">
        <v>103</v>
      </c>
      <c r="K462">
        <v>1</v>
      </c>
      <c r="L462">
        <v>19</v>
      </c>
      <c r="M462">
        <v>-3.9</v>
      </c>
      <c r="N462" s="10">
        <v>42200</v>
      </c>
      <c r="O462" s="10">
        <v>-4690</v>
      </c>
      <c r="P462" s="10">
        <v>492</v>
      </c>
      <c r="Q462">
        <v>4.5</v>
      </c>
      <c r="R462">
        <v>6219</v>
      </c>
      <c r="S462" t="s">
        <v>1879</v>
      </c>
      <c r="T462" t="s">
        <v>49</v>
      </c>
      <c r="U462" t="s">
        <v>1506</v>
      </c>
      <c r="W462" s="10"/>
    </row>
    <row r="463" spans="1:23" x14ac:dyDescent="0.25">
      <c r="A463">
        <v>477646656</v>
      </c>
      <c r="B463">
        <v>9.68</v>
      </c>
      <c r="C463">
        <v>2</v>
      </c>
      <c r="D463" t="s">
        <v>46</v>
      </c>
      <c r="E463" t="s">
        <v>47</v>
      </c>
      <c r="F463">
        <v>477646656</v>
      </c>
      <c r="G463" t="s">
        <v>522</v>
      </c>
      <c r="H463">
        <v>5635</v>
      </c>
      <c r="I463">
        <v>1165</v>
      </c>
      <c r="J463">
        <v>583</v>
      </c>
      <c r="K463">
        <v>15</v>
      </c>
      <c r="L463">
        <v>159</v>
      </c>
      <c r="M463">
        <v>-31.1</v>
      </c>
      <c r="N463" s="10">
        <v>395000</v>
      </c>
      <c r="O463" s="10">
        <v>-45000</v>
      </c>
      <c r="P463" s="10">
        <v>5540</v>
      </c>
      <c r="Q463">
        <v>8</v>
      </c>
      <c r="R463">
        <v>11056</v>
      </c>
      <c r="S463" t="s">
        <v>1879</v>
      </c>
      <c r="T463" t="s">
        <v>49</v>
      </c>
      <c r="U463" t="s">
        <v>1506</v>
      </c>
      <c r="W463" s="10"/>
    </row>
    <row r="464" spans="1:23" x14ac:dyDescent="0.25">
      <c r="A464">
        <v>477646657</v>
      </c>
      <c r="B464">
        <v>7.9</v>
      </c>
      <c r="C464">
        <v>2</v>
      </c>
      <c r="D464" t="s">
        <v>46</v>
      </c>
      <c r="E464" t="s">
        <v>80</v>
      </c>
      <c r="F464">
        <v>477646657</v>
      </c>
      <c r="G464" t="s">
        <v>523</v>
      </c>
      <c r="H464">
        <v>2277</v>
      </c>
      <c r="I464">
        <v>576</v>
      </c>
      <c r="J464">
        <v>288</v>
      </c>
      <c r="K464">
        <v>7</v>
      </c>
      <c r="L464">
        <v>69.099999999999994</v>
      </c>
      <c r="M464">
        <v>-16.3</v>
      </c>
      <c r="N464" s="10">
        <v>176000</v>
      </c>
      <c r="O464" s="10">
        <v>-21100</v>
      </c>
      <c r="P464" s="10">
        <v>2740</v>
      </c>
      <c r="Q464">
        <v>4.5</v>
      </c>
      <c r="R464">
        <v>6219</v>
      </c>
      <c r="S464" t="s">
        <v>1879</v>
      </c>
      <c r="T464" t="s">
        <v>49</v>
      </c>
      <c r="U464" t="s">
        <v>1506</v>
      </c>
      <c r="W464" s="10"/>
    </row>
    <row r="465" spans="1:23" x14ac:dyDescent="0.25">
      <c r="A465">
        <v>477646658</v>
      </c>
      <c r="B465">
        <v>9.6999999999999993</v>
      </c>
      <c r="C465">
        <v>2</v>
      </c>
      <c r="D465" t="s">
        <v>46</v>
      </c>
      <c r="E465" t="s">
        <v>80</v>
      </c>
      <c r="F465">
        <v>477646658</v>
      </c>
      <c r="G465" t="s">
        <v>524</v>
      </c>
      <c r="H465">
        <v>2693</v>
      </c>
      <c r="I465">
        <v>555</v>
      </c>
      <c r="J465">
        <v>278</v>
      </c>
      <c r="K465">
        <v>7</v>
      </c>
      <c r="L465">
        <v>74.8</v>
      </c>
      <c r="M465">
        <v>-17.600000000000001</v>
      </c>
      <c r="N465" s="10">
        <v>182000</v>
      </c>
      <c r="O465" s="10">
        <v>-21700</v>
      </c>
      <c r="P465" s="10">
        <v>2640</v>
      </c>
      <c r="Q465">
        <v>4.5</v>
      </c>
      <c r="R465">
        <v>6219</v>
      </c>
      <c r="S465" t="s">
        <v>1879</v>
      </c>
      <c r="T465" t="s">
        <v>49</v>
      </c>
      <c r="U465" t="s">
        <v>1506</v>
      </c>
      <c r="W465" s="10"/>
    </row>
    <row r="466" spans="1:23" x14ac:dyDescent="0.25">
      <c r="A466">
        <v>477646660</v>
      </c>
      <c r="B466">
        <v>15.54</v>
      </c>
      <c r="C466">
        <v>4</v>
      </c>
      <c r="D466" t="s">
        <v>46</v>
      </c>
      <c r="E466" t="s">
        <v>47</v>
      </c>
      <c r="F466">
        <v>477646660</v>
      </c>
      <c r="G466" t="s">
        <v>525</v>
      </c>
      <c r="H466">
        <v>10284</v>
      </c>
      <c r="I466">
        <v>2647</v>
      </c>
      <c r="J466">
        <v>662</v>
      </c>
      <c r="K466">
        <v>34</v>
      </c>
      <c r="L466">
        <v>260.5</v>
      </c>
      <c r="M466">
        <v>-64.3</v>
      </c>
      <c r="N466" s="10">
        <v>718000</v>
      </c>
      <c r="O466" s="10">
        <v>-87900</v>
      </c>
      <c r="P466" s="10">
        <v>12600</v>
      </c>
      <c r="Q466">
        <v>8</v>
      </c>
      <c r="R466">
        <v>11056</v>
      </c>
      <c r="S466" t="s">
        <v>1879</v>
      </c>
      <c r="T466" t="s">
        <v>49</v>
      </c>
      <c r="U466" t="s">
        <v>1506</v>
      </c>
      <c r="W466" s="10"/>
    </row>
    <row r="467" spans="1:23" x14ac:dyDescent="0.25">
      <c r="A467">
        <v>477646661</v>
      </c>
      <c r="B467">
        <v>9.6999999999999993</v>
      </c>
      <c r="C467">
        <v>2</v>
      </c>
      <c r="D467" t="s">
        <v>46</v>
      </c>
      <c r="E467" t="s">
        <v>47</v>
      </c>
      <c r="F467">
        <v>477646661</v>
      </c>
      <c r="G467" t="s">
        <v>526</v>
      </c>
      <c r="H467">
        <v>4324</v>
      </c>
      <c r="I467">
        <v>892</v>
      </c>
      <c r="J467">
        <v>446</v>
      </c>
      <c r="K467">
        <v>12</v>
      </c>
      <c r="L467">
        <v>122.2</v>
      </c>
      <c r="M467">
        <v>-24.8</v>
      </c>
      <c r="N467" s="10">
        <v>301000</v>
      </c>
      <c r="O467" s="10">
        <v>-35300</v>
      </c>
      <c r="P467" s="10">
        <v>4240</v>
      </c>
      <c r="Q467">
        <v>8</v>
      </c>
      <c r="R467">
        <v>11056</v>
      </c>
      <c r="S467" t="s">
        <v>1879</v>
      </c>
      <c r="T467" t="s">
        <v>49</v>
      </c>
      <c r="U467" t="s">
        <v>1506</v>
      </c>
      <c r="W467" s="10"/>
    </row>
    <row r="468" spans="1:23" x14ac:dyDescent="0.25">
      <c r="A468">
        <v>477646662</v>
      </c>
      <c r="B468">
        <v>6.05</v>
      </c>
      <c r="C468">
        <v>1</v>
      </c>
      <c r="D468" t="s">
        <v>46</v>
      </c>
      <c r="E468" t="s">
        <v>47</v>
      </c>
      <c r="F468">
        <v>477646662</v>
      </c>
      <c r="G468" t="s">
        <v>527</v>
      </c>
      <c r="H468">
        <v>3237</v>
      </c>
      <c r="I468">
        <v>535</v>
      </c>
      <c r="J468">
        <v>535</v>
      </c>
      <c r="K468">
        <v>7</v>
      </c>
      <c r="L468">
        <v>152.9</v>
      </c>
      <c r="M468">
        <v>-22.9</v>
      </c>
      <c r="N468" s="10">
        <v>312000</v>
      </c>
      <c r="O468" s="10">
        <v>-29500</v>
      </c>
      <c r="P468" s="10">
        <v>2550</v>
      </c>
      <c r="Q468">
        <v>8</v>
      </c>
      <c r="R468">
        <v>11056</v>
      </c>
      <c r="S468" t="s">
        <v>1879</v>
      </c>
      <c r="T468" t="s">
        <v>49</v>
      </c>
      <c r="U468" t="s">
        <v>1506</v>
      </c>
      <c r="W468" s="10"/>
    </row>
    <row r="469" spans="1:23" x14ac:dyDescent="0.25">
      <c r="A469">
        <v>673882871</v>
      </c>
      <c r="B469">
        <v>7.5</v>
      </c>
      <c r="C469">
        <v>2</v>
      </c>
      <c r="D469" t="s">
        <v>60</v>
      </c>
      <c r="E469" t="s">
        <v>47</v>
      </c>
      <c r="F469">
        <v>673882871</v>
      </c>
      <c r="G469" t="s">
        <v>528</v>
      </c>
      <c r="H469">
        <v>1642</v>
      </c>
      <c r="I469">
        <v>438</v>
      </c>
      <c r="J469">
        <v>219</v>
      </c>
      <c r="K469">
        <v>6</v>
      </c>
      <c r="L469">
        <v>87.6</v>
      </c>
      <c r="M469">
        <v>-16.8</v>
      </c>
      <c r="N469" s="10">
        <v>164000</v>
      </c>
      <c r="O469" s="10">
        <v>-14200</v>
      </c>
      <c r="P469" s="10">
        <v>2670</v>
      </c>
      <c r="Q469">
        <v>0</v>
      </c>
      <c r="R469">
        <v>0</v>
      </c>
      <c r="S469" t="s">
        <v>1879</v>
      </c>
      <c r="T469" t="s">
        <v>49</v>
      </c>
      <c r="U469" t="s">
        <v>1506</v>
      </c>
      <c r="W469" s="10"/>
    </row>
    <row r="470" spans="1:23" x14ac:dyDescent="0.25">
      <c r="A470">
        <v>739039114</v>
      </c>
      <c r="B470">
        <v>10.7</v>
      </c>
      <c r="C470">
        <v>3</v>
      </c>
      <c r="D470" t="s">
        <v>46</v>
      </c>
      <c r="E470" t="s">
        <v>47</v>
      </c>
      <c r="F470">
        <v>739039114</v>
      </c>
      <c r="G470" t="s">
        <v>529</v>
      </c>
      <c r="H470">
        <v>2938</v>
      </c>
      <c r="I470">
        <v>824</v>
      </c>
      <c r="J470">
        <v>275</v>
      </c>
      <c r="K470">
        <v>11</v>
      </c>
      <c r="L470">
        <v>95.8</v>
      </c>
      <c r="M470">
        <v>-21.4</v>
      </c>
      <c r="N470" s="10">
        <v>246000</v>
      </c>
      <c r="O470" s="10">
        <v>-28700</v>
      </c>
      <c r="P470" s="10">
        <v>3920</v>
      </c>
      <c r="Q470">
        <v>4.5</v>
      </c>
      <c r="R470">
        <v>6219</v>
      </c>
      <c r="S470" t="s">
        <v>1879</v>
      </c>
      <c r="T470" t="s">
        <v>49</v>
      </c>
      <c r="U470" t="s">
        <v>1506</v>
      </c>
      <c r="W470" s="10"/>
    </row>
    <row r="471" spans="1:23" x14ac:dyDescent="0.25">
      <c r="A471">
        <v>739039115</v>
      </c>
      <c r="B471">
        <v>6.63</v>
      </c>
      <c r="C471">
        <v>1</v>
      </c>
      <c r="D471" t="s">
        <v>46</v>
      </c>
      <c r="E471" t="s">
        <v>47</v>
      </c>
      <c r="F471">
        <v>739039115</v>
      </c>
      <c r="G471" t="s">
        <v>530</v>
      </c>
      <c r="H471">
        <v>1844</v>
      </c>
      <c r="I471">
        <v>278</v>
      </c>
      <c r="J471">
        <v>278</v>
      </c>
      <c r="K471">
        <v>4</v>
      </c>
      <c r="L471">
        <v>75.099999999999994</v>
      </c>
      <c r="M471">
        <v>-11.6</v>
      </c>
      <c r="N471" s="10">
        <v>155000</v>
      </c>
      <c r="O471" s="10">
        <v>-14400</v>
      </c>
      <c r="P471" s="10">
        <v>1320</v>
      </c>
      <c r="Q471">
        <v>4.5</v>
      </c>
      <c r="R471">
        <v>6219</v>
      </c>
      <c r="S471" t="s">
        <v>1879</v>
      </c>
      <c r="T471" t="s">
        <v>49</v>
      </c>
      <c r="U471" t="s">
        <v>1506</v>
      </c>
      <c r="W471" s="10"/>
    </row>
    <row r="472" spans="1:23" x14ac:dyDescent="0.25">
      <c r="A472">
        <v>739157888</v>
      </c>
      <c r="B472">
        <v>8.9</v>
      </c>
      <c r="C472">
        <v>2</v>
      </c>
      <c r="D472" t="s">
        <v>46</v>
      </c>
      <c r="E472" t="s">
        <v>47</v>
      </c>
      <c r="F472">
        <v>739157888</v>
      </c>
      <c r="G472" t="s">
        <v>531</v>
      </c>
      <c r="H472">
        <v>3887</v>
      </c>
      <c r="I472">
        <v>874</v>
      </c>
      <c r="J472">
        <v>437</v>
      </c>
      <c r="K472">
        <v>11</v>
      </c>
      <c r="L472">
        <v>124.3</v>
      </c>
      <c r="M472">
        <v>-24.2</v>
      </c>
      <c r="N472" s="10">
        <v>303000</v>
      </c>
      <c r="O472" s="10">
        <v>-34000</v>
      </c>
      <c r="P472" s="10">
        <v>4160</v>
      </c>
      <c r="Q472">
        <v>8</v>
      </c>
      <c r="R472">
        <v>11056</v>
      </c>
      <c r="S472" t="s">
        <v>1879</v>
      </c>
      <c r="T472" t="s">
        <v>49</v>
      </c>
      <c r="U472" t="s">
        <v>1506</v>
      </c>
      <c r="W472" s="10"/>
    </row>
    <row r="473" spans="1:23" x14ac:dyDescent="0.25">
      <c r="A473">
        <v>739157889</v>
      </c>
      <c r="B473">
        <v>15.33</v>
      </c>
      <c r="C473">
        <v>4</v>
      </c>
      <c r="D473" t="s">
        <v>46</v>
      </c>
      <c r="E473" t="s">
        <v>47</v>
      </c>
      <c r="F473">
        <v>739157889</v>
      </c>
      <c r="G473" t="s">
        <v>532</v>
      </c>
      <c r="H473">
        <v>3797</v>
      </c>
      <c r="I473">
        <v>991</v>
      </c>
      <c r="J473">
        <v>248</v>
      </c>
      <c r="K473">
        <v>13</v>
      </c>
      <c r="L473">
        <v>108.3</v>
      </c>
      <c r="M473">
        <v>-25.7</v>
      </c>
      <c r="N473" s="10">
        <v>286000</v>
      </c>
      <c r="O473" s="10">
        <v>-34400</v>
      </c>
      <c r="P473" s="10">
        <v>4710</v>
      </c>
      <c r="Q473">
        <v>4.5</v>
      </c>
      <c r="R473">
        <v>6219</v>
      </c>
      <c r="S473" t="s">
        <v>1879</v>
      </c>
      <c r="T473" t="s">
        <v>49</v>
      </c>
      <c r="U473" t="s">
        <v>1506</v>
      </c>
      <c r="W473" s="10"/>
    </row>
    <row r="474" spans="1:23" x14ac:dyDescent="0.25">
      <c r="A474">
        <v>1225790176</v>
      </c>
      <c r="B474">
        <v>6</v>
      </c>
      <c r="C474">
        <v>1</v>
      </c>
      <c r="D474" t="s">
        <v>60</v>
      </c>
      <c r="E474" t="s">
        <v>55</v>
      </c>
      <c r="F474">
        <v>1225790176</v>
      </c>
      <c r="G474" t="s">
        <v>533</v>
      </c>
      <c r="H474">
        <v>2887</v>
      </c>
      <c r="I474">
        <v>481</v>
      </c>
      <c r="J474">
        <v>481</v>
      </c>
      <c r="K474">
        <v>6</v>
      </c>
      <c r="L474">
        <v>90.5</v>
      </c>
      <c r="M474">
        <v>-21.5</v>
      </c>
      <c r="N474" s="10">
        <v>180000</v>
      </c>
      <c r="O474" s="10">
        <v>-17600</v>
      </c>
      <c r="P474" s="10">
        <v>2930</v>
      </c>
      <c r="Q474">
        <v>0</v>
      </c>
      <c r="R474">
        <v>0</v>
      </c>
      <c r="S474" t="s">
        <v>1879</v>
      </c>
      <c r="T474" t="s">
        <v>49</v>
      </c>
      <c r="U474" t="s">
        <v>1506</v>
      </c>
      <c r="W474" s="10"/>
    </row>
    <row r="475" spans="1:23" x14ac:dyDescent="0.25">
      <c r="A475">
        <v>1225793632</v>
      </c>
      <c r="B475">
        <v>14.3</v>
      </c>
      <c r="C475">
        <v>4</v>
      </c>
      <c r="D475" t="s">
        <v>60</v>
      </c>
      <c r="E475" t="s">
        <v>51</v>
      </c>
      <c r="F475">
        <v>1225793632</v>
      </c>
      <c r="G475" t="s">
        <v>534</v>
      </c>
      <c r="H475">
        <v>17443</v>
      </c>
      <c r="I475">
        <v>4879</v>
      </c>
      <c r="J475">
        <v>1220</v>
      </c>
      <c r="K475">
        <v>63</v>
      </c>
      <c r="L475">
        <v>434</v>
      </c>
      <c r="M475">
        <v>-152.1</v>
      </c>
      <c r="N475" s="10">
        <v>920000</v>
      </c>
      <c r="O475" s="10">
        <v>-102000</v>
      </c>
      <c r="P475" s="10">
        <v>29700</v>
      </c>
      <c r="Q475">
        <v>0</v>
      </c>
      <c r="R475">
        <v>0</v>
      </c>
      <c r="S475" t="s">
        <v>1879</v>
      </c>
      <c r="T475" t="s">
        <v>49</v>
      </c>
      <c r="U475" t="s">
        <v>1506</v>
      </c>
      <c r="W475" s="10"/>
    </row>
    <row r="476" spans="1:23" x14ac:dyDescent="0.25">
      <c r="A476">
        <v>1225797974</v>
      </c>
      <c r="B476">
        <v>4.57</v>
      </c>
      <c r="C476">
        <v>1</v>
      </c>
      <c r="D476" t="s">
        <v>60</v>
      </c>
      <c r="E476" t="s">
        <v>47</v>
      </c>
      <c r="F476">
        <v>1225797974</v>
      </c>
      <c r="G476" t="s">
        <v>535</v>
      </c>
      <c r="H476">
        <v>405</v>
      </c>
      <c r="I476">
        <v>89</v>
      </c>
      <c r="J476">
        <v>89</v>
      </c>
      <c r="K476">
        <v>1</v>
      </c>
      <c r="L476">
        <v>22.9</v>
      </c>
      <c r="M476">
        <v>-3.9</v>
      </c>
      <c r="N476" s="10">
        <v>43100</v>
      </c>
      <c r="O476" s="10">
        <v>-3420</v>
      </c>
      <c r="P476" s="10">
        <v>541</v>
      </c>
      <c r="Q476">
        <v>0</v>
      </c>
      <c r="R476">
        <v>0</v>
      </c>
      <c r="S476" t="s">
        <v>1879</v>
      </c>
      <c r="T476" t="s">
        <v>49</v>
      </c>
      <c r="U476" t="s">
        <v>1506</v>
      </c>
      <c r="W476" s="10"/>
    </row>
  </sheetData>
  <autoFilter ref="S1:T476" xr:uid="{B9CFF8D2-389B-461D-BA59-450A65E1547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436B3-F8DF-450A-932D-E1E8AA67A777}">
  <sheetPr codeName="Foglio30"/>
  <dimension ref="A1:C27"/>
  <sheetViews>
    <sheetView zoomScale="60" zoomScaleNormal="60" workbookViewId="0">
      <selection activeCell="B5" sqref="B5"/>
    </sheetView>
  </sheetViews>
  <sheetFormatPr defaultRowHeight="15.75" x14ac:dyDescent="0.25"/>
  <cols>
    <col min="1" max="1" width="62.28515625" style="1" bestFit="1" customWidth="1"/>
    <col min="2" max="2" width="40" style="1" customWidth="1"/>
    <col min="3" max="3" width="123.85546875" style="1" customWidth="1"/>
  </cols>
  <sheetData>
    <row r="1" spans="1:3" ht="26.25" x14ac:dyDescent="0.4">
      <c r="A1" s="6" t="s">
        <v>0</v>
      </c>
      <c r="B1" s="7" t="s">
        <v>1</v>
      </c>
      <c r="C1" s="6" t="s">
        <v>2</v>
      </c>
    </row>
    <row r="2" spans="1:3" x14ac:dyDescent="0.25">
      <c r="A2" s="9" t="s">
        <v>21</v>
      </c>
      <c r="B2" s="5">
        <v>1</v>
      </c>
      <c r="C2" s="2" t="s">
        <v>1502</v>
      </c>
    </row>
    <row r="3" spans="1:3" x14ac:dyDescent="0.25">
      <c r="A3" s="14" t="s">
        <v>25</v>
      </c>
      <c r="B3" s="15"/>
      <c r="C3" s="16" t="s">
        <v>3</v>
      </c>
    </row>
    <row r="4" spans="1:3" x14ac:dyDescent="0.25">
      <c r="A4" s="3" t="s">
        <v>9</v>
      </c>
      <c r="B4" s="4">
        <v>112</v>
      </c>
      <c r="C4" s="16"/>
    </row>
    <row r="5" spans="1:3" x14ac:dyDescent="0.25">
      <c r="A5" s="3" t="s">
        <v>4</v>
      </c>
      <c r="B5" s="4">
        <v>0</v>
      </c>
      <c r="C5" s="16"/>
    </row>
    <row r="6" spans="1:3" x14ac:dyDescent="0.25">
      <c r="A6" s="3" t="s">
        <v>5</v>
      </c>
      <c r="B6" s="4">
        <v>0</v>
      </c>
      <c r="C6" s="16"/>
    </row>
    <row r="7" spans="1:3" x14ac:dyDescent="0.25">
      <c r="A7" s="3" t="s">
        <v>16</v>
      </c>
      <c r="B7" s="4">
        <v>0</v>
      </c>
      <c r="C7" s="16"/>
    </row>
    <row r="8" spans="1:3" x14ac:dyDescent="0.25">
      <c r="A8" s="3" t="s">
        <v>17</v>
      </c>
      <c r="B8" s="4">
        <v>0</v>
      </c>
      <c r="C8" s="16"/>
    </row>
    <row r="9" spans="1:3" x14ac:dyDescent="0.25">
      <c r="A9" s="3" t="s">
        <v>18</v>
      </c>
      <c r="B9" s="4">
        <v>0</v>
      </c>
      <c r="C9" s="16"/>
    </row>
    <row r="10" spans="1:3" x14ac:dyDescent="0.25">
      <c r="A10" s="3" t="s">
        <v>19</v>
      </c>
      <c r="B10" s="4">
        <v>0</v>
      </c>
      <c r="C10" s="16"/>
    </row>
    <row r="11" spans="1:3" x14ac:dyDescent="0.25">
      <c r="A11" s="8" t="s">
        <v>20</v>
      </c>
      <c r="B11" s="4">
        <v>0</v>
      </c>
      <c r="C11" s="16"/>
    </row>
    <row r="12" spans="1:3" x14ac:dyDescent="0.25">
      <c r="A12" s="3" t="s">
        <v>11</v>
      </c>
      <c r="B12" s="4">
        <v>363</v>
      </c>
      <c r="C12" s="16"/>
    </row>
    <row r="13" spans="1:3" x14ac:dyDescent="0.25">
      <c r="A13" s="3" t="s">
        <v>24</v>
      </c>
      <c r="B13" s="4">
        <v>0</v>
      </c>
      <c r="C13" s="16"/>
    </row>
    <row r="14" spans="1:3" x14ac:dyDescent="0.25">
      <c r="A14" s="3" t="s">
        <v>12</v>
      </c>
      <c r="B14" s="4">
        <v>0</v>
      </c>
      <c r="C14" s="16"/>
    </row>
    <row r="15" spans="1:3" x14ac:dyDescent="0.25">
      <c r="A15" s="3" t="s">
        <v>10</v>
      </c>
      <c r="B15" s="4">
        <v>0</v>
      </c>
      <c r="C15" s="16"/>
    </row>
    <row r="16" spans="1:3" x14ac:dyDescent="0.25">
      <c r="A16" s="3" t="s">
        <v>13</v>
      </c>
      <c r="B16" s="4">
        <v>0</v>
      </c>
      <c r="C16" s="16"/>
    </row>
    <row r="17" spans="1:3" x14ac:dyDescent="0.25">
      <c r="A17" s="3" t="s">
        <v>6</v>
      </c>
      <c r="B17" s="4">
        <v>0</v>
      </c>
      <c r="C17" s="16"/>
    </row>
    <row r="18" spans="1:3" x14ac:dyDescent="0.25">
      <c r="A18" s="3" t="s">
        <v>7</v>
      </c>
      <c r="B18" s="4">
        <v>0</v>
      </c>
      <c r="C18" s="16"/>
    </row>
    <row r="19" spans="1:3" x14ac:dyDescent="0.25">
      <c r="A19" s="3" t="s">
        <v>8</v>
      </c>
      <c r="B19" s="4">
        <v>0</v>
      </c>
      <c r="C19" s="16"/>
    </row>
    <row r="20" spans="1:3" x14ac:dyDescent="0.25">
      <c r="A20" s="3" t="s">
        <v>14</v>
      </c>
      <c r="B20" s="4">
        <v>0</v>
      </c>
      <c r="C20" s="16"/>
    </row>
    <row r="21" spans="1:3" x14ac:dyDescent="0.25">
      <c r="A21" s="3" t="s">
        <v>15</v>
      </c>
      <c r="B21" s="4">
        <v>0</v>
      </c>
      <c r="C21" s="16"/>
    </row>
    <row r="22" spans="1:3" x14ac:dyDescent="0.25">
      <c r="A22" s="3" t="s">
        <v>22</v>
      </c>
      <c r="B22" s="4">
        <v>475</v>
      </c>
      <c r="C22" s="16"/>
    </row>
    <row r="23" spans="1:3" x14ac:dyDescent="0.25">
      <c r="A23" s="3" t="s">
        <v>23</v>
      </c>
      <c r="B23" s="4">
        <v>0</v>
      </c>
      <c r="C23" s="16"/>
    </row>
    <row r="24" spans="1:3" x14ac:dyDescent="0.25">
      <c r="A24" s="3" t="s">
        <v>26</v>
      </c>
      <c r="B24" s="4">
        <v>475</v>
      </c>
      <c r="C24" s="16"/>
    </row>
    <row r="27" spans="1:3" hidden="1" x14ac:dyDescent="0.25"/>
  </sheetData>
  <mergeCells count="2">
    <mergeCell ref="A3:B3"/>
    <mergeCell ref="C3:C24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liminaFogliCreati.EliminaFogliCreati">
                <anchor moveWithCells="1">
                  <from>
                    <xdr:col>4</xdr:col>
                    <xdr:colOff>9525</xdr:colOff>
                    <xdr:row>11</xdr:row>
                    <xdr:rowOff>200025</xdr:rowOff>
                  </from>
                  <to>
                    <xdr:col>5</xdr:col>
                    <xdr:colOff>542925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Fogli.CreaFogli">
                <anchor moveWithCells="1">
                  <from>
                    <xdr:col>4</xdr:col>
                    <xdr:colOff>9525</xdr:colOff>
                    <xdr:row>8</xdr:row>
                    <xdr:rowOff>0</xdr:rowOff>
                  </from>
                  <to>
                    <xdr:col>5</xdr:col>
                    <xdr:colOff>552450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C030A-9ACA-4DF6-8189-062FDD6312A3}">
  <dimension ref="A1:G113"/>
  <sheetViews>
    <sheetView workbookViewId="0">
      <selection activeCell="G3" sqref="G3:G113"/>
    </sheetView>
  </sheetViews>
  <sheetFormatPr defaultRowHeight="15" x14ac:dyDescent="0.25"/>
  <cols>
    <col min="1" max="1" width="17.5703125" bestFit="1" customWidth="1"/>
    <col min="2" max="2" width="14.140625" bestFit="1" customWidth="1"/>
    <col min="3" max="3" width="22.140625" bestFit="1" customWidth="1"/>
    <col min="4" max="4" width="20.7109375" bestFit="1" customWidth="1"/>
    <col min="5" max="5" width="26.42578125" bestFit="1" customWidth="1"/>
    <col min="6" max="6" width="25.7109375" bestFit="1" customWidth="1"/>
    <col min="7" max="7" width="50.7109375" bestFit="1" customWidth="1"/>
  </cols>
  <sheetData>
    <row r="1" spans="1:7" s="11" customFormat="1" ht="30" x14ac:dyDescent="0.25">
      <c r="A1" s="12" t="s">
        <v>536</v>
      </c>
      <c r="B1" s="12" t="s">
        <v>537</v>
      </c>
      <c r="C1" s="12" t="s">
        <v>35</v>
      </c>
      <c r="D1" s="12" t="s">
        <v>538</v>
      </c>
      <c r="E1" s="12" t="s">
        <v>539</v>
      </c>
      <c r="F1" s="12" t="s">
        <v>1505</v>
      </c>
      <c r="G1" s="12" t="s">
        <v>1507</v>
      </c>
    </row>
    <row r="2" spans="1:7" x14ac:dyDescent="0.25">
      <c r="A2" s="13" t="s">
        <v>1508</v>
      </c>
      <c r="B2" s="13" t="s">
        <v>424</v>
      </c>
      <c r="C2" s="13">
        <v>5436</v>
      </c>
      <c r="D2" s="13">
        <v>363.5</v>
      </c>
      <c r="E2" s="13">
        <v>5350000</v>
      </c>
      <c r="F2" s="13">
        <v>0.9</v>
      </c>
      <c r="G2" s="13" t="s">
        <v>1990</v>
      </c>
    </row>
    <row r="3" spans="1:7" x14ac:dyDescent="0.25">
      <c r="A3" s="13" t="s">
        <v>1509</v>
      </c>
      <c r="B3" s="13" t="s">
        <v>425</v>
      </c>
      <c r="C3" s="13">
        <v>5797</v>
      </c>
      <c r="D3" s="13">
        <v>882.2</v>
      </c>
      <c r="E3" s="13">
        <v>1770000</v>
      </c>
      <c r="F3" s="13">
        <v>0.9</v>
      </c>
      <c r="G3" s="13" t="s">
        <v>1990</v>
      </c>
    </row>
    <row r="4" spans="1:7" x14ac:dyDescent="0.25">
      <c r="A4" s="13" t="s">
        <v>1510</v>
      </c>
      <c r="B4" s="13" t="s">
        <v>426</v>
      </c>
      <c r="C4" s="13">
        <v>8793</v>
      </c>
      <c r="D4" s="13">
        <v>950.6</v>
      </c>
      <c r="E4" s="13">
        <v>2050000</v>
      </c>
      <c r="F4" s="13">
        <v>0.9</v>
      </c>
      <c r="G4" s="13" t="s">
        <v>1990</v>
      </c>
    </row>
    <row r="5" spans="1:7" x14ac:dyDescent="0.25">
      <c r="A5" s="13" t="s">
        <v>1511</v>
      </c>
      <c r="B5" s="13" t="s">
        <v>427</v>
      </c>
      <c r="C5" s="13">
        <v>6906</v>
      </c>
      <c r="D5" s="13">
        <v>856.1</v>
      </c>
      <c r="E5" s="13">
        <v>2180000</v>
      </c>
      <c r="F5" s="13">
        <v>0.9</v>
      </c>
      <c r="G5" s="13" t="s">
        <v>1990</v>
      </c>
    </row>
    <row r="6" spans="1:7" x14ac:dyDescent="0.25">
      <c r="A6" s="13" t="s">
        <v>1512</v>
      </c>
      <c r="B6" s="13" t="s">
        <v>428</v>
      </c>
      <c r="C6" s="13">
        <v>1908</v>
      </c>
      <c r="D6" s="13">
        <v>259.3</v>
      </c>
      <c r="E6" s="13">
        <v>2120000</v>
      </c>
      <c r="F6" s="13">
        <v>0.9</v>
      </c>
      <c r="G6" s="13" t="s">
        <v>1990</v>
      </c>
    </row>
    <row r="7" spans="1:7" x14ac:dyDescent="0.25">
      <c r="A7" s="13" t="s">
        <v>1513</v>
      </c>
      <c r="B7" s="13" t="s">
        <v>429</v>
      </c>
      <c r="C7" s="13">
        <v>3567</v>
      </c>
      <c r="D7" s="13">
        <v>403.8</v>
      </c>
      <c r="E7" s="13">
        <v>834000</v>
      </c>
      <c r="F7" s="13">
        <v>0.9</v>
      </c>
      <c r="G7" s="13" t="s">
        <v>1990</v>
      </c>
    </row>
    <row r="8" spans="1:7" x14ac:dyDescent="0.25">
      <c r="A8" s="13" t="s">
        <v>1514</v>
      </c>
      <c r="B8" s="13" t="s">
        <v>430</v>
      </c>
      <c r="C8" s="13">
        <v>10683</v>
      </c>
      <c r="D8" s="13">
        <v>920.4</v>
      </c>
      <c r="E8" s="13">
        <v>2720000</v>
      </c>
      <c r="F8" s="13">
        <v>0.9</v>
      </c>
      <c r="G8" s="13" t="s">
        <v>1990</v>
      </c>
    </row>
    <row r="9" spans="1:7" x14ac:dyDescent="0.25">
      <c r="A9" s="13" t="s">
        <v>1515</v>
      </c>
      <c r="B9" s="13" t="s">
        <v>431</v>
      </c>
      <c r="C9" s="13">
        <v>4931</v>
      </c>
      <c r="D9" s="13">
        <v>555.5</v>
      </c>
      <c r="E9" s="13">
        <v>1460000</v>
      </c>
      <c r="F9" s="13">
        <v>0.9</v>
      </c>
      <c r="G9" s="13" t="s">
        <v>1990</v>
      </c>
    </row>
    <row r="10" spans="1:7" x14ac:dyDescent="0.25">
      <c r="A10" s="13" t="s">
        <v>1516</v>
      </c>
      <c r="B10" s="13" t="s">
        <v>432</v>
      </c>
      <c r="C10" s="13">
        <v>160</v>
      </c>
      <c r="D10" s="13">
        <v>37.700000000000003</v>
      </c>
      <c r="E10" s="13">
        <v>77100</v>
      </c>
      <c r="F10" s="13">
        <v>0.9</v>
      </c>
      <c r="G10" s="13" t="s">
        <v>1990</v>
      </c>
    </row>
    <row r="11" spans="1:7" x14ac:dyDescent="0.25">
      <c r="A11" s="13" t="s">
        <v>1517</v>
      </c>
      <c r="B11" s="13" t="s">
        <v>433</v>
      </c>
      <c r="C11" s="13">
        <v>513</v>
      </c>
      <c r="D11" s="13">
        <v>73.8</v>
      </c>
      <c r="E11" s="13">
        <v>147000</v>
      </c>
      <c r="F11" s="13">
        <v>0.9</v>
      </c>
      <c r="G11" s="13" t="s">
        <v>1990</v>
      </c>
    </row>
    <row r="12" spans="1:7" x14ac:dyDescent="0.25">
      <c r="A12" s="13" t="s">
        <v>1518</v>
      </c>
      <c r="B12" s="13" t="s">
        <v>434</v>
      </c>
      <c r="C12" s="13">
        <v>801</v>
      </c>
      <c r="D12" s="13">
        <v>146.4</v>
      </c>
      <c r="E12" s="13">
        <v>280000</v>
      </c>
      <c r="F12" s="13">
        <v>0.9</v>
      </c>
      <c r="G12" s="13" t="s">
        <v>1990</v>
      </c>
    </row>
    <row r="13" spans="1:7" x14ac:dyDescent="0.25">
      <c r="A13" s="13" t="s">
        <v>1519</v>
      </c>
      <c r="B13" s="13" t="s">
        <v>435</v>
      </c>
      <c r="C13" s="13">
        <v>88</v>
      </c>
      <c r="D13" s="13">
        <v>21</v>
      </c>
      <c r="E13" s="13">
        <v>39500</v>
      </c>
      <c r="F13" s="13">
        <v>0.9</v>
      </c>
      <c r="G13" s="13" t="s">
        <v>1990</v>
      </c>
    </row>
    <row r="14" spans="1:7" x14ac:dyDescent="0.25">
      <c r="A14" s="13" t="s">
        <v>1520</v>
      </c>
      <c r="B14" s="13" t="s">
        <v>436</v>
      </c>
      <c r="C14" s="13">
        <v>91</v>
      </c>
      <c r="D14" s="13">
        <v>45.3</v>
      </c>
      <c r="E14" s="13">
        <v>84100</v>
      </c>
      <c r="F14" s="13">
        <v>0.9</v>
      </c>
      <c r="G14" s="13" t="s">
        <v>1990</v>
      </c>
    </row>
    <row r="15" spans="1:7" x14ac:dyDescent="0.25">
      <c r="A15" s="13" t="s">
        <v>1521</v>
      </c>
      <c r="B15" s="13" t="s">
        <v>437</v>
      </c>
      <c r="C15" s="13">
        <v>452</v>
      </c>
      <c r="D15" s="13">
        <v>82.6</v>
      </c>
      <c r="E15" s="13">
        <v>183000</v>
      </c>
      <c r="F15" s="13">
        <v>0.9</v>
      </c>
      <c r="G15" s="13" t="s">
        <v>1990</v>
      </c>
    </row>
    <row r="16" spans="1:7" x14ac:dyDescent="0.25">
      <c r="A16" s="13" t="s">
        <v>1522</v>
      </c>
      <c r="B16" s="13" t="s">
        <v>438</v>
      </c>
      <c r="C16" s="13">
        <v>652</v>
      </c>
      <c r="D16" s="13">
        <v>72</v>
      </c>
      <c r="E16" s="13">
        <v>145000</v>
      </c>
      <c r="F16" s="13">
        <v>0.9</v>
      </c>
      <c r="G16" s="13" t="s">
        <v>1990</v>
      </c>
    </row>
    <row r="17" spans="1:7" x14ac:dyDescent="0.25">
      <c r="A17" s="13" t="s">
        <v>1523</v>
      </c>
      <c r="B17" s="13" t="s">
        <v>439</v>
      </c>
      <c r="C17" s="13">
        <v>101</v>
      </c>
      <c r="D17" s="13">
        <v>21.4</v>
      </c>
      <c r="E17" s="13">
        <v>46100</v>
      </c>
      <c r="F17" s="13">
        <v>0.9</v>
      </c>
      <c r="G17" s="13" t="s">
        <v>1990</v>
      </c>
    </row>
    <row r="18" spans="1:7" x14ac:dyDescent="0.25">
      <c r="A18" s="13" t="s">
        <v>1524</v>
      </c>
      <c r="B18" s="13" t="s">
        <v>440</v>
      </c>
      <c r="C18" s="13">
        <v>629</v>
      </c>
      <c r="D18" s="13">
        <v>124.8</v>
      </c>
      <c r="E18" s="13">
        <v>271000</v>
      </c>
      <c r="F18" s="13">
        <v>0.9</v>
      </c>
      <c r="G18" s="13" t="s">
        <v>1990</v>
      </c>
    </row>
    <row r="19" spans="1:7" x14ac:dyDescent="0.25">
      <c r="A19" s="13" t="s">
        <v>1525</v>
      </c>
      <c r="B19" s="13" t="s">
        <v>441</v>
      </c>
      <c r="C19" s="13">
        <v>7372</v>
      </c>
      <c r="D19" s="13">
        <v>801.7</v>
      </c>
      <c r="E19" s="13">
        <v>2120000</v>
      </c>
      <c r="F19" s="13">
        <v>0.9</v>
      </c>
      <c r="G19" s="13" t="s">
        <v>1990</v>
      </c>
    </row>
    <row r="20" spans="1:7" x14ac:dyDescent="0.25">
      <c r="A20" s="13" t="s">
        <v>1526</v>
      </c>
      <c r="B20" s="13" t="s">
        <v>442</v>
      </c>
      <c r="C20" s="13">
        <v>335</v>
      </c>
      <c r="D20" s="13">
        <v>44.5</v>
      </c>
      <c r="E20" s="13">
        <v>93300</v>
      </c>
      <c r="F20" s="13">
        <v>0.9</v>
      </c>
      <c r="G20" s="13" t="s">
        <v>1990</v>
      </c>
    </row>
    <row r="21" spans="1:7" x14ac:dyDescent="0.25">
      <c r="A21" s="13" t="s">
        <v>1527</v>
      </c>
      <c r="B21" s="13" t="s">
        <v>443</v>
      </c>
      <c r="C21" s="13">
        <v>394</v>
      </c>
      <c r="D21" s="13">
        <v>55.1</v>
      </c>
      <c r="E21" s="13">
        <v>110000</v>
      </c>
      <c r="F21" s="13">
        <v>0.9</v>
      </c>
      <c r="G21" s="13" t="s">
        <v>1990</v>
      </c>
    </row>
    <row r="22" spans="1:7" x14ac:dyDescent="0.25">
      <c r="A22" s="13" t="s">
        <v>1528</v>
      </c>
      <c r="B22" s="13" t="s">
        <v>444</v>
      </c>
      <c r="C22" s="13">
        <v>603</v>
      </c>
      <c r="D22" s="13">
        <v>51.9</v>
      </c>
      <c r="E22" s="13">
        <v>112000</v>
      </c>
      <c r="F22" s="13">
        <v>0.9</v>
      </c>
      <c r="G22" s="13" t="s">
        <v>1990</v>
      </c>
    </row>
    <row r="23" spans="1:7" x14ac:dyDescent="0.25">
      <c r="A23" s="13" t="s">
        <v>1529</v>
      </c>
      <c r="B23" s="13" t="s">
        <v>445</v>
      </c>
      <c r="C23" s="13">
        <v>372</v>
      </c>
      <c r="D23" s="13">
        <v>63.1</v>
      </c>
      <c r="E23" s="13">
        <v>121000</v>
      </c>
      <c r="F23" s="13">
        <v>0.9</v>
      </c>
      <c r="G23" s="13" t="s">
        <v>1990</v>
      </c>
    </row>
    <row r="24" spans="1:7" x14ac:dyDescent="0.25">
      <c r="A24" s="13" t="s">
        <v>1530</v>
      </c>
      <c r="B24" s="13" t="s">
        <v>446</v>
      </c>
      <c r="C24" s="13">
        <v>321</v>
      </c>
      <c r="D24" s="13">
        <v>51.6</v>
      </c>
      <c r="E24" s="13">
        <v>120000</v>
      </c>
      <c r="F24" s="13">
        <v>0.9</v>
      </c>
      <c r="G24" s="13" t="s">
        <v>1990</v>
      </c>
    </row>
    <row r="25" spans="1:7" x14ac:dyDescent="0.25">
      <c r="A25" s="13" t="s">
        <v>1531</v>
      </c>
      <c r="B25" s="13" t="s">
        <v>447</v>
      </c>
      <c r="C25" s="13">
        <v>742</v>
      </c>
      <c r="D25" s="13">
        <v>82.7</v>
      </c>
      <c r="E25" s="13">
        <v>170000</v>
      </c>
      <c r="F25" s="13">
        <v>0.9</v>
      </c>
      <c r="G25" s="13" t="s">
        <v>1990</v>
      </c>
    </row>
    <row r="26" spans="1:7" x14ac:dyDescent="0.25">
      <c r="A26" s="13" t="s">
        <v>1532</v>
      </c>
      <c r="B26" s="13" t="s">
        <v>448</v>
      </c>
      <c r="C26" s="13">
        <v>244</v>
      </c>
      <c r="D26" s="13">
        <v>31.1</v>
      </c>
      <c r="E26" s="13">
        <v>61600</v>
      </c>
      <c r="F26" s="13">
        <v>0.9</v>
      </c>
      <c r="G26" s="13" t="s">
        <v>1990</v>
      </c>
    </row>
    <row r="27" spans="1:7" x14ac:dyDescent="0.25">
      <c r="A27" s="13" t="s">
        <v>1533</v>
      </c>
      <c r="B27" s="13" t="s">
        <v>449</v>
      </c>
      <c r="C27" s="13">
        <v>89</v>
      </c>
      <c r="D27" s="13">
        <v>19.8</v>
      </c>
      <c r="E27" s="13">
        <v>42300</v>
      </c>
      <c r="F27" s="13">
        <v>0.9</v>
      </c>
      <c r="G27" s="13" t="s">
        <v>1990</v>
      </c>
    </row>
    <row r="28" spans="1:7" x14ac:dyDescent="0.25">
      <c r="A28" s="13" t="s">
        <v>1534</v>
      </c>
      <c r="B28" s="13" t="s">
        <v>450</v>
      </c>
      <c r="C28" s="13">
        <v>453</v>
      </c>
      <c r="D28" s="13">
        <v>86.5</v>
      </c>
      <c r="E28" s="13">
        <v>166000</v>
      </c>
      <c r="F28" s="13">
        <v>0.9</v>
      </c>
      <c r="G28" s="13" t="s">
        <v>1990</v>
      </c>
    </row>
    <row r="29" spans="1:7" x14ac:dyDescent="0.25">
      <c r="A29" s="13" t="s">
        <v>1535</v>
      </c>
      <c r="B29" s="13" t="s">
        <v>451</v>
      </c>
      <c r="C29" s="13">
        <v>626</v>
      </c>
      <c r="D29" s="13">
        <v>71.2</v>
      </c>
      <c r="E29" s="13">
        <v>143000</v>
      </c>
      <c r="F29" s="13">
        <v>0.9</v>
      </c>
      <c r="G29" s="13" t="s">
        <v>1990</v>
      </c>
    </row>
    <row r="30" spans="1:7" x14ac:dyDescent="0.25">
      <c r="A30" s="13" t="s">
        <v>1536</v>
      </c>
      <c r="B30" s="13" t="s">
        <v>452</v>
      </c>
      <c r="C30" s="13">
        <v>138</v>
      </c>
      <c r="D30" s="13">
        <v>33</v>
      </c>
      <c r="E30" s="13">
        <v>63200</v>
      </c>
      <c r="F30" s="13">
        <v>0.9</v>
      </c>
      <c r="G30" s="13" t="s">
        <v>1990</v>
      </c>
    </row>
    <row r="31" spans="1:7" x14ac:dyDescent="0.25">
      <c r="A31" s="13" t="s">
        <v>1537</v>
      </c>
      <c r="B31" s="13" t="s">
        <v>453</v>
      </c>
      <c r="C31" s="13">
        <v>373</v>
      </c>
      <c r="D31" s="13">
        <v>41.3</v>
      </c>
      <c r="E31" s="13">
        <v>84900</v>
      </c>
      <c r="F31" s="13">
        <v>0.9</v>
      </c>
      <c r="G31" s="13" t="s">
        <v>1990</v>
      </c>
    </row>
    <row r="32" spans="1:7" x14ac:dyDescent="0.25">
      <c r="A32" s="13" t="s">
        <v>1538</v>
      </c>
      <c r="B32" s="13" t="s">
        <v>454</v>
      </c>
      <c r="C32" s="13">
        <v>118</v>
      </c>
      <c r="D32" s="13">
        <v>43</v>
      </c>
      <c r="E32" s="13">
        <v>78800</v>
      </c>
      <c r="F32" s="13">
        <v>0.9</v>
      </c>
      <c r="G32" s="13" t="s">
        <v>1990</v>
      </c>
    </row>
    <row r="33" spans="1:7" x14ac:dyDescent="0.25">
      <c r="A33" s="13" t="s">
        <v>1539</v>
      </c>
      <c r="B33" s="13" t="s">
        <v>455</v>
      </c>
      <c r="C33" s="13">
        <v>145</v>
      </c>
      <c r="D33" s="13">
        <v>37</v>
      </c>
      <c r="E33" s="13">
        <v>76500</v>
      </c>
      <c r="F33" s="13">
        <v>0.9</v>
      </c>
      <c r="G33" s="13" t="s">
        <v>1990</v>
      </c>
    </row>
    <row r="34" spans="1:7" x14ac:dyDescent="0.25">
      <c r="A34" s="13" t="s">
        <v>1540</v>
      </c>
      <c r="B34" s="13" t="s">
        <v>456</v>
      </c>
      <c r="C34" s="13">
        <v>200</v>
      </c>
      <c r="D34" s="13">
        <v>44</v>
      </c>
      <c r="E34" s="13">
        <v>91900</v>
      </c>
      <c r="F34" s="13">
        <v>0.9</v>
      </c>
      <c r="G34" s="13" t="s">
        <v>1990</v>
      </c>
    </row>
    <row r="35" spans="1:7" x14ac:dyDescent="0.25">
      <c r="A35" s="13" t="s">
        <v>1541</v>
      </c>
      <c r="B35" s="13" t="s">
        <v>457</v>
      </c>
      <c r="C35" s="13">
        <v>276</v>
      </c>
      <c r="D35" s="13">
        <v>95.4</v>
      </c>
      <c r="E35" s="13">
        <v>179000</v>
      </c>
      <c r="F35" s="13">
        <v>0.9</v>
      </c>
      <c r="G35" s="13" t="s">
        <v>1990</v>
      </c>
    </row>
    <row r="36" spans="1:7" x14ac:dyDescent="0.25">
      <c r="A36" s="13" t="s">
        <v>1542</v>
      </c>
      <c r="B36" s="13" t="s">
        <v>458</v>
      </c>
      <c r="C36" s="13">
        <v>110</v>
      </c>
      <c r="D36" s="13">
        <v>25.8</v>
      </c>
      <c r="E36" s="13">
        <v>48600</v>
      </c>
      <c r="F36" s="13">
        <v>0.9</v>
      </c>
      <c r="G36" s="13" t="s">
        <v>1990</v>
      </c>
    </row>
    <row r="37" spans="1:7" x14ac:dyDescent="0.25">
      <c r="A37" s="13" t="s">
        <v>1543</v>
      </c>
      <c r="B37" s="13" t="s">
        <v>459</v>
      </c>
      <c r="C37" s="13">
        <v>251</v>
      </c>
      <c r="D37" s="13">
        <v>35.700000000000003</v>
      </c>
      <c r="E37" s="13">
        <v>68300</v>
      </c>
      <c r="F37" s="13">
        <v>0.9</v>
      </c>
      <c r="G37" s="13" t="s">
        <v>1990</v>
      </c>
    </row>
    <row r="38" spans="1:7" x14ac:dyDescent="0.25">
      <c r="A38" s="13" t="s">
        <v>1544</v>
      </c>
      <c r="B38" s="13" t="s">
        <v>460</v>
      </c>
      <c r="C38" s="13">
        <v>99</v>
      </c>
      <c r="D38" s="13">
        <v>37.700000000000003</v>
      </c>
      <c r="E38" s="13">
        <v>68900</v>
      </c>
      <c r="F38" s="13">
        <v>0.9</v>
      </c>
      <c r="G38" s="13" t="s">
        <v>1990</v>
      </c>
    </row>
    <row r="39" spans="1:7" x14ac:dyDescent="0.25">
      <c r="A39" s="13" t="s">
        <v>1545</v>
      </c>
      <c r="B39" s="13" t="s">
        <v>461</v>
      </c>
      <c r="C39" s="13">
        <v>162</v>
      </c>
      <c r="D39" s="13">
        <v>23.4</v>
      </c>
      <c r="E39" s="13">
        <v>55200</v>
      </c>
      <c r="F39" s="13">
        <v>0.9</v>
      </c>
      <c r="G39" s="13" t="s">
        <v>1990</v>
      </c>
    </row>
    <row r="40" spans="1:7" x14ac:dyDescent="0.25">
      <c r="A40" s="13" t="s">
        <v>1546</v>
      </c>
      <c r="B40" s="13" t="s">
        <v>462</v>
      </c>
      <c r="C40" s="13">
        <v>1073</v>
      </c>
      <c r="D40" s="13">
        <v>134.1</v>
      </c>
      <c r="E40" s="13">
        <v>338000</v>
      </c>
      <c r="F40" s="13">
        <v>0.9</v>
      </c>
      <c r="G40" s="13" t="s">
        <v>1990</v>
      </c>
    </row>
    <row r="41" spans="1:7" x14ac:dyDescent="0.25">
      <c r="A41" s="13" t="s">
        <v>1547</v>
      </c>
      <c r="B41" s="13" t="s">
        <v>463</v>
      </c>
      <c r="C41" s="13">
        <v>96</v>
      </c>
      <c r="D41" s="13">
        <v>15.5</v>
      </c>
      <c r="E41" s="13">
        <v>36300</v>
      </c>
      <c r="F41" s="13">
        <v>0.9</v>
      </c>
      <c r="G41" s="13" t="s">
        <v>1990</v>
      </c>
    </row>
    <row r="42" spans="1:7" x14ac:dyDescent="0.25">
      <c r="A42" s="13" t="s">
        <v>1548</v>
      </c>
      <c r="B42" s="13" t="s">
        <v>464</v>
      </c>
      <c r="C42" s="13">
        <v>507</v>
      </c>
      <c r="D42" s="13">
        <v>61.7</v>
      </c>
      <c r="E42" s="13">
        <v>157000</v>
      </c>
      <c r="F42" s="13">
        <v>0.9</v>
      </c>
      <c r="G42" s="13" t="s">
        <v>1990</v>
      </c>
    </row>
    <row r="43" spans="1:7" x14ac:dyDescent="0.25">
      <c r="A43" s="13" t="s">
        <v>1549</v>
      </c>
      <c r="B43" s="13" t="s">
        <v>465</v>
      </c>
      <c r="C43" s="13">
        <v>1365</v>
      </c>
      <c r="D43" s="13">
        <v>166.4</v>
      </c>
      <c r="E43" s="13">
        <v>424000</v>
      </c>
      <c r="F43" s="13">
        <v>0.9</v>
      </c>
      <c r="G43" s="13" t="s">
        <v>1990</v>
      </c>
    </row>
    <row r="44" spans="1:7" x14ac:dyDescent="0.25">
      <c r="A44" s="13" t="s">
        <v>1550</v>
      </c>
      <c r="B44" s="13" t="s">
        <v>466</v>
      </c>
      <c r="C44" s="13">
        <v>674</v>
      </c>
      <c r="D44" s="13">
        <v>95.1</v>
      </c>
      <c r="E44" s="13">
        <v>187000</v>
      </c>
      <c r="F44" s="13">
        <v>0.9</v>
      </c>
      <c r="G44" s="13" t="s">
        <v>1990</v>
      </c>
    </row>
    <row r="45" spans="1:7" x14ac:dyDescent="0.25">
      <c r="A45" s="13" t="s">
        <v>1551</v>
      </c>
      <c r="B45" s="13" t="s">
        <v>467</v>
      </c>
      <c r="C45" s="13">
        <v>187</v>
      </c>
      <c r="D45" s="13">
        <v>39</v>
      </c>
      <c r="E45" s="13">
        <v>72900</v>
      </c>
      <c r="F45" s="13">
        <v>0.9</v>
      </c>
      <c r="G45" s="13" t="s">
        <v>1990</v>
      </c>
    </row>
    <row r="46" spans="1:7" x14ac:dyDescent="0.25">
      <c r="A46" s="13" t="s">
        <v>1552</v>
      </c>
      <c r="B46" s="13" t="s">
        <v>468</v>
      </c>
      <c r="C46" s="13">
        <v>635</v>
      </c>
      <c r="D46" s="13">
        <v>72.3</v>
      </c>
      <c r="E46" s="13">
        <v>145000</v>
      </c>
      <c r="F46" s="13">
        <v>0.9</v>
      </c>
      <c r="G46" s="13" t="s">
        <v>1990</v>
      </c>
    </row>
    <row r="47" spans="1:7" x14ac:dyDescent="0.25">
      <c r="A47" s="13" t="s">
        <v>1553</v>
      </c>
      <c r="B47" s="13" t="s">
        <v>469</v>
      </c>
      <c r="C47" s="13">
        <v>91</v>
      </c>
      <c r="D47" s="13">
        <v>26.7</v>
      </c>
      <c r="E47" s="13">
        <v>54300</v>
      </c>
      <c r="F47" s="13">
        <v>0.9</v>
      </c>
      <c r="G47" s="13" t="s">
        <v>1990</v>
      </c>
    </row>
    <row r="48" spans="1:7" x14ac:dyDescent="0.25">
      <c r="A48" s="13" t="s">
        <v>1554</v>
      </c>
      <c r="B48" s="13" t="s">
        <v>470</v>
      </c>
      <c r="C48" s="13">
        <v>216</v>
      </c>
      <c r="D48" s="13">
        <v>60.1</v>
      </c>
      <c r="E48" s="13">
        <v>115000</v>
      </c>
      <c r="F48" s="13">
        <v>0.9</v>
      </c>
      <c r="G48" s="13" t="s">
        <v>1990</v>
      </c>
    </row>
    <row r="49" spans="1:7" x14ac:dyDescent="0.25">
      <c r="A49" s="13" t="s">
        <v>1555</v>
      </c>
      <c r="B49" s="13" t="s">
        <v>471</v>
      </c>
      <c r="C49" s="13">
        <v>163</v>
      </c>
      <c r="D49" s="13">
        <v>45.9</v>
      </c>
      <c r="E49" s="13">
        <v>93300</v>
      </c>
      <c r="F49" s="13">
        <v>0.9</v>
      </c>
      <c r="G49" s="13" t="s">
        <v>1990</v>
      </c>
    </row>
    <row r="50" spans="1:7" x14ac:dyDescent="0.25">
      <c r="A50" s="13" t="s">
        <v>1556</v>
      </c>
      <c r="B50" s="13" t="s">
        <v>472</v>
      </c>
      <c r="C50" s="13">
        <v>237</v>
      </c>
      <c r="D50" s="13">
        <v>39.299999999999997</v>
      </c>
      <c r="E50" s="13">
        <v>74700</v>
      </c>
      <c r="F50" s="13">
        <v>0.9</v>
      </c>
      <c r="G50" s="13" t="s">
        <v>1990</v>
      </c>
    </row>
    <row r="51" spans="1:7" x14ac:dyDescent="0.25">
      <c r="A51" s="13" t="s">
        <v>1557</v>
      </c>
      <c r="B51" s="13" t="s">
        <v>473</v>
      </c>
      <c r="C51" s="13">
        <v>341</v>
      </c>
      <c r="D51" s="13">
        <v>78</v>
      </c>
      <c r="E51" s="13">
        <v>161000</v>
      </c>
      <c r="F51" s="13">
        <v>0.9</v>
      </c>
      <c r="G51" s="13" t="s">
        <v>1990</v>
      </c>
    </row>
    <row r="52" spans="1:7" x14ac:dyDescent="0.25">
      <c r="A52" s="13" t="s">
        <v>1558</v>
      </c>
      <c r="B52" s="13" t="s">
        <v>474</v>
      </c>
      <c r="C52" s="13">
        <v>611</v>
      </c>
      <c r="D52" s="13">
        <v>52.2</v>
      </c>
      <c r="E52" s="13">
        <v>152000</v>
      </c>
      <c r="F52" s="13">
        <v>0.9</v>
      </c>
      <c r="G52" s="13" t="s">
        <v>1990</v>
      </c>
    </row>
    <row r="53" spans="1:7" x14ac:dyDescent="0.25">
      <c r="A53" s="13" t="s">
        <v>1559</v>
      </c>
      <c r="B53" s="13" t="s">
        <v>475</v>
      </c>
      <c r="C53" s="13">
        <v>150</v>
      </c>
      <c r="D53" s="13">
        <v>48.6</v>
      </c>
      <c r="E53" s="13">
        <v>96900</v>
      </c>
      <c r="F53" s="13">
        <v>0.9</v>
      </c>
      <c r="G53" s="13" t="s">
        <v>1990</v>
      </c>
    </row>
    <row r="54" spans="1:7" x14ac:dyDescent="0.25">
      <c r="A54" s="13" t="s">
        <v>1560</v>
      </c>
      <c r="B54" s="13" t="s">
        <v>476</v>
      </c>
      <c r="C54" s="13">
        <v>4595</v>
      </c>
      <c r="D54" s="13">
        <v>227.3</v>
      </c>
      <c r="E54" s="13">
        <v>862000</v>
      </c>
      <c r="F54" s="13">
        <v>0.9</v>
      </c>
      <c r="G54" s="13" t="s">
        <v>1990</v>
      </c>
    </row>
    <row r="55" spans="1:7" x14ac:dyDescent="0.25">
      <c r="A55" s="13" t="s">
        <v>1561</v>
      </c>
      <c r="B55" s="13" t="s">
        <v>477</v>
      </c>
      <c r="C55" s="13">
        <v>197</v>
      </c>
      <c r="D55" s="13">
        <v>52.7</v>
      </c>
      <c r="E55" s="13">
        <v>105000</v>
      </c>
      <c r="F55" s="13">
        <v>0.9</v>
      </c>
      <c r="G55" s="13" t="s">
        <v>1990</v>
      </c>
    </row>
    <row r="56" spans="1:7" x14ac:dyDescent="0.25">
      <c r="A56" s="13" t="s">
        <v>1562</v>
      </c>
      <c r="B56" s="13" t="s">
        <v>478</v>
      </c>
      <c r="C56" s="13">
        <v>216</v>
      </c>
      <c r="D56" s="13">
        <v>39.5</v>
      </c>
      <c r="E56" s="13">
        <v>257000</v>
      </c>
      <c r="F56" s="13">
        <v>0.9</v>
      </c>
      <c r="G56" s="13" t="s">
        <v>1990</v>
      </c>
    </row>
    <row r="57" spans="1:7" x14ac:dyDescent="0.25">
      <c r="A57" s="13" t="s">
        <v>1563</v>
      </c>
      <c r="B57" s="13" t="s">
        <v>479</v>
      </c>
      <c r="C57" s="13">
        <v>683</v>
      </c>
      <c r="D57" s="13">
        <v>79.099999999999994</v>
      </c>
      <c r="E57" s="13">
        <v>207000</v>
      </c>
      <c r="F57" s="13">
        <v>0.9</v>
      </c>
      <c r="G57" s="13" t="s">
        <v>1990</v>
      </c>
    </row>
    <row r="58" spans="1:7" x14ac:dyDescent="0.25">
      <c r="A58" s="13" t="s">
        <v>1564</v>
      </c>
      <c r="B58" s="13" t="s">
        <v>480</v>
      </c>
      <c r="C58" s="13">
        <v>691</v>
      </c>
      <c r="D58" s="13">
        <v>74.3</v>
      </c>
      <c r="E58" s="13">
        <v>196000</v>
      </c>
      <c r="F58" s="13">
        <v>0.9</v>
      </c>
      <c r="G58" s="13" t="s">
        <v>1990</v>
      </c>
    </row>
    <row r="59" spans="1:7" x14ac:dyDescent="0.25">
      <c r="A59" s="13" t="s">
        <v>1565</v>
      </c>
      <c r="B59" s="13" t="s">
        <v>481</v>
      </c>
      <c r="C59" s="13">
        <v>191</v>
      </c>
      <c r="D59" s="13">
        <v>31.8</v>
      </c>
      <c r="E59" s="13">
        <v>73000</v>
      </c>
      <c r="F59" s="13">
        <v>0.9</v>
      </c>
      <c r="G59" s="13" t="s">
        <v>1990</v>
      </c>
    </row>
    <row r="60" spans="1:7" x14ac:dyDescent="0.25">
      <c r="A60" s="13" t="s">
        <v>1566</v>
      </c>
      <c r="B60" s="13" t="s">
        <v>482</v>
      </c>
      <c r="C60" s="13">
        <v>99</v>
      </c>
      <c r="D60" s="13">
        <v>32.1</v>
      </c>
      <c r="E60" s="13">
        <v>65100</v>
      </c>
      <c r="F60" s="13">
        <v>0.9</v>
      </c>
      <c r="G60" s="13" t="s">
        <v>1990</v>
      </c>
    </row>
    <row r="61" spans="1:7" x14ac:dyDescent="0.25">
      <c r="A61" s="13" t="s">
        <v>1567</v>
      </c>
      <c r="B61" s="13" t="s">
        <v>483</v>
      </c>
      <c r="C61" s="13">
        <v>548</v>
      </c>
      <c r="D61" s="13">
        <v>68</v>
      </c>
      <c r="E61" s="13">
        <v>135000</v>
      </c>
      <c r="F61" s="13">
        <v>0.9</v>
      </c>
      <c r="G61" s="13" t="s">
        <v>1990</v>
      </c>
    </row>
    <row r="62" spans="1:7" x14ac:dyDescent="0.25">
      <c r="A62" s="13" t="s">
        <v>1568</v>
      </c>
      <c r="B62" s="13" t="s">
        <v>484</v>
      </c>
      <c r="C62" s="13">
        <v>1682</v>
      </c>
      <c r="D62" s="13">
        <v>151.5</v>
      </c>
      <c r="E62" s="13">
        <v>430000</v>
      </c>
      <c r="F62" s="13">
        <v>0.9</v>
      </c>
      <c r="G62" s="13" t="s">
        <v>1990</v>
      </c>
    </row>
    <row r="63" spans="1:7" x14ac:dyDescent="0.25">
      <c r="A63" s="13" t="s">
        <v>1569</v>
      </c>
      <c r="B63" s="13" t="s">
        <v>485</v>
      </c>
      <c r="C63" s="13">
        <v>186</v>
      </c>
      <c r="D63" s="13">
        <v>51.9</v>
      </c>
      <c r="E63" s="13">
        <v>98100</v>
      </c>
      <c r="F63" s="13">
        <v>0.9</v>
      </c>
      <c r="G63" s="13" t="s">
        <v>1990</v>
      </c>
    </row>
    <row r="64" spans="1:7" x14ac:dyDescent="0.25">
      <c r="A64" s="13" t="s">
        <v>1570</v>
      </c>
      <c r="B64" s="13" t="s">
        <v>486</v>
      </c>
      <c r="C64" s="13">
        <v>639</v>
      </c>
      <c r="D64" s="13">
        <v>64</v>
      </c>
      <c r="E64" s="13">
        <v>172000</v>
      </c>
      <c r="F64" s="13">
        <v>0.9</v>
      </c>
      <c r="G64" s="13" t="s">
        <v>1990</v>
      </c>
    </row>
    <row r="65" spans="1:7" x14ac:dyDescent="0.25">
      <c r="A65" s="13" t="s">
        <v>1571</v>
      </c>
      <c r="B65" s="13" t="s">
        <v>487</v>
      </c>
      <c r="C65" s="13">
        <v>181</v>
      </c>
      <c r="D65" s="13">
        <v>55</v>
      </c>
      <c r="E65" s="13">
        <v>104000</v>
      </c>
      <c r="F65" s="13">
        <v>0.9</v>
      </c>
      <c r="G65" s="13" t="s">
        <v>1990</v>
      </c>
    </row>
    <row r="66" spans="1:7" x14ac:dyDescent="0.25">
      <c r="A66" s="13" t="s">
        <v>1572</v>
      </c>
      <c r="B66" s="13" t="s">
        <v>488</v>
      </c>
      <c r="C66" s="13">
        <v>107</v>
      </c>
      <c r="D66" s="13">
        <v>25</v>
      </c>
      <c r="E66" s="13">
        <v>47100</v>
      </c>
      <c r="F66" s="13">
        <v>0.9</v>
      </c>
      <c r="G66" s="13" t="s">
        <v>1990</v>
      </c>
    </row>
    <row r="67" spans="1:7" x14ac:dyDescent="0.25">
      <c r="A67" s="13" t="s">
        <v>1573</v>
      </c>
      <c r="B67" s="13" t="s">
        <v>489</v>
      </c>
      <c r="C67" s="13">
        <v>415</v>
      </c>
      <c r="D67" s="13">
        <v>43.8</v>
      </c>
      <c r="E67" s="13">
        <v>90500</v>
      </c>
      <c r="F67" s="13">
        <v>0.9</v>
      </c>
      <c r="G67" s="13" t="s">
        <v>1990</v>
      </c>
    </row>
    <row r="68" spans="1:7" x14ac:dyDescent="0.25">
      <c r="A68" s="13" t="s">
        <v>1574</v>
      </c>
      <c r="B68" s="13" t="s">
        <v>490</v>
      </c>
      <c r="C68" s="13">
        <v>79</v>
      </c>
      <c r="D68" s="13">
        <v>20</v>
      </c>
      <c r="E68" s="13">
        <v>38200</v>
      </c>
      <c r="F68" s="13">
        <v>0.9</v>
      </c>
      <c r="G68" s="13" t="s">
        <v>1990</v>
      </c>
    </row>
    <row r="69" spans="1:7" x14ac:dyDescent="0.25">
      <c r="A69" s="13" t="s">
        <v>1575</v>
      </c>
      <c r="B69" s="13" t="s">
        <v>491</v>
      </c>
      <c r="C69" s="13">
        <v>901</v>
      </c>
      <c r="D69" s="13">
        <v>150.9</v>
      </c>
      <c r="E69" s="13">
        <v>346000</v>
      </c>
      <c r="F69" s="13">
        <v>0.9</v>
      </c>
      <c r="G69" s="13" t="s">
        <v>1990</v>
      </c>
    </row>
    <row r="70" spans="1:7" x14ac:dyDescent="0.25">
      <c r="A70" s="13" t="s">
        <v>1576</v>
      </c>
      <c r="B70" s="13" t="s">
        <v>492</v>
      </c>
      <c r="C70" s="13">
        <v>113</v>
      </c>
      <c r="D70" s="13">
        <v>24.5</v>
      </c>
      <c r="E70" s="13">
        <v>46600</v>
      </c>
      <c r="F70" s="13">
        <v>0.9</v>
      </c>
      <c r="G70" s="13" t="s">
        <v>1990</v>
      </c>
    </row>
    <row r="71" spans="1:7" x14ac:dyDescent="0.25">
      <c r="A71" s="13" t="s">
        <v>1577</v>
      </c>
      <c r="B71" s="13" t="s">
        <v>493</v>
      </c>
      <c r="C71" s="13">
        <v>278</v>
      </c>
      <c r="D71" s="13">
        <v>28.2</v>
      </c>
      <c r="E71" s="13">
        <v>70900</v>
      </c>
      <c r="F71" s="13">
        <v>0.9</v>
      </c>
      <c r="G71" s="13" t="s">
        <v>1990</v>
      </c>
    </row>
    <row r="72" spans="1:7" x14ac:dyDescent="0.25">
      <c r="A72" s="13" t="s">
        <v>1578</v>
      </c>
      <c r="B72" s="13" t="s">
        <v>494</v>
      </c>
      <c r="C72" s="13">
        <v>279</v>
      </c>
      <c r="D72" s="13">
        <v>49.2</v>
      </c>
      <c r="E72" s="13">
        <v>94800</v>
      </c>
      <c r="F72" s="13">
        <v>0.9</v>
      </c>
      <c r="G72" s="13" t="s">
        <v>1990</v>
      </c>
    </row>
    <row r="73" spans="1:7" x14ac:dyDescent="0.25">
      <c r="A73" s="13" t="s">
        <v>1579</v>
      </c>
      <c r="B73" s="13" t="s">
        <v>495</v>
      </c>
      <c r="C73" s="13">
        <v>255</v>
      </c>
      <c r="D73" s="13">
        <v>74</v>
      </c>
      <c r="E73" s="13">
        <v>136000</v>
      </c>
      <c r="F73" s="13">
        <v>0.9</v>
      </c>
      <c r="G73" s="13" t="s">
        <v>1990</v>
      </c>
    </row>
    <row r="74" spans="1:7" x14ac:dyDescent="0.25">
      <c r="A74" s="13" t="s">
        <v>1580</v>
      </c>
      <c r="B74" s="13" t="s">
        <v>496</v>
      </c>
      <c r="C74" s="13">
        <v>565</v>
      </c>
      <c r="D74" s="13">
        <v>83.8</v>
      </c>
      <c r="E74" s="13">
        <v>163000</v>
      </c>
      <c r="F74" s="13">
        <v>0.9</v>
      </c>
      <c r="G74" s="13" t="s">
        <v>1990</v>
      </c>
    </row>
    <row r="75" spans="1:7" x14ac:dyDescent="0.25">
      <c r="A75" s="13" t="s">
        <v>1581</v>
      </c>
      <c r="B75" s="13" t="s">
        <v>497</v>
      </c>
      <c r="C75" s="13">
        <v>114</v>
      </c>
      <c r="D75" s="13">
        <v>35.6</v>
      </c>
      <c r="E75" s="13">
        <v>66900</v>
      </c>
      <c r="F75" s="13">
        <v>0.9</v>
      </c>
      <c r="G75" s="13" t="s">
        <v>1990</v>
      </c>
    </row>
    <row r="76" spans="1:7" x14ac:dyDescent="0.25">
      <c r="A76" s="13" t="s">
        <v>1582</v>
      </c>
      <c r="B76" s="13" t="s">
        <v>498</v>
      </c>
      <c r="C76" s="13">
        <v>597</v>
      </c>
      <c r="D76" s="13">
        <v>115</v>
      </c>
      <c r="E76" s="13">
        <v>253000</v>
      </c>
      <c r="F76" s="13">
        <v>0.9</v>
      </c>
      <c r="G76" s="13" t="s">
        <v>1990</v>
      </c>
    </row>
    <row r="77" spans="1:7" x14ac:dyDescent="0.25">
      <c r="A77" s="13" t="s">
        <v>1583</v>
      </c>
      <c r="B77" s="13" t="s">
        <v>499</v>
      </c>
      <c r="C77" s="13">
        <v>89</v>
      </c>
      <c r="D77" s="13">
        <v>28.3</v>
      </c>
      <c r="E77" s="13">
        <v>56700</v>
      </c>
      <c r="F77" s="13">
        <v>0.9</v>
      </c>
      <c r="G77" s="13" t="s">
        <v>1990</v>
      </c>
    </row>
    <row r="78" spans="1:7" x14ac:dyDescent="0.25">
      <c r="A78" s="13" t="s">
        <v>1584</v>
      </c>
      <c r="B78" s="13" t="s">
        <v>500</v>
      </c>
      <c r="C78" s="13">
        <v>999</v>
      </c>
      <c r="D78" s="13">
        <v>77.2</v>
      </c>
      <c r="E78" s="13">
        <v>232000</v>
      </c>
      <c r="F78" s="13">
        <v>0.9</v>
      </c>
      <c r="G78" s="13" t="s">
        <v>1990</v>
      </c>
    </row>
    <row r="79" spans="1:7" x14ac:dyDescent="0.25">
      <c r="A79" s="13" t="s">
        <v>1585</v>
      </c>
      <c r="B79" s="13" t="s">
        <v>501</v>
      </c>
      <c r="C79" s="13">
        <v>123</v>
      </c>
      <c r="D79" s="13">
        <v>39.200000000000003</v>
      </c>
      <c r="E79" s="13">
        <v>72800</v>
      </c>
      <c r="F79" s="13">
        <v>0.9</v>
      </c>
      <c r="G79" s="13" t="s">
        <v>1990</v>
      </c>
    </row>
    <row r="80" spans="1:7" x14ac:dyDescent="0.25">
      <c r="A80" s="13" t="s">
        <v>1586</v>
      </c>
      <c r="B80" s="13" t="s">
        <v>502</v>
      </c>
      <c r="C80" s="13">
        <v>472</v>
      </c>
      <c r="D80" s="13">
        <v>100</v>
      </c>
      <c r="E80" s="13">
        <v>191000</v>
      </c>
      <c r="F80" s="13">
        <v>0.9</v>
      </c>
      <c r="G80" s="13" t="s">
        <v>1990</v>
      </c>
    </row>
    <row r="81" spans="1:7" x14ac:dyDescent="0.25">
      <c r="A81" s="13" t="s">
        <v>1587</v>
      </c>
      <c r="B81" s="13" t="s">
        <v>503</v>
      </c>
      <c r="C81" s="13">
        <v>287</v>
      </c>
      <c r="D81" s="13">
        <v>57.4</v>
      </c>
      <c r="E81" s="13">
        <v>125000</v>
      </c>
      <c r="F81" s="13">
        <v>0.9</v>
      </c>
      <c r="G81" s="13" t="s">
        <v>1990</v>
      </c>
    </row>
    <row r="82" spans="1:7" x14ac:dyDescent="0.25">
      <c r="A82" s="13" t="s">
        <v>1588</v>
      </c>
      <c r="B82" s="13" t="s">
        <v>504</v>
      </c>
      <c r="C82" s="13">
        <v>379</v>
      </c>
      <c r="D82" s="13">
        <v>47.5</v>
      </c>
      <c r="E82" s="13">
        <v>120000</v>
      </c>
      <c r="F82" s="13">
        <v>0.9</v>
      </c>
      <c r="G82" s="13" t="s">
        <v>1990</v>
      </c>
    </row>
    <row r="83" spans="1:7" x14ac:dyDescent="0.25">
      <c r="A83" s="13" t="s">
        <v>1589</v>
      </c>
      <c r="B83" s="13" t="s">
        <v>505</v>
      </c>
      <c r="C83" s="13">
        <v>96</v>
      </c>
      <c r="D83" s="13">
        <v>30.5</v>
      </c>
      <c r="E83" s="13">
        <v>55700</v>
      </c>
      <c r="F83" s="13">
        <v>0.9</v>
      </c>
      <c r="G83" s="13" t="s">
        <v>1990</v>
      </c>
    </row>
    <row r="84" spans="1:7" x14ac:dyDescent="0.25">
      <c r="A84" s="13" t="s">
        <v>1590</v>
      </c>
      <c r="B84" s="13" t="s">
        <v>506</v>
      </c>
      <c r="C84" s="13">
        <v>174</v>
      </c>
      <c r="D84" s="13">
        <v>62.4</v>
      </c>
      <c r="E84" s="13">
        <v>118000</v>
      </c>
      <c r="F84" s="13">
        <v>0.9</v>
      </c>
      <c r="G84" s="13" t="s">
        <v>1990</v>
      </c>
    </row>
    <row r="85" spans="1:7" x14ac:dyDescent="0.25">
      <c r="A85" s="13" t="s">
        <v>1591</v>
      </c>
      <c r="B85" s="13" t="s">
        <v>507</v>
      </c>
      <c r="C85" s="13">
        <v>167</v>
      </c>
      <c r="D85" s="13">
        <v>27.2</v>
      </c>
      <c r="E85" s="13">
        <v>50200</v>
      </c>
      <c r="F85" s="13">
        <v>0.9</v>
      </c>
      <c r="G85" s="13" t="s">
        <v>1990</v>
      </c>
    </row>
    <row r="86" spans="1:7" x14ac:dyDescent="0.25">
      <c r="A86" s="13" t="s">
        <v>1592</v>
      </c>
      <c r="B86" s="13" t="s">
        <v>508</v>
      </c>
      <c r="C86" s="13">
        <v>191</v>
      </c>
      <c r="D86" s="13">
        <v>35.799999999999997</v>
      </c>
      <c r="E86" s="13">
        <v>77200</v>
      </c>
      <c r="F86" s="13">
        <v>0.9</v>
      </c>
      <c r="G86" s="13" t="s">
        <v>1990</v>
      </c>
    </row>
    <row r="87" spans="1:7" x14ac:dyDescent="0.25">
      <c r="A87" s="13" t="s">
        <v>1593</v>
      </c>
      <c r="B87" s="13" t="s">
        <v>509</v>
      </c>
      <c r="C87" s="13">
        <v>625</v>
      </c>
      <c r="D87" s="13">
        <v>53.6</v>
      </c>
      <c r="E87" s="13">
        <v>155000</v>
      </c>
      <c r="F87" s="13">
        <v>0.9</v>
      </c>
      <c r="G87" s="13" t="s">
        <v>1990</v>
      </c>
    </row>
    <row r="88" spans="1:7" x14ac:dyDescent="0.25">
      <c r="A88" s="13" t="s">
        <v>1594</v>
      </c>
      <c r="B88" s="13" t="s">
        <v>510</v>
      </c>
      <c r="C88" s="13">
        <v>1304</v>
      </c>
      <c r="D88" s="13">
        <v>121</v>
      </c>
      <c r="E88" s="13">
        <v>253000</v>
      </c>
      <c r="F88" s="13">
        <v>0.9</v>
      </c>
      <c r="G88" s="13" t="s">
        <v>1990</v>
      </c>
    </row>
    <row r="89" spans="1:7" x14ac:dyDescent="0.25">
      <c r="A89" s="13" t="s">
        <v>1595</v>
      </c>
      <c r="B89" s="13" t="s">
        <v>511</v>
      </c>
      <c r="C89" s="13">
        <v>218</v>
      </c>
      <c r="D89" s="13">
        <v>31.5</v>
      </c>
      <c r="E89" s="13">
        <v>75100</v>
      </c>
      <c r="F89" s="13">
        <v>0.9</v>
      </c>
      <c r="G89" s="13" t="s">
        <v>1990</v>
      </c>
    </row>
    <row r="90" spans="1:7" x14ac:dyDescent="0.25">
      <c r="A90" s="13" t="s">
        <v>1596</v>
      </c>
      <c r="B90" s="13" t="s">
        <v>512</v>
      </c>
      <c r="C90" s="13">
        <v>5417</v>
      </c>
      <c r="D90" s="13">
        <v>735.9</v>
      </c>
      <c r="E90" s="13">
        <v>1820000</v>
      </c>
      <c r="F90" s="13">
        <v>0.9</v>
      </c>
      <c r="G90" s="13" t="s">
        <v>1990</v>
      </c>
    </row>
    <row r="91" spans="1:7" x14ac:dyDescent="0.25">
      <c r="A91" s="13" t="s">
        <v>1597</v>
      </c>
      <c r="B91" s="13" t="s">
        <v>513</v>
      </c>
      <c r="C91" s="13">
        <v>832</v>
      </c>
      <c r="D91" s="13">
        <v>126.9</v>
      </c>
      <c r="E91" s="13">
        <v>301000</v>
      </c>
      <c r="F91" s="13">
        <v>0.9</v>
      </c>
      <c r="G91" s="13" t="s">
        <v>1990</v>
      </c>
    </row>
    <row r="92" spans="1:7" x14ac:dyDescent="0.25">
      <c r="A92" s="13" t="s">
        <v>1598</v>
      </c>
      <c r="B92" s="13" t="s">
        <v>514</v>
      </c>
      <c r="C92" s="13">
        <v>1524</v>
      </c>
      <c r="D92" s="13">
        <v>120</v>
      </c>
      <c r="E92" s="13">
        <v>356000</v>
      </c>
      <c r="F92" s="13">
        <v>0.9</v>
      </c>
      <c r="G92" s="13" t="s">
        <v>1990</v>
      </c>
    </row>
    <row r="93" spans="1:7" x14ac:dyDescent="0.25">
      <c r="A93" s="13" t="s">
        <v>1599</v>
      </c>
      <c r="B93" s="13" t="s">
        <v>515</v>
      </c>
      <c r="C93" s="13">
        <v>853</v>
      </c>
      <c r="D93" s="13">
        <v>52.3</v>
      </c>
      <c r="E93" s="13">
        <v>178000</v>
      </c>
      <c r="F93" s="13">
        <v>0.9</v>
      </c>
      <c r="G93" s="13" t="s">
        <v>1990</v>
      </c>
    </row>
    <row r="94" spans="1:7" x14ac:dyDescent="0.25">
      <c r="A94" s="13" t="s">
        <v>1600</v>
      </c>
      <c r="B94" s="13" t="s">
        <v>516</v>
      </c>
      <c r="C94" s="13">
        <v>175</v>
      </c>
      <c r="D94" s="13">
        <v>29.1</v>
      </c>
      <c r="E94" s="13">
        <v>67700</v>
      </c>
      <c r="F94" s="13">
        <v>0.9</v>
      </c>
      <c r="G94" s="13" t="s">
        <v>1990</v>
      </c>
    </row>
    <row r="95" spans="1:7" x14ac:dyDescent="0.25">
      <c r="A95" s="13" t="s">
        <v>1601</v>
      </c>
      <c r="B95" s="13" t="s">
        <v>517</v>
      </c>
      <c r="C95" s="13">
        <v>1959</v>
      </c>
      <c r="D95" s="13">
        <v>117.3</v>
      </c>
      <c r="E95" s="13">
        <v>404000</v>
      </c>
      <c r="F95" s="13">
        <v>0.9</v>
      </c>
      <c r="G95" s="13" t="s">
        <v>1990</v>
      </c>
    </row>
    <row r="96" spans="1:7" x14ac:dyDescent="0.25">
      <c r="A96" s="13" t="s">
        <v>1602</v>
      </c>
      <c r="B96" s="13" t="s">
        <v>518</v>
      </c>
      <c r="C96" s="13">
        <v>1707</v>
      </c>
      <c r="D96" s="13">
        <v>305.2</v>
      </c>
      <c r="E96" s="13">
        <v>684000</v>
      </c>
      <c r="F96" s="13">
        <v>0.9</v>
      </c>
      <c r="G96" s="13" t="s">
        <v>1990</v>
      </c>
    </row>
    <row r="97" spans="1:7" x14ac:dyDescent="0.25">
      <c r="A97" s="13" t="s">
        <v>1603</v>
      </c>
      <c r="B97" s="13" t="s">
        <v>519</v>
      </c>
      <c r="C97" s="13">
        <v>889</v>
      </c>
      <c r="D97" s="13">
        <v>129.6</v>
      </c>
      <c r="E97" s="13">
        <v>310000</v>
      </c>
      <c r="F97" s="13">
        <v>0.9</v>
      </c>
      <c r="G97" s="13" t="s">
        <v>1990</v>
      </c>
    </row>
    <row r="98" spans="1:7" x14ac:dyDescent="0.25">
      <c r="A98" s="13" t="s">
        <v>1604</v>
      </c>
      <c r="B98" s="13" t="s">
        <v>520</v>
      </c>
      <c r="C98" s="13">
        <v>447</v>
      </c>
      <c r="D98" s="13">
        <v>107.3</v>
      </c>
      <c r="E98" s="13">
        <v>225000</v>
      </c>
      <c r="F98" s="13">
        <v>0.9</v>
      </c>
      <c r="G98" s="13" t="s">
        <v>1990</v>
      </c>
    </row>
    <row r="99" spans="1:7" x14ac:dyDescent="0.25">
      <c r="A99" s="13" t="s">
        <v>1605</v>
      </c>
      <c r="B99" s="13" t="s">
        <v>521</v>
      </c>
      <c r="C99" s="13">
        <v>103</v>
      </c>
      <c r="D99" s="13">
        <v>19</v>
      </c>
      <c r="E99" s="13">
        <v>42200</v>
      </c>
      <c r="F99" s="13">
        <v>0.9</v>
      </c>
      <c r="G99" s="13" t="s">
        <v>1990</v>
      </c>
    </row>
    <row r="100" spans="1:7" x14ac:dyDescent="0.25">
      <c r="A100" s="13" t="s">
        <v>1606</v>
      </c>
      <c r="B100" s="13" t="s">
        <v>522</v>
      </c>
      <c r="C100" s="13">
        <v>1165</v>
      </c>
      <c r="D100" s="13">
        <v>159</v>
      </c>
      <c r="E100" s="13">
        <v>395000</v>
      </c>
      <c r="F100" s="13">
        <v>0.9</v>
      </c>
      <c r="G100" s="13" t="s">
        <v>1990</v>
      </c>
    </row>
    <row r="101" spans="1:7" x14ac:dyDescent="0.25">
      <c r="A101" s="13" t="s">
        <v>1607</v>
      </c>
      <c r="B101" s="13" t="s">
        <v>523</v>
      </c>
      <c r="C101" s="13">
        <v>576</v>
      </c>
      <c r="D101" s="13">
        <v>69.099999999999994</v>
      </c>
      <c r="E101" s="13">
        <v>176000</v>
      </c>
      <c r="F101" s="13">
        <v>0.9</v>
      </c>
      <c r="G101" s="13" t="s">
        <v>1990</v>
      </c>
    </row>
    <row r="102" spans="1:7" x14ac:dyDescent="0.25">
      <c r="A102" s="13" t="s">
        <v>1608</v>
      </c>
      <c r="B102" s="13" t="s">
        <v>524</v>
      </c>
      <c r="C102" s="13">
        <v>555</v>
      </c>
      <c r="D102" s="13">
        <v>74.8</v>
      </c>
      <c r="E102" s="13">
        <v>182000</v>
      </c>
      <c r="F102" s="13">
        <v>0.9</v>
      </c>
      <c r="G102" s="13" t="s">
        <v>1990</v>
      </c>
    </row>
    <row r="103" spans="1:7" x14ac:dyDescent="0.25">
      <c r="A103" s="13" t="s">
        <v>1609</v>
      </c>
      <c r="B103" s="13" t="s">
        <v>525</v>
      </c>
      <c r="C103" s="13">
        <v>2647</v>
      </c>
      <c r="D103" s="13">
        <v>260.5</v>
      </c>
      <c r="E103" s="13">
        <v>718000</v>
      </c>
      <c r="F103" s="13">
        <v>0.9</v>
      </c>
      <c r="G103" s="13" t="s">
        <v>1990</v>
      </c>
    </row>
    <row r="104" spans="1:7" x14ac:dyDescent="0.25">
      <c r="A104" s="13" t="s">
        <v>1610</v>
      </c>
      <c r="B104" s="13" t="s">
        <v>526</v>
      </c>
      <c r="C104" s="13">
        <v>892</v>
      </c>
      <c r="D104" s="13">
        <v>122.2</v>
      </c>
      <c r="E104" s="13">
        <v>301000</v>
      </c>
      <c r="F104" s="13">
        <v>0.9</v>
      </c>
      <c r="G104" s="13" t="s">
        <v>1990</v>
      </c>
    </row>
    <row r="105" spans="1:7" x14ac:dyDescent="0.25">
      <c r="A105" s="13" t="s">
        <v>1611</v>
      </c>
      <c r="B105" s="13" t="s">
        <v>527</v>
      </c>
      <c r="C105" s="13">
        <v>535</v>
      </c>
      <c r="D105" s="13">
        <v>152.9</v>
      </c>
      <c r="E105" s="13">
        <v>312000</v>
      </c>
      <c r="F105" s="13">
        <v>0.9</v>
      </c>
      <c r="G105" s="13" t="s">
        <v>1990</v>
      </c>
    </row>
    <row r="106" spans="1:7" x14ac:dyDescent="0.25">
      <c r="A106" s="13" t="s">
        <v>1612</v>
      </c>
      <c r="B106" s="13" t="s">
        <v>528</v>
      </c>
      <c r="C106" s="13">
        <v>438</v>
      </c>
      <c r="D106" s="13">
        <v>87.6</v>
      </c>
      <c r="E106" s="13">
        <v>164000</v>
      </c>
      <c r="F106" s="13">
        <v>0.9</v>
      </c>
      <c r="G106" s="13" t="s">
        <v>1990</v>
      </c>
    </row>
    <row r="107" spans="1:7" x14ac:dyDescent="0.25">
      <c r="A107" s="13" t="s">
        <v>1613</v>
      </c>
      <c r="B107" s="13" t="s">
        <v>529</v>
      </c>
      <c r="C107" s="13">
        <v>824</v>
      </c>
      <c r="D107" s="13">
        <v>95.8</v>
      </c>
      <c r="E107" s="13">
        <v>246000</v>
      </c>
      <c r="F107" s="13">
        <v>0.9</v>
      </c>
      <c r="G107" s="13" t="s">
        <v>1990</v>
      </c>
    </row>
    <row r="108" spans="1:7" x14ac:dyDescent="0.25">
      <c r="A108" s="13" t="s">
        <v>1614</v>
      </c>
      <c r="B108" s="13" t="s">
        <v>530</v>
      </c>
      <c r="C108" s="13">
        <v>278</v>
      </c>
      <c r="D108" s="13">
        <v>75.099999999999994</v>
      </c>
      <c r="E108" s="13">
        <v>155000</v>
      </c>
      <c r="F108" s="13">
        <v>0.9</v>
      </c>
      <c r="G108" s="13" t="s">
        <v>1990</v>
      </c>
    </row>
    <row r="109" spans="1:7" x14ac:dyDescent="0.25">
      <c r="A109" s="13" t="s">
        <v>1615</v>
      </c>
      <c r="B109" s="13" t="s">
        <v>531</v>
      </c>
      <c r="C109" s="13">
        <v>874</v>
      </c>
      <c r="D109" s="13">
        <v>124.3</v>
      </c>
      <c r="E109" s="13">
        <v>303000</v>
      </c>
      <c r="F109" s="13">
        <v>0.9</v>
      </c>
      <c r="G109" s="13" t="s">
        <v>1990</v>
      </c>
    </row>
    <row r="110" spans="1:7" x14ac:dyDescent="0.25">
      <c r="A110" s="13" t="s">
        <v>1616</v>
      </c>
      <c r="B110" s="13" t="s">
        <v>532</v>
      </c>
      <c r="C110" s="13">
        <v>991</v>
      </c>
      <c r="D110" s="13">
        <v>108.3</v>
      </c>
      <c r="E110" s="13">
        <v>286000</v>
      </c>
      <c r="F110" s="13">
        <v>0.9</v>
      </c>
      <c r="G110" s="13" t="s">
        <v>1990</v>
      </c>
    </row>
    <row r="111" spans="1:7" x14ac:dyDescent="0.25">
      <c r="A111" s="13" t="s">
        <v>1617</v>
      </c>
      <c r="B111" s="13" t="s">
        <v>533</v>
      </c>
      <c r="C111" s="13">
        <v>481</v>
      </c>
      <c r="D111" s="13">
        <v>90.5</v>
      </c>
      <c r="E111" s="13">
        <v>180000</v>
      </c>
      <c r="F111" s="13">
        <v>0.9</v>
      </c>
      <c r="G111" s="13" t="s">
        <v>1990</v>
      </c>
    </row>
    <row r="112" spans="1:7" x14ac:dyDescent="0.25">
      <c r="A112" s="13" t="s">
        <v>1618</v>
      </c>
      <c r="B112" s="13" t="s">
        <v>534</v>
      </c>
      <c r="C112" s="13">
        <v>4879</v>
      </c>
      <c r="D112" s="13">
        <v>434</v>
      </c>
      <c r="E112" s="13">
        <v>920000</v>
      </c>
      <c r="F112" s="13">
        <v>0.9</v>
      </c>
      <c r="G112" s="13" t="s">
        <v>1990</v>
      </c>
    </row>
    <row r="113" spans="1:7" x14ac:dyDescent="0.25">
      <c r="A113" s="13" t="s">
        <v>1619</v>
      </c>
      <c r="B113" s="13" t="s">
        <v>535</v>
      </c>
      <c r="C113" s="13">
        <v>89</v>
      </c>
      <c r="D113" s="13">
        <v>22.9</v>
      </c>
      <c r="E113" s="13">
        <v>43100</v>
      </c>
      <c r="F113" s="13">
        <v>0.9</v>
      </c>
      <c r="G113" s="13" t="s">
        <v>1990</v>
      </c>
    </row>
  </sheetData>
  <dataValidations count="1">
    <dataValidation type="list" allowBlank="1" showInputMessage="1" showErrorMessage="1" sqref="G2:G113" xr:uid="{27697659-E2A5-493C-8B9B-FDFBE41994C7}">
      <formula1>"Gas-blend, LPG, Biomethane, Hydrogen"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2E7FB-9F80-4706-A4A0-19EEE16493F7}">
  <dimension ref="A1:O364"/>
  <sheetViews>
    <sheetView topLeftCell="F1" workbookViewId="0">
      <selection activeCell="F2" sqref="F2"/>
    </sheetView>
  </sheetViews>
  <sheetFormatPr defaultRowHeight="15" x14ac:dyDescent="0.25"/>
  <cols>
    <col min="1" max="1" width="22.28515625" bestFit="1" customWidth="1"/>
    <col min="2" max="2" width="14.140625" bestFit="1" customWidth="1"/>
    <col min="3" max="3" width="22.140625" bestFit="1" customWidth="1"/>
    <col min="4" max="4" width="63.28515625" bestFit="1" customWidth="1"/>
    <col min="5" max="5" width="14.28515625" bestFit="1" customWidth="1"/>
    <col min="6" max="6" width="20.7109375" bestFit="1" customWidth="1"/>
    <col min="7" max="7" width="26.42578125" bestFit="1" customWidth="1"/>
    <col min="8" max="8" width="5.7109375" bestFit="1" customWidth="1"/>
    <col min="9" max="9" width="38.85546875" bestFit="1" customWidth="1"/>
    <col min="10" max="10" width="45.28515625" bestFit="1" customWidth="1"/>
    <col min="11" max="11" width="56.7109375" bestFit="1" customWidth="1"/>
    <col min="12" max="12" width="45.85546875" bestFit="1" customWidth="1"/>
    <col min="13" max="13" width="42.5703125" bestFit="1" customWidth="1"/>
    <col min="14" max="14" width="46.42578125" bestFit="1" customWidth="1"/>
    <col min="15" max="15" width="51.85546875" bestFit="1" customWidth="1"/>
  </cols>
  <sheetData>
    <row r="1" spans="1:15" s="11" customFormat="1" ht="30" x14ac:dyDescent="0.25">
      <c r="A1" s="12" t="s">
        <v>536</v>
      </c>
      <c r="B1" s="12" t="s">
        <v>537</v>
      </c>
      <c r="C1" s="12" t="s">
        <v>35</v>
      </c>
      <c r="D1" s="12" t="s">
        <v>1620</v>
      </c>
      <c r="E1" s="12" t="s">
        <v>1621</v>
      </c>
      <c r="F1" s="12" t="s">
        <v>538</v>
      </c>
      <c r="G1" s="12" t="s">
        <v>539</v>
      </c>
      <c r="H1" s="12" t="s">
        <v>1622</v>
      </c>
      <c r="I1" s="12" t="s">
        <v>540</v>
      </c>
      <c r="J1" s="12" t="s">
        <v>541</v>
      </c>
      <c r="K1" s="12" t="s">
        <v>542</v>
      </c>
      <c r="L1" s="12" t="s">
        <v>543</v>
      </c>
      <c r="M1" s="12" t="s">
        <v>544</v>
      </c>
      <c r="N1" s="12" t="s">
        <v>545</v>
      </c>
      <c r="O1" s="12" t="s">
        <v>546</v>
      </c>
    </row>
    <row r="2" spans="1:15" x14ac:dyDescent="0.25">
      <c r="A2" s="13" t="s">
        <v>1623</v>
      </c>
      <c r="B2" s="13" t="s">
        <v>48</v>
      </c>
      <c r="C2" s="13">
        <v>14742</v>
      </c>
      <c r="D2" s="13" t="s">
        <v>1875</v>
      </c>
      <c r="E2" s="13" t="s">
        <v>1876</v>
      </c>
      <c r="F2" s="13">
        <v>1472.6</v>
      </c>
      <c r="G2" s="13">
        <v>4070000</v>
      </c>
      <c r="H2" s="13">
        <v>3.5</v>
      </c>
      <c r="I2" s="13">
        <f>G2/H2-SUM(J2:O2)</f>
        <v>1128307.142857143</v>
      </c>
      <c r="J2" s="13">
        <v>34550</v>
      </c>
      <c r="K2" s="13">
        <v>0</v>
      </c>
      <c r="L2" s="13">
        <v>0</v>
      </c>
      <c r="M2" s="13">
        <v>0</v>
      </c>
      <c r="N2" s="13">
        <v>0</v>
      </c>
      <c r="O2" s="13">
        <v>0</v>
      </c>
    </row>
    <row r="3" spans="1:15" x14ac:dyDescent="0.25">
      <c r="A3" s="13" t="s">
        <v>1624</v>
      </c>
      <c r="B3" s="13" t="s">
        <v>50</v>
      </c>
      <c r="C3" s="13">
        <v>2761</v>
      </c>
      <c r="D3" s="13" t="s">
        <v>1875</v>
      </c>
      <c r="E3" s="13" t="s">
        <v>1876</v>
      </c>
      <c r="F3" s="13">
        <v>608.6</v>
      </c>
      <c r="G3" s="13">
        <v>1320000</v>
      </c>
      <c r="H3" s="13">
        <v>3.5</v>
      </c>
      <c r="I3" s="13">
        <f t="shared" ref="I3:I66" si="0">G3/H3-SUM(J3:O3)</f>
        <v>342592.85714285716</v>
      </c>
      <c r="J3" s="13">
        <v>34550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</row>
    <row r="4" spans="1:15" x14ac:dyDescent="0.25">
      <c r="A4" s="13" t="s">
        <v>1625</v>
      </c>
      <c r="B4" s="13" t="s">
        <v>52</v>
      </c>
      <c r="C4" s="13">
        <v>5178</v>
      </c>
      <c r="D4" s="13" t="s">
        <v>1875</v>
      </c>
      <c r="E4" s="13" t="s">
        <v>1876</v>
      </c>
      <c r="F4" s="13">
        <v>370</v>
      </c>
      <c r="G4" s="13">
        <v>1160000</v>
      </c>
      <c r="H4" s="13">
        <v>3.5</v>
      </c>
      <c r="I4" s="13">
        <f t="shared" si="0"/>
        <v>296878.57142857142</v>
      </c>
      <c r="J4" s="13">
        <v>34550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</row>
    <row r="5" spans="1:15" x14ac:dyDescent="0.25">
      <c r="A5" s="13" t="s">
        <v>1626</v>
      </c>
      <c r="B5" s="13" t="s">
        <v>53</v>
      </c>
      <c r="C5" s="13">
        <v>8816</v>
      </c>
      <c r="D5" s="13" t="s">
        <v>1875</v>
      </c>
      <c r="E5" s="13" t="s">
        <v>1876</v>
      </c>
      <c r="F5" s="13">
        <v>577.6</v>
      </c>
      <c r="G5" s="13">
        <v>1900000</v>
      </c>
      <c r="H5" s="13">
        <v>3.5</v>
      </c>
      <c r="I5" s="13">
        <f t="shared" si="0"/>
        <v>508307.14285714284</v>
      </c>
      <c r="J5" s="13">
        <v>34550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</row>
    <row r="6" spans="1:15" x14ac:dyDescent="0.25">
      <c r="A6" s="13" t="s">
        <v>1627</v>
      </c>
      <c r="B6" s="13" t="s">
        <v>56</v>
      </c>
      <c r="C6" s="13">
        <v>443</v>
      </c>
      <c r="D6" s="13" t="s">
        <v>1875</v>
      </c>
      <c r="E6" s="13" t="s">
        <v>1876</v>
      </c>
      <c r="F6" s="13">
        <v>45.4</v>
      </c>
      <c r="G6" s="13">
        <v>121000</v>
      </c>
      <c r="H6" s="13">
        <v>3.5</v>
      </c>
      <c r="I6" s="13">
        <f t="shared" si="0"/>
        <v>28352.428571428572</v>
      </c>
      <c r="J6" s="13">
        <v>6219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</row>
    <row r="7" spans="1:15" x14ac:dyDescent="0.25">
      <c r="A7" s="13" t="s">
        <v>1628</v>
      </c>
      <c r="B7" s="13" t="s">
        <v>57</v>
      </c>
      <c r="C7" s="13">
        <v>367</v>
      </c>
      <c r="D7" s="13" t="s">
        <v>1875</v>
      </c>
      <c r="E7" s="13" t="s">
        <v>1876</v>
      </c>
      <c r="F7" s="13">
        <v>65.8</v>
      </c>
      <c r="G7" s="13">
        <v>146000</v>
      </c>
      <c r="H7" s="13">
        <v>3.5</v>
      </c>
      <c r="I7" s="13">
        <f t="shared" si="0"/>
        <v>35495.285714285717</v>
      </c>
      <c r="J7" s="13">
        <v>6219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</row>
    <row r="8" spans="1:15" x14ac:dyDescent="0.25">
      <c r="A8" s="13" t="s">
        <v>1629</v>
      </c>
      <c r="B8" s="13" t="s">
        <v>59</v>
      </c>
      <c r="C8" s="13">
        <v>168</v>
      </c>
      <c r="D8" s="13" t="s">
        <v>1875</v>
      </c>
      <c r="E8" s="13" t="s">
        <v>1876</v>
      </c>
      <c r="F8" s="13">
        <v>32.799999999999997</v>
      </c>
      <c r="G8" s="13">
        <v>73200</v>
      </c>
      <c r="H8" s="13">
        <v>3.5</v>
      </c>
      <c r="I8" s="13">
        <f t="shared" si="0"/>
        <v>14695.285714285714</v>
      </c>
      <c r="J8" s="13">
        <v>6219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</row>
    <row r="9" spans="1:15" x14ac:dyDescent="0.25">
      <c r="A9" s="13" t="s">
        <v>1630</v>
      </c>
      <c r="B9" s="13" t="s">
        <v>61</v>
      </c>
      <c r="C9" s="13">
        <v>252</v>
      </c>
      <c r="D9" s="13" t="s">
        <v>1875</v>
      </c>
      <c r="E9" s="13" t="s">
        <v>1876</v>
      </c>
      <c r="F9" s="13">
        <v>75.099999999999994</v>
      </c>
      <c r="G9" s="13">
        <v>142000</v>
      </c>
      <c r="H9" s="13">
        <v>3.5</v>
      </c>
      <c r="I9" s="13">
        <f t="shared" si="0"/>
        <v>40571.428571428572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</row>
    <row r="10" spans="1:15" x14ac:dyDescent="0.25">
      <c r="A10" s="13" t="s">
        <v>1631</v>
      </c>
      <c r="B10" s="13" t="s">
        <v>62</v>
      </c>
      <c r="C10" s="13">
        <v>273</v>
      </c>
      <c r="D10" s="13" t="s">
        <v>1875</v>
      </c>
      <c r="E10" s="13" t="s">
        <v>1876</v>
      </c>
      <c r="F10" s="13">
        <v>38.6</v>
      </c>
      <c r="G10" s="13">
        <v>92600</v>
      </c>
      <c r="H10" s="13">
        <v>3.5</v>
      </c>
      <c r="I10" s="13">
        <f t="shared" si="0"/>
        <v>20238.142857142859</v>
      </c>
      <c r="J10" s="13">
        <v>6219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</row>
    <row r="11" spans="1:15" x14ac:dyDescent="0.25">
      <c r="A11" s="13" t="s">
        <v>1632</v>
      </c>
      <c r="B11" s="13" t="s">
        <v>63</v>
      </c>
      <c r="C11" s="13">
        <v>804</v>
      </c>
      <c r="D11" s="13" t="s">
        <v>1875</v>
      </c>
      <c r="E11" s="13" t="s">
        <v>1876</v>
      </c>
      <c r="F11" s="13">
        <v>135</v>
      </c>
      <c r="G11" s="13">
        <v>270000</v>
      </c>
      <c r="H11" s="13">
        <v>3.5</v>
      </c>
      <c r="I11" s="13">
        <f t="shared" si="0"/>
        <v>77142.857142857145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</row>
    <row r="12" spans="1:15" x14ac:dyDescent="0.25">
      <c r="A12" s="13" t="s">
        <v>1633</v>
      </c>
      <c r="B12" s="13" t="s">
        <v>64</v>
      </c>
      <c r="C12" s="13">
        <v>96</v>
      </c>
      <c r="D12" s="13" t="s">
        <v>1875</v>
      </c>
      <c r="E12" s="13" t="s">
        <v>1876</v>
      </c>
      <c r="F12" s="13">
        <v>19.600000000000001</v>
      </c>
      <c r="G12" s="13">
        <v>42600</v>
      </c>
      <c r="H12" s="13">
        <v>3.5</v>
      </c>
      <c r="I12" s="13">
        <f t="shared" si="0"/>
        <v>8025.4285714285706</v>
      </c>
      <c r="J12" s="13">
        <v>4146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</row>
    <row r="13" spans="1:15" x14ac:dyDescent="0.25">
      <c r="A13" s="13" t="s">
        <v>1634</v>
      </c>
      <c r="B13" s="13" t="s">
        <v>65</v>
      </c>
      <c r="C13" s="13">
        <v>223</v>
      </c>
      <c r="D13" s="13" t="s">
        <v>1875</v>
      </c>
      <c r="E13" s="13" t="s">
        <v>1876</v>
      </c>
      <c r="F13" s="13">
        <v>27.1</v>
      </c>
      <c r="G13" s="13">
        <v>55900</v>
      </c>
      <c r="H13" s="13">
        <v>3.5</v>
      </c>
      <c r="I13" s="13">
        <f t="shared" si="0"/>
        <v>15971.428571428571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13" t="s">
        <v>1635</v>
      </c>
      <c r="B14" s="13" t="s">
        <v>66</v>
      </c>
      <c r="C14" s="13">
        <v>206</v>
      </c>
      <c r="D14" s="13" t="s">
        <v>1875</v>
      </c>
      <c r="E14" s="13" t="s">
        <v>1876</v>
      </c>
      <c r="F14" s="13">
        <v>40.799999999999997</v>
      </c>
      <c r="G14" s="13">
        <v>79300</v>
      </c>
      <c r="H14" s="13">
        <v>3.5</v>
      </c>
      <c r="I14" s="13">
        <f t="shared" si="0"/>
        <v>22657.142857142859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13" t="s">
        <v>1636</v>
      </c>
      <c r="B15" s="13" t="s">
        <v>67</v>
      </c>
      <c r="C15" s="13">
        <v>284</v>
      </c>
      <c r="D15" s="13" t="s">
        <v>1875</v>
      </c>
      <c r="E15" s="13" t="s">
        <v>1876</v>
      </c>
      <c r="F15" s="13">
        <v>34.1</v>
      </c>
      <c r="G15" s="13">
        <v>85100</v>
      </c>
      <c r="H15" s="13">
        <v>3.5</v>
      </c>
      <c r="I15" s="13">
        <f t="shared" si="0"/>
        <v>18095.285714285714</v>
      </c>
      <c r="J15" s="13">
        <v>6219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</row>
    <row r="16" spans="1:15" x14ac:dyDescent="0.25">
      <c r="A16" s="13" t="s">
        <v>1637</v>
      </c>
      <c r="B16" s="13" t="s">
        <v>68</v>
      </c>
      <c r="C16" s="13">
        <v>206</v>
      </c>
      <c r="D16" s="13" t="s">
        <v>1875</v>
      </c>
      <c r="E16" s="13" t="s">
        <v>1876</v>
      </c>
      <c r="F16" s="13">
        <v>53.3</v>
      </c>
      <c r="G16" s="13">
        <v>103000</v>
      </c>
      <c r="H16" s="13">
        <v>3.5</v>
      </c>
      <c r="I16" s="13">
        <f t="shared" si="0"/>
        <v>29428.571428571428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</row>
    <row r="17" spans="1:15" x14ac:dyDescent="0.25">
      <c r="A17" s="13" t="s">
        <v>1638</v>
      </c>
      <c r="B17" s="13" t="s">
        <v>69</v>
      </c>
      <c r="C17" s="13">
        <v>513</v>
      </c>
      <c r="D17" s="13" t="s">
        <v>1875</v>
      </c>
      <c r="E17" s="13" t="s">
        <v>1876</v>
      </c>
      <c r="F17" s="13">
        <v>51.6</v>
      </c>
      <c r="G17" s="13">
        <v>110000</v>
      </c>
      <c r="H17" s="13">
        <v>3.5</v>
      </c>
      <c r="I17" s="13">
        <f t="shared" si="0"/>
        <v>31428.571428571428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</row>
    <row r="18" spans="1:15" x14ac:dyDescent="0.25">
      <c r="A18" s="13" t="s">
        <v>1639</v>
      </c>
      <c r="B18" s="13" t="s">
        <v>70</v>
      </c>
      <c r="C18" s="13">
        <v>276</v>
      </c>
      <c r="D18" s="13" t="s">
        <v>1875</v>
      </c>
      <c r="E18" s="13" t="s">
        <v>1876</v>
      </c>
      <c r="F18" s="13">
        <v>47.7</v>
      </c>
      <c r="G18" s="13">
        <v>93300</v>
      </c>
      <c r="H18" s="13">
        <v>3.5</v>
      </c>
      <c r="I18" s="13">
        <f t="shared" si="0"/>
        <v>26657.142857142859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25">
      <c r="A19" s="13" t="s">
        <v>1640</v>
      </c>
      <c r="B19" s="13" t="s">
        <v>71</v>
      </c>
      <c r="C19" s="13">
        <v>379</v>
      </c>
      <c r="D19" s="13" t="s">
        <v>1875</v>
      </c>
      <c r="E19" s="13" t="s">
        <v>1876</v>
      </c>
      <c r="F19" s="13">
        <v>30</v>
      </c>
      <c r="G19" s="13">
        <v>68500</v>
      </c>
      <c r="H19" s="13">
        <v>3.5</v>
      </c>
      <c r="I19" s="13">
        <f t="shared" si="0"/>
        <v>19571.428571428572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</row>
    <row r="20" spans="1:15" x14ac:dyDescent="0.25">
      <c r="A20" s="13" t="s">
        <v>1641</v>
      </c>
      <c r="B20" s="13" t="s">
        <v>72</v>
      </c>
      <c r="C20" s="13">
        <v>111</v>
      </c>
      <c r="D20" s="13" t="s">
        <v>1875</v>
      </c>
      <c r="E20" s="13" t="s">
        <v>1876</v>
      </c>
      <c r="F20" s="13">
        <v>41.9</v>
      </c>
      <c r="G20" s="13">
        <v>82400</v>
      </c>
      <c r="H20" s="13">
        <v>3.5</v>
      </c>
      <c r="I20" s="13">
        <f t="shared" si="0"/>
        <v>17323.857142857141</v>
      </c>
      <c r="J20" s="13">
        <v>6219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</row>
    <row r="21" spans="1:15" x14ac:dyDescent="0.25">
      <c r="A21" s="13" t="s">
        <v>1642</v>
      </c>
      <c r="B21" s="13" t="s">
        <v>73</v>
      </c>
      <c r="C21" s="13">
        <v>530</v>
      </c>
      <c r="D21" s="13" t="s">
        <v>1875</v>
      </c>
      <c r="E21" s="13" t="s">
        <v>1876</v>
      </c>
      <c r="F21" s="13">
        <v>108.7</v>
      </c>
      <c r="G21" s="13">
        <v>208000</v>
      </c>
      <c r="H21" s="13">
        <v>3.5</v>
      </c>
      <c r="I21" s="13">
        <f t="shared" si="0"/>
        <v>59428.571428571428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</row>
    <row r="22" spans="1:15" x14ac:dyDescent="0.25">
      <c r="A22" s="13" t="s">
        <v>1643</v>
      </c>
      <c r="B22" s="13" t="s">
        <v>74</v>
      </c>
      <c r="C22" s="13">
        <v>197</v>
      </c>
      <c r="D22" s="13" t="s">
        <v>1875</v>
      </c>
      <c r="E22" s="13" t="s">
        <v>1876</v>
      </c>
      <c r="F22" s="13">
        <v>55.1</v>
      </c>
      <c r="G22" s="13">
        <v>114000</v>
      </c>
      <c r="H22" s="13">
        <v>3.5</v>
      </c>
      <c r="I22" s="13">
        <f t="shared" si="0"/>
        <v>26352.428571428572</v>
      </c>
      <c r="J22" s="13">
        <v>6219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</row>
    <row r="23" spans="1:15" x14ac:dyDescent="0.25">
      <c r="A23" s="13" t="s">
        <v>1644</v>
      </c>
      <c r="B23" s="13" t="s">
        <v>75</v>
      </c>
      <c r="C23" s="13">
        <v>1086</v>
      </c>
      <c r="D23" s="13" t="s">
        <v>1875</v>
      </c>
      <c r="E23" s="13" t="s">
        <v>1876</v>
      </c>
      <c r="F23" s="13">
        <v>92.5</v>
      </c>
      <c r="G23" s="13">
        <v>201000</v>
      </c>
      <c r="H23" s="13">
        <v>3.5</v>
      </c>
      <c r="I23" s="13">
        <f t="shared" si="0"/>
        <v>57428.571428571428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</row>
    <row r="24" spans="1:15" x14ac:dyDescent="0.25">
      <c r="A24" s="13" t="s">
        <v>1645</v>
      </c>
      <c r="B24" s="13" t="s">
        <v>76</v>
      </c>
      <c r="C24" s="13">
        <v>1104</v>
      </c>
      <c r="D24" s="13" t="s">
        <v>1875</v>
      </c>
      <c r="E24" s="13" t="s">
        <v>1876</v>
      </c>
      <c r="F24" s="13">
        <v>143.9</v>
      </c>
      <c r="G24" s="13">
        <v>295000</v>
      </c>
      <c r="H24" s="13">
        <v>3.5</v>
      </c>
      <c r="I24" s="13">
        <f t="shared" si="0"/>
        <v>84285.71428571429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 s="13">
        <v>0</v>
      </c>
    </row>
    <row r="25" spans="1:15" x14ac:dyDescent="0.25">
      <c r="A25" s="13" t="s">
        <v>1646</v>
      </c>
      <c r="B25" s="13" t="s">
        <v>77</v>
      </c>
      <c r="C25" s="13">
        <v>2999</v>
      </c>
      <c r="D25" s="13" t="s">
        <v>1875</v>
      </c>
      <c r="E25" s="13" t="s">
        <v>1876</v>
      </c>
      <c r="F25" s="13">
        <v>292.89999999999998</v>
      </c>
      <c r="G25" s="13">
        <v>608000</v>
      </c>
      <c r="H25" s="13">
        <v>3.5</v>
      </c>
      <c r="I25" s="13">
        <f t="shared" si="0"/>
        <v>173714.28571428571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</row>
    <row r="26" spans="1:15" x14ac:dyDescent="0.25">
      <c r="A26" s="13" t="s">
        <v>1647</v>
      </c>
      <c r="B26" s="13" t="s">
        <v>78</v>
      </c>
      <c r="C26" s="13">
        <v>247</v>
      </c>
      <c r="D26" s="13" t="s">
        <v>1875</v>
      </c>
      <c r="E26" s="13" t="s">
        <v>1876</v>
      </c>
      <c r="F26" s="13">
        <v>45.5</v>
      </c>
      <c r="G26" s="13">
        <v>87900</v>
      </c>
      <c r="H26" s="13">
        <v>3.5</v>
      </c>
      <c r="I26" s="13">
        <f t="shared" si="0"/>
        <v>25114.285714285714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  <c r="O26" s="13">
        <v>0</v>
      </c>
    </row>
    <row r="27" spans="1:15" x14ac:dyDescent="0.25">
      <c r="A27" s="13" t="s">
        <v>1648</v>
      </c>
      <c r="B27" s="13" t="s">
        <v>79</v>
      </c>
      <c r="C27" s="13">
        <v>640</v>
      </c>
      <c r="D27" s="13" t="s">
        <v>1875</v>
      </c>
      <c r="E27" s="13" t="s">
        <v>1876</v>
      </c>
      <c r="F27" s="13">
        <v>54.1</v>
      </c>
      <c r="G27" s="13">
        <v>155000</v>
      </c>
      <c r="H27" s="13">
        <v>3.5</v>
      </c>
      <c r="I27" s="13">
        <f t="shared" si="0"/>
        <v>38066.714285714283</v>
      </c>
      <c r="J27" s="13">
        <v>6219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</row>
    <row r="28" spans="1:15" x14ac:dyDescent="0.25">
      <c r="A28" s="13" t="s">
        <v>1649</v>
      </c>
      <c r="B28" s="13" t="s">
        <v>81</v>
      </c>
      <c r="C28" s="13">
        <v>396</v>
      </c>
      <c r="D28" s="13" t="s">
        <v>1875</v>
      </c>
      <c r="E28" s="13" t="s">
        <v>1876</v>
      </c>
      <c r="F28" s="13">
        <v>69.099999999999994</v>
      </c>
      <c r="G28" s="13">
        <v>133000</v>
      </c>
      <c r="H28" s="13">
        <v>3.5</v>
      </c>
      <c r="I28" s="13">
        <f t="shared" si="0"/>
        <v>38000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</row>
    <row r="29" spans="1:15" x14ac:dyDescent="0.25">
      <c r="A29" s="13" t="s">
        <v>1650</v>
      </c>
      <c r="B29" s="13" t="s">
        <v>82</v>
      </c>
      <c r="C29" s="13">
        <v>472</v>
      </c>
      <c r="D29" s="13" t="s">
        <v>1875</v>
      </c>
      <c r="E29" s="13" t="s">
        <v>1876</v>
      </c>
      <c r="F29" s="13">
        <v>46.8</v>
      </c>
      <c r="G29" s="13">
        <v>98800</v>
      </c>
      <c r="H29" s="13">
        <v>3.5</v>
      </c>
      <c r="I29" s="13">
        <f t="shared" si="0"/>
        <v>28228.571428571428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</row>
    <row r="30" spans="1:15" x14ac:dyDescent="0.25">
      <c r="A30" s="13" t="s">
        <v>1651</v>
      </c>
      <c r="B30" s="13" t="s">
        <v>83</v>
      </c>
      <c r="C30" s="13">
        <v>601</v>
      </c>
      <c r="D30" s="13" t="s">
        <v>1875</v>
      </c>
      <c r="E30" s="13" t="s">
        <v>1876</v>
      </c>
      <c r="F30" s="13">
        <v>45.9</v>
      </c>
      <c r="G30" s="13">
        <v>102000</v>
      </c>
      <c r="H30" s="13">
        <v>3.5</v>
      </c>
      <c r="I30" s="13">
        <f t="shared" si="0"/>
        <v>29142.857142857141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 s="13">
        <v>0</v>
      </c>
    </row>
    <row r="31" spans="1:15" x14ac:dyDescent="0.25">
      <c r="A31" s="13" t="s">
        <v>1652</v>
      </c>
      <c r="B31" s="13" t="s">
        <v>84</v>
      </c>
      <c r="C31" s="13">
        <v>679</v>
      </c>
      <c r="D31" s="13" t="s">
        <v>1875</v>
      </c>
      <c r="E31" s="13" t="s">
        <v>1876</v>
      </c>
      <c r="F31" s="13">
        <v>109.2</v>
      </c>
      <c r="G31" s="13">
        <v>213000</v>
      </c>
      <c r="H31" s="13">
        <v>3.5</v>
      </c>
      <c r="I31" s="13">
        <f t="shared" si="0"/>
        <v>60857.142857142855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 s="13">
        <v>0</v>
      </c>
    </row>
    <row r="32" spans="1:15" x14ac:dyDescent="0.25">
      <c r="A32" s="13" t="s">
        <v>1653</v>
      </c>
      <c r="B32" s="13" t="s">
        <v>85</v>
      </c>
      <c r="C32" s="13">
        <v>249</v>
      </c>
      <c r="D32" s="13" t="s">
        <v>1875</v>
      </c>
      <c r="E32" s="13" t="s">
        <v>1876</v>
      </c>
      <c r="F32" s="13">
        <v>91.8</v>
      </c>
      <c r="G32" s="13">
        <v>171000</v>
      </c>
      <c r="H32" s="13">
        <v>3.5</v>
      </c>
      <c r="I32" s="13">
        <f t="shared" si="0"/>
        <v>48857.142857142855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</row>
    <row r="33" spans="1:15" x14ac:dyDescent="0.25">
      <c r="A33" s="13" t="s">
        <v>1654</v>
      </c>
      <c r="B33" s="13" t="s">
        <v>86</v>
      </c>
      <c r="C33" s="13">
        <v>823</v>
      </c>
      <c r="D33" s="13" t="s">
        <v>1875</v>
      </c>
      <c r="E33" s="13" t="s">
        <v>1876</v>
      </c>
      <c r="F33" s="13">
        <v>92</v>
      </c>
      <c r="G33" s="13">
        <v>198000</v>
      </c>
      <c r="H33" s="13">
        <v>3.5</v>
      </c>
      <c r="I33" s="13">
        <f t="shared" si="0"/>
        <v>56571.428571428572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</row>
    <row r="34" spans="1:15" x14ac:dyDescent="0.25">
      <c r="A34" s="13" t="s">
        <v>1655</v>
      </c>
      <c r="B34" s="13" t="s">
        <v>87</v>
      </c>
      <c r="C34" s="13">
        <v>89</v>
      </c>
      <c r="D34" s="13" t="s">
        <v>1875</v>
      </c>
      <c r="E34" s="13" t="s">
        <v>1876</v>
      </c>
      <c r="F34" s="13">
        <v>41.2</v>
      </c>
      <c r="G34" s="13">
        <v>75800</v>
      </c>
      <c r="H34" s="13">
        <v>3.5</v>
      </c>
      <c r="I34" s="13">
        <f t="shared" si="0"/>
        <v>21657.142857142859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</row>
    <row r="35" spans="1:15" x14ac:dyDescent="0.25">
      <c r="A35" s="13" t="s">
        <v>1656</v>
      </c>
      <c r="B35" s="13" t="s">
        <v>88</v>
      </c>
      <c r="C35" s="13">
        <v>539</v>
      </c>
      <c r="D35" s="13" t="s">
        <v>1875</v>
      </c>
      <c r="E35" s="13" t="s">
        <v>1876</v>
      </c>
      <c r="F35" s="13">
        <v>120.6</v>
      </c>
      <c r="G35" s="13">
        <v>226000</v>
      </c>
      <c r="H35" s="13">
        <v>3.5</v>
      </c>
      <c r="I35" s="13">
        <f t="shared" si="0"/>
        <v>64571.428571428572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</row>
    <row r="36" spans="1:15" x14ac:dyDescent="0.25">
      <c r="A36" s="13" t="s">
        <v>1657</v>
      </c>
      <c r="B36" s="13" t="s">
        <v>89</v>
      </c>
      <c r="C36" s="13">
        <v>339</v>
      </c>
      <c r="D36" s="13" t="s">
        <v>1875</v>
      </c>
      <c r="E36" s="13" t="s">
        <v>1876</v>
      </c>
      <c r="F36" s="13">
        <v>84.5</v>
      </c>
      <c r="G36" s="13">
        <v>160000</v>
      </c>
      <c r="H36" s="13">
        <v>3.5</v>
      </c>
      <c r="I36" s="13">
        <f t="shared" si="0"/>
        <v>45714.285714285717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</row>
    <row r="37" spans="1:15" x14ac:dyDescent="0.25">
      <c r="A37" s="13" t="s">
        <v>1658</v>
      </c>
      <c r="B37" s="13" t="s">
        <v>90</v>
      </c>
      <c r="C37" s="13">
        <v>155</v>
      </c>
      <c r="D37" s="13" t="s">
        <v>1875</v>
      </c>
      <c r="E37" s="13" t="s">
        <v>1876</v>
      </c>
      <c r="F37" s="13">
        <v>67.900000000000006</v>
      </c>
      <c r="G37" s="13">
        <v>126000</v>
      </c>
      <c r="H37" s="13">
        <v>3.5</v>
      </c>
      <c r="I37" s="13">
        <f t="shared" si="0"/>
        <v>36000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</row>
    <row r="38" spans="1:15" x14ac:dyDescent="0.25">
      <c r="A38" s="13" t="s">
        <v>1659</v>
      </c>
      <c r="B38" s="13" t="s">
        <v>91</v>
      </c>
      <c r="C38" s="13">
        <v>1245</v>
      </c>
      <c r="D38" s="13" t="s">
        <v>1875</v>
      </c>
      <c r="E38" s="13" t="s">
        <v>1876</v>
      </c>
      <c r="F38" s="13">
        <v>111.2</v>
      </c>
      <c r="G38" s="13">
        <v>237000</v>
      </c>
      <c r="H38" s="13">
        <v>3.5</v>
      </c>
      <c r="I38" s="13">
        <f t="shared" si="0"/>
        <v>67714.28571428571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 s="13">
        <v>0</v>
      </c>
    </row>
    <row r="39" spans="1:15" x14ac:dyDescent="0.25">
      <c r="A39" s="13" t="s">
        <v>1660</v>
      </c>
      <c r="B39" s="13" t="s">
        <v>92</v>
      </c>
      <c r="C39" s="13">
        <v>349</v>
      </c>
      <c r="D39" s="13" t="s">
        <v>1875</v>
      </c>
      <c r="E39" s="13" t="s">
        <v>1876</v>
      </c>
      <c r="F39" s="13">
        <v>60.2</v>
      </c>
      <c r="G39" s="13">
        <v>119000</v>
      </c>
      <c r="H39" s="13">
        <v>3.5</v>
      </c>
      <c r="I39" s="13">
        <f t="shared" si="0"/>
        <v>34000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</row>
    <row r="40" spans="1:15" x14ac:dyDescent="0.25">
      <c r="A40" s="13" t="s">
        <v>1661</v>
      </c>
      <c r="B40" s="13" t="s">
        <v>93</v>
      </c>
      <c r="C40" s="13">
        <v>1050</v>
      </c>
      <c r="D40" s="13" t="s">
        <v>1875</v>
      </c>
      <c r="E40" s="13" t="s">
        <v>1876</v>
      </c>
      <c r="F40" s="13">
        <v>116.8</v>
      </c>
      <c r="G40" s="13">
        <v>238000</v>
      </c>
      <c r="H40" s="13">
        <v>3.5</v>
      </c>
      <c r="I40" s="13">
        <f t="shared" si="0"/>
        <v>68000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</row>
    <row r="41" spans="1:15" x14ac:dyDescent="0.25">
      <c r="A41" s="13" t="s">
        <v>1662</v>
      </c>
      <c r="B41" s="13" t="s">
        <v>94</v>
      </c>
      <c r="C41" s="13">
        <v>529</v>
      </c>
      <c r="D41" s="13" t="s">
        <v>1875</v>
      </c>
      <c r="E41" s="13" t="s">
        <v>1876</v>
      </c>
      <c r="F41" s="13">
        <v>88.7</v>
      </c>
      <c r="G41" s="13">
        <v>174000</v>
      </c>
      <c r="H41" s="13">
        <v>3.5</v>
      </c>
      <c r="I41" s="13">
        <f t="shared" si="0"/>
        <v>49714.285714285717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</row>
    <row r="42" spans="1:15" x14ac:dyDescent="0.25">
      <c r="A42" s="13" t="s">
        <v>1663</v>
      </c>
      <c r="B42" s="13" t="s">
        <v>95</v>
      </c>
      <c r="C42" s="13">
        <v>116</v>
      </c>
      <c r="D42" s="13" t="s">
        <v>1875</v>
      </c>
      <c r="E42" s="13" t="s">
        <v>1876</v>
      </c>
      <c r="F42" s="13">
        <v>58.1</v>
      </c>
      <c r="G42" s="13">
        <v>108000</v>
      </c>
      <c r="H42" s="13">
        <v>3.5</v>
      </c>
      <c r="I42" s="13">
        <f t="shared" si="0"/>
        <v>30857.142857142859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</row>
    <row r="43" spans="1:15" x14ac:dyDescent="0.25">
      <c r="A43" s="13" t="s">
        <v>1664</v>
      </c>
      <c r="B43" s="13" t="s">
        <v>96</v>
      </c>
      <c r="C43" s="13">
        <v>293</v>
      </c>
      <c r="D43" s="13" t="s">
        <v>1875</v>
      </c>
      <c r="E43" s="13" t="s">
        <v>1876</v>
      </c>
      <c r="F43" s="13">
        <v>51.8</v>
      </c>
      <c r="G43" s="13">
        <v>101000</v>
      </c>
      <c r="H43" s="13">
        <v>3.5</v>
      </c>
      <c r="I43" s="13">
        <f t="shared" si="0"/>
        <v>28857.142857142859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 s="13">
        <v>0</v>
      </c>
    </row>
    <row r="44" spans="1:15" x14ac:dyDescent="0.25">
      <c r="A44" s="13" t="s">
        <v>1665</v>
      </c>
      <c r="B44" s="13" t="s">
        <v>97</v>
      </c>
      <c r="C44" s="13">
        <v>182</v>
      </c>
      <c r="D44" s="13" t="s">
        <v>1875</v>
      </c>
      <c r="E44" s="13" t="s">
        <v>1876</v>
      </c>
      <c r="F44" s="13">
        <v>48.4</v>
      </c>
      <c r="G44" s="13">
        <v>88100</v>
      </c>
      <c r="H44" s="13">
        <v>3.5</v>
      </c>
      <c r="I44" s="13">
        <f t="shared" si="0"/>
        <v>25171.428571428572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</row>
    <row r="45" spans="1:15" x14ac:dyDescent="0.25">
      <c r="A45" s="13" t="s">
        <v>1666</v>
      </c>
      <c r="B45" s="13" t="s">
        <v>99</v>
      </c>
      <c r="C45" s="13">
        <v>106</v>
      </c>
      <c r="D45" s="13" t="s">
        <v>1875</v>
      </c>
      <c r="E45" s="13" t="s">
        <v>1876</v>
      </c>
      <c r="F45" s="13">
        <v>22.9</v>
      </c>
      <c r="G45" s="13">
        <v>44300</v>
      </c>
      <c r="H45" s="13">
        <v>3.5</v>
      </c>
      <c r="I45" s="13">
        <f t="shared" si="0"/>
        <v>12657.142857142857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</row>
    <row r="46" spans="1:15" x14ac:dyDescent="0.25">
      <c r="A46" s="13" t="s">
        <v>1667</v>
      </c>
      <c r="B46" s="13" t="s">
        <v>100</v>
      </c>
      <c r="C46" s="13">
        <v>213</v>
      </c>
      <c r="D46" s="13" t="s">
        <v>1875</v>
      </c>
      <c r="E46" s="13" t="s">
        <v>1876</v>
      </c>
      <c r="F46" s="13">
        <v>51</v>
      </c>
      <c r="G46" s="13">
        <v>94500</v>
      </c>
      <c r="H46" s="13">
        <v>3.5</v>
      </c>
      <c r="I46" s="13">
        <f t="shared" si="0"/>
        <v>27000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</row>
    <row r="47" spans="1:15" x14ac:dyDescent="0.25">
      <c r="A47" s="13" t="s">
        <v>1668</v>
      </c>
      <c r="B47" s="13" t="s">
        <v>101</v>
      </c>
      <c r="C47" s="13">
        <v>276</v>
      </c>
      <c r="D47" s="13" t="s">
        <v>1875</v>
      </c>
      <c r="E47" s="13" t="s">
        <v>1876</v>
      </c>
      <c r="F47" s="13">
        <v>62.9</v>
      </c>
      <c r="G47" s="13">
        <v>134000</v>
      </c>
      <c r="H47" s="13">
        <v>3.5</v>
      </c>
      <c r="I47" s="13">
        <f t="shared" si="0"/>
        <v>32066.714285714283</v>
      </c>
      <c r="J47" s="13">
        <v>6219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</row>
    <row r="48" spans="1:15" x14ac:dyDescent="0.25">
      <c r="A48" s="13" t="s">
        <v>1669</v>
      </c>
      <c r="B48" s="13" t="s">
        <v>103</v>
      </c>
      <c r="C48" s="13">
        <v>1440</v>
      </c>
      <c r="D48" s="13" t="s">
        <v>1875</v>
      </c>
      <c r="E48" s="13" t="s">
        <v>1876</v>
      </c>
      <c r="F48" s="13">
        <v>156.30000000000001</v>
      </c>
      <c r="G48" s="13">
        <v>417000</v>
      </c>
      <c r="H48" s="13">
        <v>3.5</v>
      </c>
      <c r="I48" s="13">
        <f t="shared" si="0"/>
        <v>119142.85714285714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</row>
    <row r="49" spans="1:15" x14ac:dyDescent="0.25">
      <c r="A49" s="13" t="s">
        <v>1670</v>
      </c>
      <c r="B49" s="13" t="s">
        <v>105</v>
      </c>
      <c r="C49" s="13">
        <v>1431</v>
      </c>
      <c r="D49" s="13" t="s">
        <v>1875</v>
      </c>
      <c r="E49" s="13" t="s">
        <v>1876</v>
      </c>
      <c r="F49" s="13">
        <v>125.4</v>
      </c>
      <c r="G49" s="13">
        <v>1460000</v>
      </c>
      <c r="H49" s="13">
        <v>3.5</v>
      </c>
      <c r="I49" s="13">
        <f t="shared" si="0"/>
        <v>417142.85714285716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</row>
    <row r="50" spans="1:15" x14ac:dyDescent="0.25">
      <c r="A50" s="13" t="s">
        <v>1671</v>
      </c>
      <c r="B50" s="13" t="s">
        <v>106</v>
      </c>
      <c r="C50" s="13">
        <v>540</v>
      </c>
      <c r="D50" s="13" t="s">
        <v>1875</v>
      </c>
      <c r="E50" s="13" t="s">
        <v>1876</v>
      </c>
      <c r="F50" s="13">
        <v>91.5</v>
      </c>
      <c r="G50" s="13">
        <v>178000</v>
      </c>
      <c r="H50" s="13">
        <v>3.5</v>
      </c>
      <c r="I50" s="13">
        <f t="shared" si="0"/>
        <v>50857.142857142855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 s="13">
        <v>0</v>
      </c>
    </row>
    <row r="51" spans="1:15" x14ac:dyDescent="0.25">
      <c r="A51" s="13" t="s">
        <v>1672</v>
      </c>
      <c r="B51" s="13" t="s">
        <v>107</v>
      </c>
      <c r="C51" s="13">
        <v>94</v>
      </c>
      <c r="D51" s="13" t="s">
        <v>1875</v>
      </c>
      <c r="E51" s="13" t="s">
        <v>1876</v>
      </c>
      <c r="F51" s="13">
        <v>30.2</v>
      </c>
      <c r="G51" s="13">
        <v>55800</v>
      </c>
      <c r="H51" s="13">
        <v>3.5</v>
      </c>
      <c r="I51" s="13">
        <f t="shared" si="0"/>
        <v>15942.857142857143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</row>
    <row r="52" spans="1:15" x14ac:dyDescent="0.25">
      <c r="A52" s="13" t="s">
        <v>1673</v>
      </c>
      <c r="B52" s="13" t="s">
        <v>108</v>
      </c>
      <c r="C52" s="13">
        <v>288</v>
      </c>
      <c r="D52" s="13" t="s">
        <v>1875</v>
      </c>
      <c r="E52" s="13" t="s">
        <v>1876</v>
      </c>
      <c r="F52" s="13">
        <v>44.8</v>
      </c>
      <c r="G52" s="13">
        <v>84100</v>
      </c>
      <c r="H52" s="13">
        <v>3.5</v>
      </c>
      <c r="I52" s="13">
        <f t="shared" si="0"/>
        <v>24028.571428571428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</row>
    <row r="53" spans="1:15" x14ac:dyDescent="0.25">
      <c r="A53" s="13" t="s">
        <v>1674</v>
      </c>
      <c r="B53" s="13" t="s">
        <v>109</v>
      </c>
      <c r="C53" s="13">
        <v>996</v>
      </c>
      <c r="D53" s="13" t="s">
        <v>1875</v>
      </c>
      <c r="E53" s="13" t="s">
        <v>1876</v>
      </c>
      <c r="F53" s="13">
        <v>144.1</v>
      </c>
      <c r="G53" s="13">
        <v>344000</v>
      </c>
      <c r="H53" s="13">
        <v>3.5</v>
      </c>
      <c r="I53" s="13">
        <f t="shared" si="0"/>
        <v>98285.71428571429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</row>
    <row r="54" spans="1:15" x14ac:dyDescent="0.25">
      <c r="A54" s="13" t="s">
        <v>1675</v>
      </c>
      <c r="B54" s="13" t="s">
        <v>110</v>
      </c>
      <c r="C54" s="13">
        <v>95</v>
      </c>
      <c r="D54" s="13" t="s">
        <v>1875</v>
      </c>
      <c r="E54" s="13" t="s">
        <v>1876</v>
      </c>
      <c r="F54" s="13">
        <v>21.3</v>
      </c>
      <c r="G54" s="13">
        <v>40000</v>
      </c>
      <c r="H54" s="13">
        <v>3.5</v>
      </c>
      <c r="I54" s="13">
        <f t="shared" si="0"/>
        <v>11428.571428571429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</row>
    <row r="55" spans="1:15" x14ac:dyDescent="0.25">
      <c r="A55" s="13" t="s">
        <v>1676</v>
      </c>
      <c r="B55" s="13" t="s">
        <v>111</v>
      </c>
      <c r="C55" s="13">
        <v>1832</v>
      </c>
      <c r="D55" s="13" t="s">
        <v>1875</v>
      </c>
      <c r="E55" s="13" t="s">
        <v>1876</v>
      </c>
      <c r="F55" s="13">
        <v>210.7</v>
      </c>
      <c r="G55" s="13">
        <v>428000</v>
      </c>
      <c r="H55" s="13">
        <v>3.5</v>
      </c>
      <c r="I55" s="13">
        <f t="shared" si="0"/>
        <v>122285.71428571429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 s="13">
        <v>0</v>
      </c>
    </row>
    <row r="56" spans="1:15" x14ac:dyDescent="0.25">
      <c r="A56" s="13" t="s">
        <v>1677</v>
      </c>
      <c r="B56" s="13" t="s">
        <v>112</v>
      </c>
      <c r="C56" s="13">
        <v>996</v>
      </c>
      <c r="D56" s="13" t="s">
        <v>1875</v>
      </c>
      <c r="E56" s="13" t="s">
        <v>1876</v>
      </c>
      <c r="F56" s="13">
        <v>81.7</v>
      </c>
      <c r="G56" s="13">
        <v>185000</v>
      </c>
      <c r="H56" s="13">
        <v>3.5</v>
      </c>
      <c r="I56" s="13">
        <f t="shared" si="0"/>
        <v>52857.142857142855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  <c r="O56" s="13">
        <v>0</v>
      </c>
    </row>
    <row r="57" spans="1:15" x14ac:dyDescent="0.25">
      <c r="A57" s="13" t="s">
        <v>1678</v>
      </c>
      <c r="B57" s="13" t="s">
        <v>113</v>
      </c>
      <c r="C57" s="13">
        <v>572</v>
      </c>
      <c r="D57" s="13" t="s">
        <v>1875</v>
      </c>
      <c r="E57" s="13" t="s">
        <v>1876</v>
      </c>
      <c r="F57" s="13">
        <v>104.1</v>
      </c>
      <c r="G57" s="13">
        <v>198000</v>
      </c>
      <c r="H57" s="13">
        <v>3.5</v>
      </c>
      <c r="I57" s="13">
        <f t="shared" si="0"/>
        <v>56571.428571428572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 s="13">
        <v>0</v>
      </c>
    </row>
    <row r="58" spans="1:15" x14ac:dyDescent="0.25">
      <c r="A58" s="13" t="s">
        <v>1679</v>
      </c>
      <c r="B58" s="13" t="s">
        <v>114</v>
      </c>
      <c r="C58" s="13">
        <v>116</v>
      </c>
      <c r="D58" s="13" t="s">
        <v>1875</v>
      </c>
      <c r="E58" s="13" t="s">
        <v>1876</v>
      </c>
      <c r="F58" s="13">
        <v>46.6</v>
      </c>
      <c r="G58" s="13">
        <v>88000</v>
      </c>
      <c r="H58" s="13">
        <v>3.5</v>
      </c>
      <c r="I58" s="13">
        <f t="shared" si="0"/>
        <v>25142.857142857141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 s="13">
        <v>0</v>
      </c>
    </row>
    <row r="59" spans="1:15" x14ac:dyDescent="0.25">
      <c r="A59" s="13" t="s">
        <v>1680</v>
      </c>
      <c r="B59" s="13" t="s">
        <v>115</v>
      </c>
      <c r="C59" s="13">
        <v>738</v>
      </c>
      <c r="D59" s="13" t="s">
        <v>1875</v>
      </c>
      <c r="E59" s="13" t="s">
        <v>1876</v>
      </c>
      <c r="F59" s="13">
        <v>103</v>
      </c>
      <c r="G59" s="13">
        <v>253000</v>
      </c>
      <c r="H59" s="13">
        <v>3.5</v>
      </c>
      <c r="I59" s="13">
        <f t="shared" si="0"/>
        <v>61229.71428571429</v>
      </c>
      <c r="J59" s="13">
        <v>11056</v>
      </c>
      <c r="K59" s="13">
        <v>0</v>
      </c>
      <c r="L59" s="13">
        <v>0</v>
      </c>
      <c r="M59" s="13">
        <v>0</v>
      </c>
      <c r="N59" s="13">
        <v>0</v>
      </c>
      <c r="O59" s="13">
        <v>0</v>
      </c>
    </row>
    <row r="60" spans="1:15" x14ac:dyDescent="0.25">
      <c r="A60" s="13" t="s">
        <v>1681</v>
      </c>
      <c r="B60" s="13" t="s">
        <v>116</v>
      </c>
      <c r="C60" s="13">
        <v>1728</v>
      </c>
      <c r="D60" s="13" t="s">
        <v>1875</v>
      </c>
      <c r="E60" s="13" t="s">
        <v>1876</v>
      </c>
      <c r="F60" s="13">
        <v>166</v>
      </c>
      <c r="G60" s="13">
        <v>342000</v>
      </c>
      <c r="H60" s="13">
        <v>3.5</v>
      </c>
      <c r="I60" s="13">
        <f t="shared" si="0"/>
        <v>97714.28571428571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  <c r="O60" s="13">
        <v>0</v>
      </c>
    </row>
    <row r="61" spans="1:15" x14ac:dyDescent="0.25">
      <c r="A61" s="13" t="s">
        <v>1682</v>
      </c>
      <c r="B61" s="13" t="s">
        <v>117</v>
      </c>
      <c r="C61" s="13">
        <v>345</v>
      </c>
      <c r="D61" s="13" t="s">
        <v>1875</v>
      </c>
      <c r="E61" s="13" t="s">
        <v>1876</v>
      </c>
      <c r="F61" s="13">
        <v>96.7</v>
      </c>
      <c r="G61" s="13">
        <v>185000</v>
      </c>
      <c r="H61" s="13">
        <v>3.5</v>
      </c>
      <c r="I61" s="13">
        <f t="shared" si="0"/>
        <v>52857.142857142855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  <c r="O61" s="13">
        <v>0</v>
      </c>
    </row>
    <row r="62" spans="1:15" x14ac:dyDescent="0.25">
      <c r="A62" s="13" t="s">
        <v>1683</v>
      </c>
      <c r="B62" s="13" t="s">
        <v>118</v>
      </c>
      <c r="C62" s="13">
        <v>507</v>
      </c>
      <c r="D62" s="13" t="s">
        <v>1875</v>
      </c>
      <c r="E62" s="13" t="s">
        <v>1876</v>
      </c>
      <c r="F62" s="13">
        <v>37.799999999999997</v>
      </c>
      <c r="G62" s="13">
        <v>118000</v>
      </c>
      <c r="H62" s="13">
        <v>3.5</v>
      </c>
      <c r="I62" s="13">
        <f t="shared" si="0"/>
        <v>27495.285714285717</v>
      </c>
      <c r="J62" s="13">
        <v>6219</v>
      </c>
      <c r="K62" s="13">
        <v>0</v>
      </c>
      <c r="L62" s="13">
        <v>0</v>
      </c>
      <c r="M62" s="13">
        <v>0</v>
      </c>
      <c r="N62" s="13">
        <v>0</v>
      </c>
      <c r="O62" s="13">
        <v>0</v>
      </c>
    </row>
    <row r="63" spans="1:15" x14ac:dyDescent="0.25">
      <c r="A63" s="13" t="s">
        <v>1684</v>
      </c>
      <c r="B63" s="13" t="s">
        <v>119</v>
      </c>
      <c r="C63" s="13">
        <v>191</v>
      </c>
      <c r="D63" s="13" t="s">
        <v>1875</v>
      </c>
      <c r="E63" s="13" t="s">
        <v>1876</v>
      </c>
      <c r="F63" s="13">
        <v>52.9</v>
      </c>
      <c r="G63" s="13">
        <v>108000</v>
      </c>
      <c r="H63" s="13">
        <v>3.5</v>
      </c>
      <c r="I63" s="13">
        <f t="shared" si="0"/>
        <v>30857.142857142859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 s="13">
        <v>0</v>
      </c>
    </row>
    <row r="64" spans="1:15" x14ac:dyDescent="0.25">
      <c r="A64" s="13" t="s">
        <v>1685</v>
      </c>
      <c r="B64" s="13" t="s">
        <v>120</v>
      </c>
      <c r="C64" s="13">
        <v>231</v>
      </c>
      <c r="D64" s="13" t="s">
        <v>1875</v>
      </c>
      <c r="E64" s="13" t="s">
        <v>1876</v>
      </c>
      <c r="F64" s="13">
        <v>53.8</v>
      </c>
      <c r="G64" s="13">
        <v>104000</v>
      </c>
      <c r="H64" s="13">
        <v>3.5</v>
      </c>
      <c r="I64" s="13">
        <f t="shared" si="0"/>
        <v>29714.285714285714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 s="13">
        <v>0</v>
      </c>
    </row>
    <row r="65" spans="1:15" x14ac:dyDescent="0.25">
      <c r="A65" s="13" t="s">
        <v>1686</v>
      </c>
      <c r="B65" s="13" t="s">
        <v>121</v>
      </c>
      <c r="C65" s="13">
        <v>857</v>
      </c>
      <c r="D65" s="13" t="s">
        <v>1875</v>
      </c>
      <c r="E65" s="13" t="s">
        <v>1876</v>
      </c>
      <c r="F65" s="13">
        <v>116.1</v>
      </c>
      <c r="G65" s="13">
        <v>232000</v>
      </c>
      <c r="H65" s="13">
        <v>3.5</v>
      </c>
      <c r="I65" s="13">
        <f t="shared" si="0"/>
        <v>66285.71428571429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 s="13">
        <v>0</v>
      </c>
    </row>
    <row r="66" spans="1:15" x14ac:dyDescent="0.25">
      <c r="A66" s="13" t="s">
        <v>1687</v>
      </c>
      <c r="B66" s="13" t="s">
        <v>122</v>
      </c>
      <c r="C66" s="13">
        <v>321</v>
      </c>
      <c r="D66" s="13" t="s">
        <v>1875</v>
      </c>
      <c r="E66" s="13" t="s">
        <v>1876</v>
      </c>
      <c r="F66" s="13">
        <v>77.7</v>
      </c>
      <c r="G66" s="13">
        <v>142000</v>
      </c>
      <c r="H66" s="13">
        <v>3.5</v>
      </c>
      <c r="I66" s="13">
        <f t="shared" si="0"/>
        <v>40571.428571428572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 s="13">
        <v>0</v>
      </c>
    </row>
    <row r="67" spans="1:15" x14ac:dyDescent="0.25">
      <c r="A67" s="13" t="s">
        <v>1688</v>
      </c>
      <c r="B67" s="13" t="s">
        <v>123</v>
      </c>
      <c r="C67" s="13">
        <v>712</v>
      </c>
      <c r="D67" s="13" t="s">
        <v>1875</v>
      </c>
      <c r="E67" s="13" t="s">
        <v>1876</v>
      </c>
      <c r="F67" s="13">
        <v>134.80000000000001</v>
      </c>
      <c r="G67" s="13">
        <v>256000</v>
      </c>
      <c r="H67" s="13">
        <v>3.5</v>
      </c>
      <c r="I67" s="13">
        <f t="shared" ref="I67:I130" si="1">G67/H67-SUM(J67:O67)</f>
        <v>73142.857142857145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 s="13">
        <v>0</v>
      </c>
    </row>
    <row r="68" spans="1:15" x14ac:dyDescent="0.25">
      <c r="A68" s="13" t="s">
        <v>1689</v>
      </c>
      <c r="B68" s="13" t="s">
        <v>124</v>
      </c>
      <c r="C68" s="13">
        <v>502</v>
      </c>
      <c r="D68" s="13" t="s">
        <v>1875</v>
      </c>
      <c r="E68" s="13" t="s">
        <v>1876</v>
      </c>
      <c r="F68" s="13">
        <v>59.7</v>
      </c>
      <c r="G68" s="13">
        <v>122000</v>
      </c>
      <c r="H68" s="13">
        <v>3.5</v>
      </c>
      <c r="I68" s="13">
        <f t="shared" si="1"/>
        <v>34857.142857142855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 s="13">
        <v>0</v>
      </c>
    </row>
    <row r="69" spans="1:15" x14ac:dyDescent="0.25">
      <c r="A69" s="13" t="s">
        <v>1690</v>
      </c>
      <c r="B69" s="13" t="s">
        <v>125</v>
      </c>
      <c r="C69" s="13">
        <v>850</v>
      </c>
      <c r="D69" s="13" t="s">
        <v>1875</v>
      </c>
      <c r="E69" s="13" t="s">
        <v>1876</v>
      </c>
      <c r="F69" s="13">
        <v>98.5</v>
      </c>
      <c r="G69" s="13">
        <v>259000</v>
      </c>
      <c r="H69" s="13">
        <v>3.5</v>
      </c>
      <c r="I69" s="13">
        <f t="shared" si="1"/>
        <v>62944</v>
      </c>
      <c r="J69" s="13">
        <v>11056</v>
      </c>
      <c r="K69" s="13">
        <v>0</v>
      </c>
      <c r="L69" s="13">
        <v>0</v>
      </c>
      <c r="M69" s="13">
        <v>0</v>
      </c>
      <c r="N69" s="13">
        <v>0</v>
      </c>
      <c r="O69" s="13">
        <v>0</v>
      </c>
    </row>
    <row r="70" spans="1:15" x14ac:dyDescent="0.25">
      <c r="A70" s="13" t="s">
        <v>1691</v>
      </c>
      <c r="B70" s="13" t="s">
        <v>126</v>
      </c>
      <c r="C70" s="13">
        <v>763</v>
      </c>
      <c r="D70" s="13" t="s">
        <v>1875</v>
      </c>
      <c r="E70" s="13" t="s">
        <v>1876</v>
      </c>
      <c r="F70" s="13">
        <v>77.7</v>
      </c>
      <c r="G70" s="13">
        <v>166000</v>
      </c>
      <c r="H70" s="13">
        <v>3.5</v>
      </c>
      <c r="I70" s="13">
        <f t="shared" si="1"/>
        <v>47428.571428571428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 s="13">
        <v>0</v>
      </c>
    </row>
    <row r="71" spans="1:15" x14ac:dyDescent="0.25">
      <c r="A71" s="13" t="s">
        <v>1692</v>
      </c>
      <c r="B71" s="13" t="s">
        <v>127</v>
      </c>
      <c r="C71" s="13">
        <v>126</v>
      </c>
      <c r="D71" s="13" t="s">
        <v>1875</v>
      </c>
      <c r="E71" s="13" t="s">
        <v>1876</v>
      </c>
      <c r="F71" s="13">
        <v>29.9</v>
      </c>
      <c r="G71" s="13">
        <v>56900</v>
      </c>
      <c r="H71" s="13">
        <v>3.5</v>
      </c>
      <c r="I71" s="13">
        <f t="shared" si="1"/>
        <v>16257.142857142857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 s="13">
        <v>0</v>
      </c>
    </row>
    <row r="72" spans="1:15" x14ac:dyDescent="0.25">
      <c r="A72" s="13" t="s">
        <v>1693</v>
      </c>
      <c r="B72" s="13" t="s">
        <v>128</v>
      </c>
      <c r="C72" s="13">
        <v>1790</v>
      </c>
      <c r="D72" s="13" t="s">
        <v>1875</v>
      </c>
      <c r="E72" s="13" t="s">
        <v>1876</v>
      </c>
      <c r="F72" s="13">
        <v>126.5</v>
      </c>
      <c r="G72" s="13">
        <v>388000</v>
      </c>
      <c r="H72" s="13">
        <v>3.5</v>
      </c>
      <c r="I72" s="13">
        <f t="shared" si="1"/>
        <v>99801.142857142855</v>
      </c>
      <c r="J72" s="13">
        <v>11056</v>
      </c>
      <c r="K72" s="13">
        <v>0</v>
      </c>
      <c r="L72" s="13">
        <v>0</v>
      </c>
      <c r="M72" s="13">
        <v>0</v>
      </c>
      <c r="N72" s="13">
        <v>0</v>
      </c>
      <c r="O72" s="13">
        <v>0</v>
      </c>
    </row>
    <row r="73" spans="1:15" x14ac:dyDescent="0.25">
      <c r="A73" s="13" t="s">
        <v>1694</v>
      </c>
      <c r="B73" s="13" t="s">
        <v>129</v>
      </c>
      <c r="C73" s="13">
        <v>195</v>
      </c>
      <c r="D73" s="13" t="s">
        <v>1875</v>
      </c>
      <c r="E73" s="13" t="s">
        <v>1876</v>
      </c>
      <c r="F73" s="13">
        <v>64.400000000000006</v>
      </c>
      <c r="G73" s="13">
        <v>128000</v>
      </c>
      <c r="H73" s="13">
        <v>3.5</v>
      </c>
      <c r="I73" s="13">
        <f t="shared" si="1"/>
        <v>30352.428571428572</v>
      </c>
      <c r="J73" s="13">
        <v>6219</v>
      </c>
      <c r="K73" s="13">
        <v>0</v>
      </c>
      <c r="L73" s="13">
        <v>0</v>
      </c>
      <c r="M73" s="13">
        <v>0</v>
      </c>
      <c r="N73" s="13">
        <v>0</v>
      </c>
      <c r="O73" s="13">
        <v>0</v>
      </c>
    </row>
    <row r="74" spans="1:15" x14ac:dyDescent="0.25">
      <c r="A74" s="13" t="s">
        <v>1695</v>
      </c>
      <c r="B74" s="13" t="s">
        <v>130</v>
      </c>
      <c r="C74" s="13">
        <v>325</v>
      </c>
      <c r="D74" s="13" t="s">
        <v>1875</v>
      </c>
      <c r="E74" s="13" t="s">
        <v>1876</v>
      </c>
      <c r="F74" s="13">
        <v>107.4</v>
      </c>
      <c r="G74" s="13">
        <v>202000</v>
      </c>
      <c r="H74" s="13">
        <v>3.5</v>
      </c>
      <c r="I74" s="13">
        <f t="shared" si="1"/>
        <v>57714.285714285717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  <c r="O74" s="13">
        <v>0</v>
      </c>
    </row>
    <row r="75" spans="1:15" x14ac:dyDescent="0.25">
      <c r="A75" s="13" t="s">
        <v>1696</v>
      </c>
      <c r="B75" s="13" t="s">
        <v>131</v>
      </c>
      <c r="C75" s="13">
        <v>238</v>
      </c>
      <c r="D75" s="13" t="s">
        <v>1875</v>
      </c>
      <c r="E75" s="13" t="s">
        <v>1876</v>
      </c>
      <c r="F75" s="13">
        <v>31</v>
      </c>
      <c r="G75" s="13">
        <v>61300</v>
      </c>
      <c r="H75" s="13">
        <v>3.5</v>
      </c>
      <c r="I75" s="13">
        <f t="shared" si="1"/>
        <v>17514.285714285714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  <c r="O75" s="13">
        <v>0</v>
      </c>
    </row>
    <row r="76" spans="1:15" x14ac:dyDescent="0.25">
      <c r="A76" s="13" t="s">
        <v>1697</v>
      </c>
      <c r="B76" s="13" t="s">
        <v>132</v>
      </c>
      <c r="C76" s="13">
        <v>175</v>
      </c>
      <c r="D76" s="13" t="s">
        <v>1875</v>
      </c>
      <c r="E76" s="13" t="s">
        <v>1876</v>
      </c>
      <c r="F76" s="13">
        <v>42.2</v>
      </c>
      <c r="G76" s="13">
        <v>86800</v>
      </c>
      <c r="H76" s="13">
        <v>3.5</v>
      </c>
      <c r="I76" s="13">
        <f t="shared" si="1"/>
        <v>18581</v>
      </c>
      <c r="J76" s="13">
        <v>6219</v>
      </c>
      <c r="K76" s="13">
        <v>0</v>
      </c>
      <c r="L76" s="13">
        <v>0</v>
      </c>
      <c r="M76" s="13">
        <v>0</v>
      </c>
      <c r="N76" s="13">
        <v>0</v>
      </c>
      <c r="O76" s="13">
        <v>0</v>
      </c>
    </row>
    <row r="77" spans="1:15" x14ac:dyDescent="0.25">
      <c r="A77" s="13" t="s">
        <v>1698</v>
      </c>
      <c r="B77" s="13" t="s">
        <v>133</v>
      </c>
      <c r="C77" s="13">
        <v>1455</v>
      </c>
      <c r="D77" s="13" t="s">
        <v>1875</v>
      </c>
      <c r="E77" s="13" t="s">
        <v>1876</v>
      </c>
      <c r="F77" s="13">
        <v>113.7</v>
      </c>
      <c r="G77" s="13">
        <v>251000</v>
      </c>
      <c r="H77" s="13">
        <v>3.5</v>
      </c>
      <c r="I77" s="13">
        <f t="shared" si="1"/>
        <v>71714.28571428571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  <c r="O77" s="13">
        <v>0</v>
      </c>
    </row>
    <row r="78" spans="1:15" x14ac:dyDescent="0.25">
      <c r="A78" s="13" t="s">
        <v>1699</v>
      </c>
      <c r="B78" s="13" t="s">
        <v>134</v>
      </c>
      <c r="C78" s="13">
        <v>958</v>
      </c>
      <c r="D78" s="13" t="s">
        <v>1875</v>
      </c>
      <c r="E78" s="13" t="s">
        <v>1876</v>
      </c>
      <c r="F78" s="13">
        <v>151.80000000000001</v>
      </c>
      <c r="G78" s="13">
        <v>356000</v>
      </c>
      <c r="H78" s="13">
        <v>3.5</v>
      </c>
      <c r="I78" s="13">
        <f t="shared" si="1"/>
        <v>90658.28571428571</v>
      </c>
      <c r="J78" s="13">
        <v>11056</v>
      </c>
      <c r="K78" s="13">
        <v>0</v>
      </c>
      <c r="L78" s="13">
        <v>0</v>
      </c>
      <c r="M78" s="13">
        <v>0</v>
      </c>
      <c r="N78" s="13">
        <v>0</v>
      </c>
      <c r="O78" s="13">
        <v>0</v>
      </c>
    </row>
    <row r="79" spans="1:15" x14ac:dyDescent="0.25">
      <c r="A79" s="13" t="s">
        <v>1700</v>
      </c>
      <c r="B79" s="13" t="s">
        <v>135</v>
      </c>
      <c r="C79" s="13">
        <v>1072</v>
      </c>
      <c r="D79" s="13" t="s">
        <v>1875</v>
      </c>
      <c r="E79" s="13" t="s">
        <v>1876</v>
      </c>
      <c r="F79" s="13">
        <v>140.5</v>
      </c>
      <c r="G79" s="13">
        <v>349000</v>
      </c>
      <c r="H79" s="13">
        <v>3.5</v>
      </c>
      <c r="I79" s="13">
        <f t="shared" si="1"/>
        <v>88658.28571428571</v>
      </c>
      <c r="J79" s="13">
        <v>11056</v>
      </c>
      <c r="K79" s="13">
        <v>0</v>
      </c>
      <c r="L79" s="13">
        <v>0</v>
      </c>
      <c r="M79" s="13">
        <v>0</v>
      </c>
      <c r="N79" s="13">
        <v>0</v>
      </c>
      <c r="O79" s="13">
        <v>0</v>
      </c>
    </row>
    <row r="80" spans="1:15" x14ac:dyDescent="0.25">
      <c r="A80" s="13" t="s">
        <v>1701</v>
      </c>
      <c r="B80" s="13" t="s">
        <v>136</v>
      </c>
      <c r="C80" s="13">
        <v>254</v>
      </c>
      <c r="D80" s="13" t="s">
        <v>1875</v>
      </c>
      <c r="E80" s="13" t="s">
        <v>1876</v>
      </c>
      <c r="F80" s="13">
        <v>39.5</v>
      </c>
      <c r="G80" s="13">
        <v>78700</v>
      </c>
      <c r="H80" s="13">
        <v>3.5</v>
      </c>
      <c r="I80" s="13">
        <f t="shared" si="1"/>
        <v>22485.714285714286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 s="13">
        <v>0</v>
      </c>
    </row>
    <row r="81" spans="1:15" x14ac:dyDescent="0.25">
      <c r="A81" s="13" t="s">
        <v>1702</v>
      </c>
      <c r="B81" s="13" t="s">
        <v>137</v>
      </c>
      <c r="C81" s="13">
        <v>898</v>
      </c>
      <c r="D81" s="13" t="s">
        <v>1875</v>
      </c>
      <c r="E81" s="13" t="s">
        <v>1876</v>
      </c>
      <c r="F81" s="13">
        <v>138.9</v>
      </c>
      <c r="G81" s="13">
        <v>328000</v>
      </c>
      <c r="H81" s="13">
        <v>3.5</v>
      </c>
      <c r="I81" s="13">
        <f t="shared" si="1"/>
        <v>82658.28571428571</v>
      </c>
      <c r="J81" s="13">
        <v>11056</v>
      </c>
      <c r="K81" s="13">
        <v>0</v>
      </c>
      <c r="L81" s="13">
        <v>0</v>
      </c>
      <c r="M81" s="13">
        <v>0</v>
      </c>
      <c r="N81" s="13">
        <v>0</v>
      </c>
      <c r="O81" s="13">
        <v>0</v>
      </c>
    </row>
    <row r="82" spans="1:15" x14ac:dyDescent="0.25">
      <c r="A82" s="13" t="s">
        <v>1703</v>
      </c>
      <c r="B82" s="13" t="s">
        <v>138</v>
      </c>
      <c r="C82" s="13">
        <v>598</v>
      </c>
      <c r="D82" s="13" t="s">
        <v>1875</v>
      </c>
      <c r="E82" s="13" t="s">
        <v>1876</v>
      </c>
      <c r="F82" s="13">
        <v>116.3</v>
      </c>
      <c r="G82" s="13">
        <v>259000</v>
      </c>
      <c r="H82" s="13">
        <v>3.5</v>
      </c>
      <c r="I82" s="13">
        <f t="shared" si="1"/>
        <v>62944</v>
      </c>
      <c r="J82" s="13">
        <v>11056</v>
      </c>
      <c r="K82" s="13">
        <v>0</v>
      </c>
      <c r="L82" s="13">
        <v>0</v>
      </c>
      <c r="M82" s="13">
        <v>0</v>
      </c>
      <c r="N82" s="13">
        <v>0</v>
      </c>
      <c r="O82" s="13">
        <v>0</v>
      </c>
    </row>
    <row r="83" spans="1:15" x14ac:dyDescent="0.25">
      <c r="A83" s="13" t="s">
        <v>1704</v>
      </c>
      <c r="B83" s="13" t="s">
        <v>139</v>
      </c>
      <c r="C83" s="13">
        <v>427</v>
      </c>
      <c r="D83" s="13" t="s">
        <v>1875</v>
      </c>
      <c r="E83" s="13" t="s">
        <v>1876</v>
      </c>
      <c r="F83" s="13">
        <v>53.5</v>
      </c>
      <c r="G83" s="13">
        <v>106000</v>
      </c>
      <c r="H83" s="13">
        <v>3.5</v>
      </c>
      <c r="I83" s="13">
        <f t="shared" si="1"/>
        <v>30285.714285714286</v>
      </c>
      <c r="J83" s="13">
        <v>0</v>
      </c>
      <c r="K83" s="13">
        <v>0</v>
      </c>
      <c r="L83" s="13">
        <v>0</v>
      </c>
      <c r="M83" s="13">
        <v>0</v>
      </c>
      <c r="N83" s="13">
        <v>0</v>
      </c>
      <c r="O83" s="13">
        <v>0</v>
      </c>
    </row>
    <row r="84" spans="1:15" x14ac:dyDescent="0.25">
      <c r="A84" s="13" t="s">
        <v>1705</v>
      </c>
      <c r="B84" s="13" t="s">
        <v>140</v>
      </c>
      <c r="C84" s="13">
        <v>382</v>
      </c>
      <c r="D84" s="13" t="s">
        <v>1875</v>
      </c>
      <c r="E84" s="13" t="s">
        <v>1876</v>
      </c>
      <c r="F84" s="13">
        <v>70.099999999999994</v>
      </c>
      <c r="G84" s="13">
        <v>155000</v>
      </c>
      <c r="H84" s="13">
        <v>3.5</v>
      </c>
      <c r="I84" s="13">
        <f t="shared" si="1"/>
        <v>38066.714285714283</v>
      </c>
      <c r="J84" s="13">
        <v>6219</v>
      </c>
      <c r="K84" s="13">
        <v>0</v>
      </c>
      <c r="L84" s="13">
        <v>0</v>
      </c>
      <c r="M84" s="13">
        <v>0</v>
      </c>
      <c r="N84" s="13">
        <v>0</v>
      </c>
      <c r="O84" s="13">
        <v>0</v>
      </c>
    </row>
    <row r="85" spans="1:15" x14ac:dyDescent="0.25">
      <c r="A85" s="13" t="s">
        <v>1706</v>
      </c>
      <c r="B85" s="13" t="s">
        <v>141</v>
      </c>
      <c r="C85" s="13">
        <v>566</v>
      </c>
      <c r="D85" s="13" t="s">
        <v>1875</v>
      </c>
      <c r="E85" s="13" t="s">
        <v>1876</v>
      </c>
      <c r="F85" s="13">
        <v>147</v>
      </c>
      <c r="G85" s="13">
        <v>274000</v>
      </c>
      <c r="H85" s="13">
        <v>3.5</v>
      </c>
      <c r="I85" s="13">
        <f t="shared" si="1"/>
        <v>78285.71428571429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 s="13">
        <v>0</v>
      </c>
    </row>
    <row r="86" spans="1:15" x14ac:dyDescent="0.25">
      <c r="A86" s="13" t="s">
        <v>1707</v>
      </c>
      <c r="B86" s="13" t="s">
        <v>142</v>
      </c>
      <c r="C86" s="13">
        <v>651</v>
      </c>
      <c r="D86" s="13" t="s">
        <v>1875</v>
      </c>
      <c r="E86" s="13" t="s">
        <v>1876</v>
      </c>
      <c r="F86" s="13">
        <v>74.599999999999994</v>
      </c>
      <c r="G86" s="13">
        <v>190000</v>
      </c>
      <c r="H86" s="13">
        <v>3.5</v>
      </c>
      <c r="I86" s="13">
        <f t="shared" si="1"/>
        <v>43229.714285714283</v>
      </c>
      <c r="J86" s="13">
        <v>11056</v>
      </c>
      <c r="K86" s="13">
        <v>0</v>
      </c>
      <c r="L86" s="13">
        <v>0</v>
      </c>
      <c r="M86" s="13">
        <v>0</v>
      </c>
      <c r="N86" s="13">
        <v>0</v>
      </c>
      <c r="O86" s="13">
        <v>0</v>
      </c>
    </row>
    <row r="87" spans="1:15" x14ac:dyDescent="0.25">
      <c r="A87" s="13" t="s">
        <v>1708</v>
      </c>
      <c r="B87" s="13" t="s">
        <v>143</v>
      </c>
      <c r="C87" s="13">
        <v>201</v>
      </c>
      <c r="D87" s="13" t="s">
        <v>1875</v>
      </c>
      <c r="E87" s="13" t="s">
        <v>1876</v>
      </c>
      <c r="F87" s="13">
        <v>43.8</v>
      </c>
      <c r="G87" s="13">
        <v>83700</v>
      </c>
      <c r="H87" s="13">
        <v>3.5</v>
      </c>
      <c r="I87" s="13">
        <f t="shared" si="1"/>
        <v>23914.285714285714</v>
      </c>
      <c r="J87" s="13">
        <v>0</v>
      </c>
      <c r="K87" s="13">
        <v>0</v>
      </c>
      <c r="L87" s="13">
        <v>0</v>
      </c>
      <c r="M87" s="13">
        <v>0</v>
      </c>
      <c r="N87" s="13">
        <v>0</v>
      </c>
      <c r="O87" s="13">
        <v>0</v>
      </c>
    </row>
    <row r="88" spans="1:15" x14ac:dyDescent="0.25">
      <c r="A88" s="13" t="s">
        <v>1709</v>
      </c>
      <c r="B88" s="13" t="s">
        <v>144</v>
      </c>
      <c r="C88" s="13">
        <v>262</v>
      </c>
      <c r="D88" s="13" t="s">
        <v>1875</v>
      </c>
      <c r="E88" s="13" t="s">
        <v>1876</v>
      </c>
      <c r="F88" s="13">
        <v>37.5</v>
      </c>
      <c r="G88" s="13">
        <v>71500</v>
      </c>
      <c r="H88" s="13">
        <v>3.5</v>
      </c>
      <c r="I88" s="13">
        <f t="shared" si="1"/>
        <v>20428.571428571428</v>
      </c>
      <c r="J88" s="13">
        <v>0</v>
      </c>
      <c r="K88" s="13">
        <v>0</v>
      </c>
      <c r="L88" s="13">
        <v>0</v>
      </c>
      <c r="M88" s="13">
        <v>0</v>
      </c>
      <c r="N88" s="13">
        <v>0</v>
      </c>
      <c r="O88" s="13">
        <v>0</v>
      </c>
    </row>
    <row r="89" spans="1:15" x14ac:dyDescent="0.25">
      <c r="A89" s="13" t="s">
        <v>1710</v>
      </c>
      <c r="B89" s="13" t="s">
        <v>145</v>
      </c>
      <c r="C89" s="13">
        <v>2698</v>
      </c>
      <c r="D89" s="13" t="s">
        <v>1875</v>
      </c>
      <c r="E89" s="13" t="s">
        <v>1876</v>
      </c>
      <c r="F89" s="13">
        <v>342.8</v>
      </c>
      <c r="G89" s="13">
        <v>865000</v>
      </c>
      <c r="H89" s="13">
        <v>3.5</v>
      </c>
      <c r="I89" s="13">
        <f t="shared" si="1"/>
        <v>236086.85714285713</v>
      </c>
      <c r="J89" s="13">
        <v>11056</v>
      </c>
      <c r="K89" s="13">
        <v>0</v>
      </c>
      <c r="L89" s="13">
        <v>0</v>
      </c>
      <c r="M89" s="13">
        <v>0</v>
      </c>
      <c r="N89" s="13">
        <v>0</v>
      </c>
      <c r="O89" s="13">
        <v>0</v>
      </c>
    </row>
    <row r="90" spans="1:15" x14ac:dyDescent="0.25">
      <c r="A90" s="13" t="s">
        <v>1711</v>
      </c>
      <c r="B90" s="13" t="s">
        <v>146</v>
      </c>
      <c r="C90" s="13">
        <v>502</v>
      </c>
      <c r="D90" s="13" t="s">
        <v>1875</v>
      </c>
      <c r="E90" s="13" t="s">
        <v>1876</v>
      </c>
      <c r="F90" s="13">
        <v>110.4</v>
      </c>
      <c r="G90" s="13">
        <v>238000</v>
      </c>
      <c r="H90" s="13">
        <v>3.5</v>
      </c>
      <c r="I90" s="13">
        <f t="shared" si="1"/>
        <v>68000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 s="13">
        <v>0</v>
      </c>
    </row>
    <row r="91" spans="1:15" x14ac:dyDescent="0.25">
      <c r="A91" s="13" t="s">
        <v>1712</v>
      </c>
      <c r="B91" s="13" t="s">
        <v>147</v>
      </c>
      <c r="C91" s="13">
        <v>1594</v>
      </c>
      <c r="D91" s="13" t="s">
        <v>1875</v>
      </c>
      <c r="E91" s="13" t="s">
        <v>1876</v>
      </c>
      <c r="F91" s="13">
        <v>181.7</v>
      </c>
      <c r="G91" s="13">
        <v>375000</v>
      </c>
      <c r="H91" s="13">
        <v>3.5</v>
      </c>
      <c r="I91" s="13">
        <f t="shared" si="1"/>
        <v>107142.85714285714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  <c r="O91" s="13">
        <v>0</v>
      </c>
    </row>
    <row r="92" spans="1:15" x14ac:dyDescent="0.25">
      <c r="A92" s="13" t="s">
        <v>1713</v>
      </c>
      <c r="B92" s="13" t="s">
        <v>148</v>
      </c>
      <c r="C92" s="13">
        <v>216</v>
      </c>
      <c r="D92" s="13" t="s">
        <v>1875</v>
      </c>
      <c r="E92" s="13" t="s">
        <v>1876</v>
      </c>
      <c r="F92" s="13">
        <v>41.3</v>
      </c>
      <c r="G92" s="13">
        <v>262000</v>
      </c>
      <c r="H92" s="13">
        <v>3.5</v>
      </c>
      <c r="I92" s="13">
        <f t="shared" si="1"/>
        <v>74857.142857142855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 s="13">
        <v>0</v>
      </c>
    </row>
    <row r="93" spans="1:15" x14ac:dyDescent="0.25">
      <c r="A93" s="13" t="s">
        <v>1714</v>
      </c>
      <c r="B93" s="13" t="s">
        <v>149</v>
      </c>
      <c r="C93" s="13">
        <v>129</v>
      </c>
      <c r="D93" s="13" t="s">
        <v>1875</v>
      </c>
      <c r="E93" s="13" t="s">
        <v>1876</v>
      </c>
      <c r="F93" s="13">
        <v>28.9</v>
      </c>
      <c r="G93" s="13">
        <v>54800</v>
      </c>
      <c r="H93" s="13">
        <v>3.5</v>
      </c>
      <c r="I93" s="13">
        <f t="shared" si="1"/>
        <v>15657.142857142857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 s="13">
        <v>0</v>
      </c>
    </row>
    <row r="94" spans="1:15" x14ac:dyDescent="0.25">
      <c r="A94" s="13" t="s">
        <v>1715</v>
      </c>
      <c r="B94" s="13" t="s">
        <v>150</v>
      </c>
      <c r="C94" s="13">
        <v>368</v>
      </c>
      <c r="D94" s="13" t="s">
        <v>1875</v>
      </c>
      <c r="E94" s="13" t="s">
        <v>1876</v>
      </c>
      <c r="F94" s="13">
        <v>77.900000000000006</v>
      </c>
      <c r="G94" s="13">
        <v>155000</v>
      </c>
      <c r="H94" s="13">
        <v>3.5</v>
      </c>
      <c r="I94" s="13">
        <f t="shared" si="1"/>
        <v>44285.714285714283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 s="13">
        <v>0</v>
      </c>
    </row>
    <row r="95" spans="1:15" x14ac:dyDescent="0.25">
      <c r="A95" s="13" t="s">
        <v>1716</v>
      </c>
      <c r="B95" s="13" t="s">
        <v>151</v>
      </c>
      <c r="C95" s="13">
        <v>142</v>
      </c>
      <c r="D95" s="13" t="s">
        <v>1875</v>
      </c>
      <c r="E95" s="13" t="s">
        <v>1876</v>
      </c>
      <c r="F95" s="13">
        <v>30.7</v>
      </c>
      <c r="G95" s="13">
        <v>66000</v>
      </c>
      <c r="H95" s="13">
        <v>3.5</v>
      </c>
      <c r="I95" s="13">
        <f t="shared" si="1"/>
        <v>12638.142857142859</v>
      </c>
      <c r="J95" s="13">
        <v>6219</v>
      </c>
      <c r="K95" s="13">
        <v>0</v>
      </c>
      <c r="L95" s="13">
        <v>0</v>
      </c>
      <c r="M95" s="13">
        <v>0</v>
      </c>
      <c r="N95" s="13">
        <v>0</v>
      </c>
      <c r="O95" s="13">
        <v>0</v>
      </c>
    </row>
    <row r="96" spans="1:15" x14ac:dyDescent="0.25">
      <c r="A96" s="13" t="s">
        <v>1717</v>
      </c>
      <c r="B96" s="13" t="s">
        <v>152</v>
      </c>
      <c r="C96" s="13">
        <v>1292</v>
      </c>
      <c r="D96" s="13" t="s">
        <v>1875</v>
      </c>
      <c r="E96" s="13" t="s">
        <v>1876</v>
      </c>
      <c r="F96" s="13">
        <v>146.9</v>
      </c>
      <c r="G96" s="13">
        <v>304000</v>
      </c>
      <c r="H96" s="13">
        <v>3.5</v>
      </c>
      <c r="I96" s="13">
        <f t="shared" si="1"/>
        <v>86857.142857142855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  <c r="O96" s="13">
        <v>0</v>
      </c>
    </row>
    <row r="97" spans="1:15" x14ac:dyDescent="0.25">
      <c r="A97" s="13" t="s">
        <v>1718</v>
      </c>
      <c r="B97" s="13" t="s">
        <v>153</v>
      </c>
      <c r="C97" s="13">
        <v>1719</v>
      </c>
      <c r="D97" s="13" t="s">
        <v>1875</v>
      </c>
      <c r="E97" s="13" t="s">
        <v>1876</v>
      </c>
      <c r="F97" s="13">
        <v>179.3</v>
      </c>
      <c r="G97" s="13">
        <v>367000</v>
      </c>
      <c r="H97" s="13">
        <v>3.5</v>
      </c>
      <c r="I97" s="13">
        <f t="shared" si="1"/>
        <v>104857.14285714286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 s="13">
        <v>0</v>
      </c>
    </row>
    <row r="98" spans="1:15" x14ac:dyDescent="0.25">
      <c r="A98" s="13" t="s">
        <v>1719</v>
      </c>
      <c r="B98" s="13" t="s">
        <v>154</v>
      </c>
      <c r="C98" s="13">
        <v>1704</v>
      </c>
      <c r="D98" s="13" t="s">
        <v>1875</v>
      </c>
      <c r="E98" s="13" t="s">
        <v>1876</v>
      </c>
      <c r="F98" s="13">
        <v>141.30000000000001</v>
      </c>
      <c r="G98" s="13">
        <v>416000</v>
      </c>
      <c r="H98" s="13">
        <v>3.5</v>
      </c>
      <c r="I98" s="13">
        <f t="shared" si="1"/>
        <v>107801.14285714286</v>
      </c>
      <c r="J98" s="13">
        <v>11056</v>
      </c>
      <c r="K98" s="13">
        <v>0</v>
      </c>
      <c r="L98" s="13">
        <v>0</v>
      </c>
      <c r="M98" s="13">
        <v>0</v>
      </c>
      <c r="N98" s="13">
        <v>0</v>
      </c>
      <c r="O98" s="13">
        <v>0</v>
      </c>
    </row>
    <row r="99" spans="1:15" x14ac:dyDescent="0.25">
      <c r="A99" s="13" t="s">
        <v>1720</v>
      </c>
      <c r="B99" s="13" t="s">
        <v>155</v>
      </c>
      <c r="C99" s="13">
        <v>3061</v>
      </c>
      <c r="D99" s="13" t="s">
        <v>1875</v>
      </c>
      <c r="E99" s="13" t="s">
        <v>1876</v>
      </c>
      <c r="F99" s="13">
        <v>393.1</v>
      </c>
      <c r="G99" s="13">
        <v>980000</v>
      </c>
      <c r="H99" s="13">
        <v>3.5</v>
      </c>
      <c r="I99" s="13">
        <f t="shared" si="1"/>
        <v>245450</v>
      </c>
      <c r="J99" s="13">
        <v>34550</v>
      </c>
      <c r="K99" s="13">
        <v>0</v>
      </c>
      <c r="L99" s="13">
        <v>0</v>
      </c>
      <c r="M99" s="13">
        <v>0</v>
      </c>
      <c r="N99" s="13">
        <v>0</v>
      </c>
      <c r="O99" s="13">
        <v>0</v>
      </c>
    </row>
    <row r="100" spans="1:15" x14ac:dyDescent="0.25">
      <c r="A100" s="13" t="s">
        <v>1721</v>
      </c>
      <c r="B100" s="13" t="s">
        <v>156</v>
      </c>
      <c r="C100" s="13">
        <v>3519</v>
      </c>
      <c r="D100" s="13" t="s">
        <v>1875</v>
      </c>
      <c r="E100" s="13" t="s">
        <v>1876</v>
      </c>
      <c r="F100" s="13">
        <v>185.5</v>
      </c>
      <c r="G100" s="13">
        <v>679000</v>
      </c>
      <c r="H100" s="13">
        <v>3.5</v>
      </c>
      <c r="I100" s="13">
        <f t="shared" si="1"/>
        <v>194000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 s="13">
        <v>0</v>
      </c>
    </row>
    <row r="101" spans="1:15" x14ac:dyDescent="0.25">
      <c r="A101" s="13" t="s">
        <v>1722</v>
      </c>
      <c r="B101" s="13" t="s">
        <v>157</v>
      </c>
      <c r="C101" s="13">
        <v>648</v>
      </c>
      <c r="D101" s="13" t="s">
        <v>1875</v>
      </c>
      <c r="E101" s="13" t="s">
        <v>1876</v>
      </c>
      <c r="F101" s="13">
        <v>124.6</v>
      </c>
      <c r="G101" s="13">
        <v>279000</v>
      </c>
      <c r="H101" s="13">
        <v>3.5</v>
      </c>
      <c r="I101" s="13">
        <f t="shared" si="1"/>
        <v>68658.28571428571</v>
      </c>
      <c r="J101" s="13">
        <v>11056</v>
      </c>
      <c r="K101" s="13">
        <v>0</v>
      </c>
      <c r="L101" s="13">
        <v>0</v>
      </c>
      <c r="M101" s="13">
        <v>0</v>
      </c>
      <c r="N101" s="13">
        <v>0</v>
      </c>
      <c r="O101" s="13">
        <v>0</v>
      </c>
    </row>
    <row r="102" spans="1:15" x14ac:dyDescent="0.25">
      <c r="A102" s="13" t="s">
        <v>1723</v>
      </c>
      <c r="B102" s="13" t="s">
        <v>158</v>
      </c>
      <c r="C102" s="13">
        <v>698</v>
      </c>
      <c r="D102" s="13" t="s">
        <v>1875</v>
      </c>
      <c r="E102" s="13" t="s">
        <v>1876</v>
      </c>
      <c r="F102" s="13">
        <v>49.7</v>
      </c>
      <c r="G102" s="13">
        <v>690000</v>
      </c>
      <c r="H102" s="13">
        <v>3.5</v>
      </c>
      <c r="I102" s="13">
        <f t="shared" si="1"/>
        <v>197142.85714285713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 s="13">
        <v>0</v>
      </c>
    </row>
    <row r="103" spans="1:15" x14ac:dyDescent="0.25">
      <c r="A103" s="13" t="s">
        <v>1724</v>
      </c>
      <c r="B103" s="13" t="s">
        <v>159</v>
      </c>
      <c r="C103" s="13">
        <v>343</v>
      </c>
      <c r="D103" s="13" t="s">
        <v>1875</v>
      </c>
      <c r="E103" s="13" t="s">
        <v>1876</v>
      </c>
      <c r="F103" s="13">
        <v>55</v>
      </c>
      <c r="G103" s="13">
        <v>105000</v>
      </c>
      <c r="H103" s="13">
        <v>3.5</v>
      </c>
      <c r="I103" s="13">
        <f t="shared" si="1"/>
        <v>30000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 s="13">
        <v>0</v>
      </c>
    </row>
    <row r="104" spans="1:15" x14ac:dyDescent="0.25">
      <c r="A104" s="13" t="s">
        <v>1725</v>
      </c>
      <c r="B104" s="13" t="s">
        <v>160</v>
      </c>
      <c r="C104" s="13">
        <v>516</v>
      </c>
      <c r="D104" s="13" t="s">
        <v>1875</v>
      </c>
      <c r="E104" s="13" t="s">
        <v>1876</v>
      </c>
      <c r="F104" s="13">
        <v>63</v>
      </c>
      <c r="G104" s="13">
        <v>130000</v>
      </c>
      <c r="H104" s="13">
        <v>3.5</v>
      </c>
      <c r="I104" s="13">
        <f t="shared" si="1"/>
        <v>37142.857142857145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 s="13">
        <v>0</v>
      </c>
    </row>
    <row r="105" spans="1:15" x14ac:dyDescent="0.25">
      <c r="A105" s="13" t="s">
        <v>1726</v>
      </c>
      <c r="B105" s="13" t="s">
        <v>161</v>
      </c>
      <c r="C105" s="13">
        <v>662</v>
      </c>
      <c r="D105" s="13" t="s">
        <v>1875</v>
      </c>
      <c r="E105" s="13" t="s">
        <v>1876</v>
      </c>
      <c r="F105" s="13">
        <v>122.8</v>
      </c>
      <c r="G105" s="13">
        <v>273000</v>
      </c>
      <c r="H105" s="13">
        <v>3.5</v>
      </c>
      <c r="I105" s="13">
        <f t="shared" si="1"/>
        <v>66944</v>
      </c>
      <c r="J105" s="13">
        <v>11056</v>
      </c>
      <c r="K105" s="13">
        <v>0</v>
      </c>
      <c r="L105" s="13">
        <v>0</v>
      </c>
      <c r="M105" s="13">
        <v>0</v>
      </c>
      <c r="N105" s="13">
        <v>0</v>
      </c>
      <c r="O105" s="13">
        <v>0</v>
      </c>
    </row>
    <row r="106" spans="1:15" x14ac:dyDescent="0.25">
      <c r="A106" s="13" t="s">
        <v>1727</v>
      </c>
      <c r="B106" s="13" t="s">
        <v>162</v>
      </c>
      <c r="C106" s="13">
        <v>704</v>
      </c>
      <c r="D106" s="13" t="s">
        <v>1875</v>
      </c>
      <c r="E106" s="13" t="s">
        <v>1876</v>
      </c>
      <c r="F106" s="13">
        <v>79.5</v>
      </c>
      <c r="G106" s="13">
        <v>158000</v>
      </c>
      <c r="H106" s="13">
        <v>3.5</v>
      </c>
      <c r="I106" s="13">
        <f t="shared" si="1"/>
        <v>45142.857142857145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  <c r="O106" s="13">
        <v>0</v>
      </c>
    </row>
    <row r="107" spans="1:15" x14ac:dyDescent="0.25">
      <c r="A107" s="13" t="s">
        <v>1728</v>
      </c>
      <c r="B107" s="13" t="s">
        <v>163</v>
      </c>
      <c r="C107" s="13">
        <v>1101</v>
      </c>
      <c r="D107" s="13" t="s">
        <v>1875</v>
      </c>
      <c r="E107" s="13" t="s">
        <v>1876</v>
      </c>
      <c r="F107" s="13">
        <v>91.3</v>
      </c>
      <c r="G107" s="13">
        <v>270000</v>
      </c>
      <c r="H107" s="13">
        <v>3.5</v>
      </c>
      <c r="I107" s="13">
        <f t="shared" si="1"/>
        <v>66086.857142857145</v>
      </c>
      <c r="J107" s="13">
        <v>11056</v>
      </c>
      <c r="K107" s="13">
        <v>0</v>
      </c>
      <c r="L107" s="13">
        <v>0</v>
      </c>
      <c r="M107" s="13">
        <v>0</v>
      </c>
      <c r="N107" s="13">
        <v>0</v>
      </c>
      <c r="O107" s="13">
        <v>0</v>
      </c>
    </row>
    <row r="108" spans="1:15" x14ac:dyDescent="0.25">
      <c r="A108" s="13" t="s">
        <v>1729</v>
      </c>
      <c r="B108" s="13" t="s">
        <v>164</v>
      </c>
      <c r="C108" s="13">
        <v>376</v>
      </c>
      <c r="D108" s="13" t="s">
        <v>1875</v>
      </c>
      <c r="E108" s="13" t="s">
        <v>1876</v>
      </c>
      <c r="F108" s="13">
        <v>123.1</v>
      </c>
      <c r="G108" s="13">
        <v>230000</v>
      </c>
      <c r="H108" s="13">
        <v>3.5</v>
      </c>
      <c r="I108" s="13">
        <f t="shared" si="1"/>
        <v>65714.28571428571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 s="13">
        <v>0</v>
      </c>
    </row>
    <row r="109" spans="1:15" x14ac:dyDescent="0.25">
      <c r="A109" s="13" t="s">
        <v>1730</v>
      </c>
      <c r="B109" s="13" t="s">
        <v>165</v>
      </c>
      <c r="C109" s="13">
        <v>1039</v>
      </c>
      <c r="D109" s="13" t="s">
        <v>1875</v>
      </c>
      <c r="E109" s="13" t="s">
        <v>1876</v>
      </c>
      <c r="F109" s="13">
        <v>112</v>
      </c>
      <c r="G109" s="13">
        <v>232000</v>
      </c>
      <c r="H109" s="13">
        <v>3.5</v>
      </c>
      <c r="I109" s="13">
        <f t="shared" si="1"/>
        <v>66285.71428571429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  <c r="O109" s="13">
        <v>0</v>
      </c>
    </row>
    <row r="110" spans="1:15" x14ac:dyDescent="0.25">
      <c r="A110" s="13" t="s">
        <v>1731</v>
      </c>
      <c r="B110" s="13" t="s">
        <v>166</v>
      </c>
      <c r="C110" s="13">
        <v>195</v>
      </c>
      <c r="D110" s="13" t="s">
        <v>1875</v>
      </c>
      <c r="E110" s="13" t="s">
        <v>1876</v>
      </c>
      <c r="F110" s="13">
        <v>53</v>
      </c>
      <c r="G110" s="13">
        <v>265000</v>
      </c>
      <c r="H110" s="13">
        <v>3.5</v>
      </c>
      <c r="I110" s="13">
        <f t="shared" si="1"/>
        <v>75714.28571428571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 s="13">
        <v>0</v>
      </c>
    </row>
    <row r="111" spans="1:15" x14ac:dyDescent="0.25">
      <c r="A111" s="13" t="s">
        <v>1732</v>
      </c>
      <c r="B111" s="13" t="s">
        <v>167</v>
      </c>
      <c r="C111" s="13">
        <v>4137</v>
      </c>
      <c r="D111" s="13" t="s">
        <v>1875</v>
      </c>
      <c r="E111" s="13" t="s">
        <v>1876</v>
      </c>
      <c r="F111" s="13">
        <v>541.29999999999995</v>
      </c>
      <c r="G111" s="13">
        <v>1360000</v>
      </c>
      <c r="H111" s="13">
        <v>3.5</v>
      </c>
      <c r="I111" s="13">
        <f t="shared" si="1"/>
        <v>388571.42857142858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 s="13">
        <v>0</v>
      </c>
    </row>
    <row r="112" spans="1:15" x14ac:dyDescent="0.25">
      <c r="A112" s="13" t="s">
        <v>1733</v>
      </c>
      <c r="B112" s="13" t="s">
        <v>168</v>
      </c>
      <c r="C112" s="13">
        <v>4487</v>
      </c>
      <c r="D112" s="13" t="s">
        <v>1875</v>
      </c>
      <c r="E112" s="13" t="s">
        <v>1876</v>
      </c>
      <c r="F112" s="13">
        <v>565.1</v>
      </c>
      <c r="G112" s="13">
        <v>1450000</v>
      </c>
      <c r="H112" s="13">
        <v>3.5</v>
      </c>
      <c r="I112" s="13">
        <f t="shared" si="1"/>
        <v>379735.71428571426</v>
      </c>
      <c r="J112" s="13">
        <v>34550</v>
      </c>
      <c r="K112" s="13">
        <v>0</v>
      </c>
      <c r="L112" s="13">
        <v>0</v>
      </c>
      <c r="M112" s="13">
        <v>0</v>
      </c>
      <c r="N112" s="13">
        <v>0</v>
      </c>
      <c r="O112" s="13">
        <v>0</v>
      </c>
    </row>
    <row r="113" spans="1:15" x14ac:dyDescent="0.25">
      <c r="A113" s="13" t="s">
        <v>1734</v>
      </c>
      <c r="B113" s="13" t="s">
        <v>169</v>
      </c>
      <c r="C113" s="13">
        <v>912</v>
      </c>
      <c r="D113" s="13" t="s">
        <v>1875</v>
      </c>
      <c r="E113" s="13" t="s">
        <v>1876</v>
      </c>
      <c r="F113" s="13">
        <v>194.8</v>
      </c>
      <c r="G113" s="13">
        <v>421000</v>
      </c>
      <c r="H113" s="13">
        <v>3.5</v>
      </c>
      <c r="I113" s="13">
        <f t="shared" si="1"/>
        <v>109229.71428571429</v>
      </c>
      <c r="J113" s="13">
        <v>11056</v>
      </c>
      <c r="K113" s="13">
        <v>0</v>
      </c>
      <c r="L113" s="13">
        <v>0</v>
      </c>
      <c r="M113" s="13">
        <v>0</v>
      </c>
      <c r="N113" s="13">
        <v>0</v>
      </c>
      <c r="O113" s="13">
        <v>0</v>
      </c>
    </row>
    <row r="114" spans="1:15" x14ac:dyDescent="0.25">
      <c r="A114" s="13" t="s">
        <v>1735</v>
      </c>
      <c r="B114" s="13" t="s">
        <v>170</v>
      </c>
      <c r="C114" s="13">
        <v>2052</v>
      </c>
      <c r="D114" s="13" t="s">
        <v>1875</v>
      </c>
      <c r="E114" s="13" t="s">
        <v>1876</v>
      </c>
      <c r="F114" s="13">
        <v>336.3</v>
      </c>
      <c r="G114" s="13">
        <v>2380000</v>
      </c>
      <c r="H114" s="13">
        <v>3.5</v>
      </c>
      <c r="I114" s="13">
        <f t="shared" si="1"/>
        <v>680000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  <c r="O114" s="13">
        <v>0</v>
      </c>
    </row>
    <row r="115" spans="1:15" x14ac:dyDescent="0.25">
      <c r="A115" s="13" t="s">
        <v>1736</v>
      </c>
      <c r="B115" s="13" t="s">
        <v>171</v>
      </c>
      <c r="C115" s="13">
        <v>375</v>
      </c>
      <c r="D115" s="13" t="s">
        <v>1875</v>
      </c>
      <c r="E115" s="13" t="s">
        <v>1876</v>
      </c>
      <c r="F115" s="13">
        <v>134</v>
      </c>
      <c r="G115" s="13">
        <v>250000</v>
      </c>
      <c r="H115" s="13">
        <v>3.5</v>
      </c>
      <c r="I115" s="13">
        <f t="shared" si="1"/>
        <v>71428.571428571435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 s="13">
        <v>0</v>
      </c>
    </row>
    <row r="116" spans="1:15" x14ac:dyDescent="0.25">
      <c r="A116" s="13" t="s">
        <v>1737</v>
      </c>
      <c r="B116" s="13" t="s">
        <v>172</v>
      </c>
      <c r="C116" s="13">
        <v>147</v>
      </c>
      <c r="D116" s="13" t="s">
        <v>1875</v>
      </c>
      <c r="E116" s="13" t="s">
        <v>1876</v>
      </c>
      <c r="F116" s="13">
        <v>37.799999999999997</v>
      </c>
      <c r="G116" s="13">
        <v>73100</v>
      </c>
      <c r="H116" s="13">
        <v>3.5</v>
      </c>
      <c r="I116" s="13">
        <f t="shared" si="1"/>
        <v>20885.714285714286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 s="13">
        <v>0</v>
      </c>
    </row>
    <row r="117" spans="1:15" x14ac:dyDescent="0.25">
      <c r="A117" s="13" t="s">
        <v>1738</v>
      </c>
      <c r="B117" s="13" t="s">
        <v>173</v>
      </c>
      <c r="C117" s="13">
        <v>2428</v>
      </c>
      <c r="D117" s="13" t="s">
        <v>1875</v>
      </c>
      <c r="E117" s="13" t="s">
        <v>1876</v>
      </c>
      <c r="F117" s="13">
        <v>396.2</v>
      </c>
      <c r="G117" s="13">
        <v>776000</v>
      </c>
      <c r="H117" s="13">
        <v>3.5</v>
      </c>
      <c r="I117" s="13">
        <f t="shared" si="1"/>
        <v>221714.28571428571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  <c r="O117" s="13">
        <v>0</v>
      </c>
    </row>
    <row r="118" spans="1:15" x14ac:dyDescent="0.25">
      <c r="A118" s="13" t="s">
        <v>1739</v>
      </c>
      <c r="B118" s="13" t="s">
        <v>174</v>
      </c>
      <c r="C118" s="13">
        <v>1045</v>
      </c>
      <c r="D118" s="13" t="s">
        <v>1875</v>
      </c>
      <c r="E118" s="13" t="s">
        <v>1876</v>
      </c>
      <c r="F118" s="13">
        <v>107.1</v>
      </c>
      <c r="G118" s="13">
        <v>219000</v>
      </c>
      <c r="H118" s="13">
        <v>3.5</v>
      </c>
      <c r="I118" s="13">
        <f t="shared" si="1"/>
        <v>62571.428571428572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 s="13">
        <v>0</v>
      </c>
    </row>
    <row r="119" spans="1:15" x14ac:dyDescent="0.25">
      <c r="A119" s="13" t="s">
        <v>1740</v>
      </c>
      <c r="B119" s="13" t="s">
        <v>175</v>
      </c>
      <c r="C119" s="13">
        <v>1119</v>
      </c>
      <c r="D119" s="13" t="s">
        <v>1875</v>
      </c>
      <c r="E119" s="13" t="s">
        <v>1876</v>
      </c>
      <c r="F119" s="13">
        <v>229.2</v>
      </c>
      <c r="G119" s="13">
        <v>441000</v>
      </c>
      <c r="H119" s="13">
        <v>3.5</v>
      </c>
      <c r="I119" s="13">
        <f t="shared" si="1"/>
        <v>126000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 s="13">
        <v>0</v>
      </c>
    </row>
    <row r="120" spans="1:15" x14ac:dyDescent="0.25">
      <c r="A120" s="13" t="s">
        <v>1741</v>
      </c>
      <c r="B120" s="13" t="s">
        <v>176</v>
      </c>
      <c r="C120" s="13">
        <v>514</v>
      </c>
      <c r="D120" s="13" t="s">
        <v>1875</v>
      </c>
      <c r="E120" s="13" t="s">
        <v>1876</v>
      </c>
      <c r="F120" s="13">
        <v>150.80000000000001</v>
      </c>
      <c r="G120" s="13">
        <v>284000</v>
      </c>
      <c r="H120" s="13">
        <v>3.5</v>
      </c>
      <c r="I120" s="13">
        <f t="shared" si="1"/>
        <v>81142.857142857145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 s="13">
        <v>0</v>
      </c>
    </row>
    <row r="121" spans="1:15" x14ac:dyDescent="0.25">
      <c r="A121" s="13" t="s">
        <v>1742</v>
      </c>
      <c r="B121" s="13" t="s">
        <v>177</v>
      </c>
      <c r="C121" s="13">
        <v>286</v>
      </c>
      <c r="D121" s="13" t="s">
        <v>1875</v>
      </c>
      <c r="E121" s="13" t="s">
        <v>1876</v>
      </c>
      <c r="F121" s="13">
        <v>50.2</v>
      </c>
      <c r="G121" s="13">
        <v>114000</v>
      </c>
      <c r="H121" s="13">
        <v>3.5</v>
      </c>
      <c r="I121" s="13">
        <f t="shared" si="1"/>
        <v>26352.428571428572</v>
      </c>
      <c r="J121" s="13">
        <v>6219</v>
      </c>
      <c r="K121" s="13">
        <v>0</v>
      </c>
      <c r="L121" s="13">
        <v>0</v>
      </c>
      <c r="M121" s="13">
        <v>0</v>
      </c>
      <c r="N121" s="13">
        <v>0</v>
      </c>
      <c r="O121" s="13">
        <v>0</v>
      </c>
    </row>
    <row r="122" spans="1:15" x14ac:dyDescent="0.25">
      <c r="A122" s="13" t="s">
        <v>1743</v>
      </c>
      <c r="B122" s="13" t="s">
        <v>178</v>
      </c>
      <c r="C122" s="13">
        <v>2806</v>
      </c>
      <c r="D122" s="13" t="s">
        <v>1875</v>
      </c>
      <c r="E122" s="13" t="s">
        <v>1876</v>
      </c>
      <c r="F122" s="13">
        <v>387.4</v>
      </c>
      <c r="G122" s="13">
        <v>777000</v>
      </c>
      <c r="H122" s="13">
        <v>3.5</v>
      </c>
      <c r="I122" s="13">
        <f t="shared" si="1"/>
        <v>222000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 s="13">
        <v>0</v>
      </c>
    </row>
    <row r="123" spans="1:15" x14ac:dyDescent="0.25">
      <c r="A123" s="13" t="s">
        <v>1744</v>
      </c>
      <c r="B123" s="13" t="s">
        <v>179</v>
      </c>
      <c r="C123" s="13">
        <v>1470</v>
      </c>
      <c r="D123" s="13" t="s">
        <v>1875</v>
      </c>
      <c r="E123" s="13" t="s">
        <v>1876</v>
      </c>
      <c r="F123" s="13">
        <v>295.10000000000002</v>
      </c>
      <c r="G123" s="13">
        <v>571000</v>
      </c>
      <c r="H123" s="13">
        <v>3.5</v>
      </c>
      <c r="I123" s="13">
        <f t="shared" si="1"/>
        <v>163142.85714285713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 s="13">
        <v>0</v>
      </c>
    </row>
    <row r="124" spans="1:15" x14ac:dyDescent="0.25">
      <c r="A124" s="13" t="s">
        <v>1745</v>
      </c>
      <c r="B124" s="13" t="s">
        <v>180</v>
      </c>
      <c r="C124" s="13">
        <v>2039</v>
      </c>
      <c r="D124" s="13" t="s">
        <v>1875</v>
      </c>
      <c r="E124" s="13" t="s">
        <v>1876</v>
      </c>
      <c r="F124" s="13">
        <v>173.4</v>
      </c>
      <c r="G124" s="13">
        <v>505000</v>
      </c>
      <c r="H124" s="13">
        <v>3.5</v>
      </c>
      <c r="I124" s="13">
        <f t="shared" si="1"/>
        <v>109735.71428571429</v>
      </c>
      <c r="J124" s="13">
        <v>34550</v>
      </c>
      <c r="K124" s="13">
        <v>0</v>
      </c>
      <c r="L124" s="13">
        <v>0</v>
      </c>
      <c r="M124" s="13">
        <v>0</v>
      </c>
      <c r="N124" s="13">
        <v>0</v>
      </c>
      <c r="O124" s="13">
        <v>0</v>
      </c>
    </row>
    <row r="125" spans="1:15" x14ac:dyDescent="0.25">
      <c r="A125" s="13" t="s">
        <v>1746</v>
      </c>
      <c r="B125" s="13" t="s">
        <v>181</v>
      </c>
      <c r="C125" s="13">
        <v>2856</v>
      </c>
      <c r="D125" s="13" t="s">
        <v>1875</v>
      </c>
      <c r="E125" s="13" t="s">
        <v>1876</v>
      </c>
      <c r="F125" s="13">
        <v>320.3</v>
      </c>
      <c r="G125" s="13">
        <v>657000</v>
      </c>
      <c r="H125" s="13">
        <v>3.5</v>
      </c>
      <c r="I125" s="13">
        <f t="shared" si="1"/>
        <v>187714.28571428571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 s="13">
        <v>0</v>
      </c>
    </row>
    <row r="126" spans="1:15" x14ac:dyDescent="0.25">
      <c r="A126" s="13" t="s">
        <v>1747</v>
      </c>
      <c r="B126" s="13" t="s">
        <v>182</v>
      </c>
      <c r="C126" s="13">
        <v>4511</v>
      </c>
      <c r="D126" s="13" t="s">
        <v>1875</v>
      </c>
      <c r="E126" s="13" t="s">
        <v>1876</v>
      </c>
      <c r="F126" s="13">
        <v>289.7</v>
      </c>
      <c r="G126" s="13">
        <v>947000</v>
      </c>
      <c r="H126" s="13">
        <v>3.5</v>
      </c>
      <c r="I126" s="13">
        <f t="shared" si="1"/>
        <v>236021.42857142858</v>
      </c>
      <c r="J126" s="13">
        <v>34550</v>
      </c>
      <c r="K126" s="13">
        <v>0</v>
      </c>
      <c r="L126" s="13">
        <v>0</v>
      </c>
      <c r="M126" s="13">
        <v>0</v>
      </c>
      <c r="N126" s="13">
        <v>0</v>
      </c>
      <c r="O126" s="13">
        <v>0</v>
      </c>
    </row>
    <row r="127" spans="1:15" x14ac:dyDescent="0.25">
      <c r="A127" s="13" t="s">
        <v>1748</v>
      </c>
      <c r="B127" s="13" t="s">
        <v>183</v>
      </c>
      <c r="C127" s="13">
        <v>1548</v>
      </c>
      <c r="D127" s="13" t="s">
        <v>1875</v>
      </c>
      <c r="E127" s="13" t="s">
        <v>1876</v>
      </c>
      <c r="F127" s="13">
        <v>150</v>
      </c>
      <c r="G127" s="13">
        <v>317000</v>
      </c>
      <c r="H127" s="13">
        <v>3.5</v>
      </c>
      <c r="I127" s="13">
        <f t="shared" si="1"/>
        <v>90571.428571428565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 s="13">
        <v>0</v>
      </c>
    </row>
    <row r="128" spans="1:15" x14ac:dyDescent="0.25">
      <c r="A128" s="13" t="s">
        <v>1749</v>
      </c>
      <c r="B128" s="13" t="s">
        <v>184</v>
      </c>
      <c r="C128" s="13">
        <v>1163</v>
      </c>
      <c r="D128" s="13" t="s">
        <v>1875</v>
      </c>
      <c r="E128" s="13" t="s">
        <v>1876</v>
      </c>
      <c r="F128" s="13">
        <v>183.8</v>
      </c>
      <c r="G128" s="13">
        <v>363000</v>
      </c>
      <c r="H128" s="13">
        <v>3.5</v>
      </c>
      <c r="I128" s="13">
        <f t="shared" si="1"/>
        <v>103714.28571428571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 s="13">
        <v>0</v>
      </c>
    </row>
    <row r="129" spans="1:15" x14ac:dyDescent="0.25">
      <c r="A129" s="13" t="s">
        <v>1750</v>
      </c>
      <c r="B129" s="13" t="s">
        <v>185</v>
      </c>
      <c r="C129" s="13">
        <v>3049</v>
      </c>
      <c r="D129" s="13" t="s">
        <v>1875</v>
      </c>
      <c r="E129" s="13" t="s">
        <v>1876</v>
      </c>
      <c r="F129" s="13">
        <v>270.2</v>
      </c>
      <c r="G129" s="13">
        <v>582000</v>
      </c>
      <c r="H129" s="13">
        <v>3.5</v>
      </c>
      <c r="I129" s="13">
        <f t="shared" si="1"/>
        <v>166285.71428571429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 s="13">
        <v>0</v>
      </c>
    </row>
    <row r="130" spans="1:15" x14ac:dyDescent="0.25">
      <c r="A130" s="13" t="s">
        <v>1751</v>
      </c>
      <c r="B130" s="13" t="s">
        <v>186</v>
      </c>
      <c r="C130" s="13">
        <v>9968</v>
      </c>
      <c r="D130" s="13" t="s">
        <v>1875</v>
      </c>
      <c r="E130" s="13" t="s">
        <v>1876</v>
      </c>
      <c r="F130" s="13">
        <v>821.5</v>
      </c>
      <c r="G130" s="13">
        <v>1850000</v>
      </c>
      <c r="H130" s="13">
        <v>3.5</v>
      </c>
      <c r="I130" s="13">
        <f t="shared" si="1"/>
        <v>528571.42857142852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 s="13">
        <v>0</v>
      </c>
    </row>
    <row r="131" spans="1:15" x14ac:dyDescent="0.25">
      <c r="A131" s="13" t="s">
        <v>1752</v>
      </c>
      <c r="B131" s="13" t="s">
        <v>187</v>
      </c>
      <c r="C131" s="13">
        <v>2596</v>
      </c>
      <c r="D131" s="13" t="s">
        <v>1875</v>
      </c>
      <c r="E131" s="13" t="s">
        <v>1876</v>
      </c>
      <c r="F131" s="13">
        <v>308.60000000000002</v>
      </c>
      <c r="G131" s="13">
        <v>800000</v>
      </c>
      <c r="H131" s="13">
        <v>3.5</v>
      </c>
      <c r="I131" s="13">
        <f t="shared" ref="I131:I194" si="2">G131/H131-SUM(J131:O131)</f>
        <v>228571.42857142858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 s="13">
        <v>0</v>
      </c>
    </row>
    <row r="132" spans="1:15" x14ac:dyDescent="0.25">
      <c r="A132" s="13" t="s">
        <v>1753</v>
      </c>
      <c r="B132" s="13" t="s">
        <v>188</v>
      </c>
      <c r="C132" s="13">
        <v>2233</v>
      </c>
      <c r="D132" s="13" t="s">
        <v>1875</v>
      </c>
      <c r="E132" s="13" t="s">
        <v>1876</v>
      </c>
      <c r="F132" s="13">
        <v>295.2</v>
      </c>
      <c r="G132" s="13">
        <v>603000</v>
      </c>
      <c r="H132" s="13">
        <v>3.5</v>
      </c>
      <c r="I132" s="13">
        <f t="shared" si="2"/>
        <v>172285.71428571429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 s="13">
        <v>0</v>
      </c>
    </row>
    <row r="133" spans="1:15" x14ac:dyDescent="0.25">
      <c r="A133" s="13" t="s">
        <v>1754</v>
      </c>
      <c r="B133" s="13" t="s">
        <v>189</v>
      </c>
      <c r="C133" s="13">
        <v>4696</v>
      </c>
      <c r="D133" s="13" t="s">
        <v>1875</v>
      </c>
      <c r="E133" s="13" t="s">
        <v>1876</v>
      </c>
      <c r="F133" s="13">
        <v>515</v>
      </c>
      <c r="G133" s="13">
        <v>1060000</v>
      </c>
      <c r="H133" s="13">
        <v>3.5</v>
      </c>
      <c r="I133" s="13">
        <f t="shared" si="2"/>
        <v>302857.14285714284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 s="13">
        <v>0</v>
      </c>
    </row>
    <row r="134" spans="1:15" x14ac:dyDescent="0.25">
      <c r="A134" s="13" t="s">
        <v>1755</v>
      </c>
      <c r="B134" s="13" t="s">
        <v>190</v>
      </c>
      <c r="C134" s="13">
        <v>1516</v>
      </c>
      <c r="D134" s="13" t="s">
        <v>1875</v>
      </c>
      <c r="E134" s="13" t="s">
        <v>1876</v>
      </c>
      <c r="F134" s="13">
        <v>247.1</v>
      </c>
      <c r="G134" s="13">
        <v>484000</v>
      </c>
      <c r="H134" s="13">
        <v>3.5</v>
      </c>
      <c r="I134" s="13">
        <f t="shared" si="2"/>
        <v>138285.71428571429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 s="13">
        <v>0</v>
      </c>
    </row>
    <row r="135" spans="1:15" x14ac:dyDescent="0.25">
      <c r="A135" s="13" t="s">
        <v>1756</v>
      </c>
      <c r="B135" s="13" t="s">
        <v>191</v>
      </c>
      <c r="C135" s="13">
        <v>6694</v>
      </c>
      <c r="D135" s="13" t="s">
        <v>1875</v>
      </c>
      <c r="E135" s="13" t="s">
        <v>1876</v>
      </c>
      <c r="F135" s="13">
        <v>675.2</v>
      </c>
      <c r="G135" s="13">
        <v>1870000</v>
      </c>
      <c r="H135" s="13">
        <v>3.5</v>
      </c>
      <c r="I135" s="13">
        <f t="shared" si="2"/>
        <v>499735.71428571432</v>
      </c>
      <c r="J135" s="13">
        <v>34550</v>
      </c>
      <c r="K135" s="13">
        <v>0</v>
      </c>
      <c r="L135" s="13">
        <v>0</v>
      </c>
      <c r="M135" s="13">
        <v>0</v>
      </c>
      <c r="N135" s="13">
        <v>0</v>
      </c>
      <c r="O135" s="13">
        <v>0</v>
      </c>
    </row>
    <row r="136" spans="1:15" x14ac:dyDescent="0.25">
      <c r="A136" s="13" t="s">
        <v>1757</v>
      </c>
      <c r="B136" s="13" t="s">
        <v>192</v>
      </c>
      <c r="C136" s="13">
        <v>2034</v>
      </c>
      <c r="D136" s="13" t="s">
        <v>1875</v>
      </c>
      <c r="E136" s="13" t="s">
        <v>1876</v>
      </c>
      <c r="F136" s="13">
        <v>357.5</v>
      </c>
      <c r="G136" s="13">
        <v>806000</v>
      </c>
      <c r="H136" s="13">
        <v>3.5</v>
      </c>
      <c r="I136" s="13">
        <f t="shared" si="2"/>
        <v>195735.71428571429</v>
      </c>
      <c r="J136" s="13">
        <v>34550</v>
      </c>
      <c r="K136" s="13">
        <v>0</v>
      </c>
      <c r="L136" s="13">
        <v>0</v>
      </c>
      <c r="M136" s="13">
        <v>0</v>
      </c>
      <c r="N136" s="13">
        <v>0</v>
      </c>
      <c r="O136" s="13">
        <v>0</v>
      </c>
    </row>
    <row r="137" spans="1:15" x14ac:dyDescent="0.25">
      <c r="A137" s="13" t="s">
        <v>1758</v>
      </c>
      <c r="B137" s="13" t="s">
        <v>193</v>
      </c>
      <c r="C137" s="13">
        <v>381</v>
      </c>
      <c r="D137" s="13" t="s">
        <v>1875</v>
      </c>
      <c r="E137" s="13" t="s">
        <v>1876</v>
      </c>
      <c r="F137" s="13">
        <v>50.5</v>
      </c>
      <c r="G137" s="13">
        <v>98200</v>
      </c>
      <c r="H137" s="13">
        <v>3.5</v>
      </c>
      <c r="I137" s="13">
        <f t="shared" si="2"/>
        <v>28057.142857142859</v>
      </c>
      <c r="J137" s="13">
        <v>0</v>
      </c>
      <c r="K137" s="13">
        <v>0</v>
      </c>
      <c r="L137" s="13">
        <v>0</v>
      </c>
      <c r="M137" s="13">
        <v>0</v>
      </c>
      <c r="N137" s="13">
        <v>0</v>
      </c>
      <c r="O137" s="13">
        <v>0</v>
      </c>
    </row>
    <row r="138" spans="1:15" x14ac:dyDescent="0.25">
      <c r="A138" s="13" t="s">
        <v>1759</v>
      </c>
      <c r="B138" s="13" t="s">
        <v>194</v>
      </c>
      <c r="C138" s="13">
        <v>206</v>
      </c>
      <c r="D138" s="13" t="s">
        <v>1875</v>
      </c>
      <c r="E138" s="13" t="s">
        <v>1876</v>
      </c>
      <c r="F138" s="13">
        <v>38.5</v>
      </c>
      <c r="G138" s="13">
        <v>74500</v>
      </c>
      <c r="H138" s="13">
        <v>3.5</v>
      </c>
      <c r="I138" s="13">
        <f t="shared" si="2"/>
        <v>21285.714285714286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 s="13">
        <v>0</v>
      </c>
    </row>
    <row r="139" spans="1:15" x14ac:dyDescent="0.25">
      <c r="A139" s="13" t="s">
        <v>1760</v>
      </c>
      <c r="B139" s="13" t="s">
        <v>195</v>
      </c>
      <c r="C139" s="13">
        <v>498</v>
      </c>
      <c r="D139" s="13" t="s">
        <v>1875</v>
      </c>
      <c r="E139" s="13" t="s">
        <v>1876</v>
      </c>
      <c r="F139" s="13">
        <v>42.7</v>
      </c>
      <c r="G139" s="13">
        <v>507000</v>
      </c>
      <c r="H139" s="13">
        <v>3.5</v>
      </c>
      <c r="I139" s="13">
        <f t="shared" si="2"/>
        <v>144857.14285714287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 s="13">
        <v>0</v>
      </c>
    </row>
    <row r="140" spans="1:15" x14ac:dyDescent="0.25">
      <c r="A140" s="13" t="s">
        <v>1761</v>
      </c>
      <c r="B140" s="13" t="s">
        <v>196</v>
      </c>
      <c r="C140" s="13">
        <v>324</v>
      </c>
      <c r="D140" s="13" t="s">
        <v>1875</v>
      </c>
      <c r="E140" s="13" t="s">
        <v>1876</v>
      </c>
      <c r="F140" s="13">
        <v>59.7</v>
      </c>
      <c r="G140" s="13">
        <v>132000</v>
      </c>
      <c r="H140" s="13">
        <v>3.5</v>
      </c>
      <c r="I140" s="13">
        <f t="shared" si="2"/>
        <v>31495.285714285717</v>
      </c>
      <c r="J140" s="13">
        <v>6219</v>
      </c>
      <c r="K140" s="13">
        <v>0</v>
      </c>
      <c r="L140" s="13">
        <v>0</v>
      </c>
      <c r="M140" s="13">
        <v>0</v>
      </c>
      <c r="N140" s="13">
        <v>0</v>
      </c>
      <c r="O140" s="13">
        <v>0</v>
      </c>
    </row>
    <row r="141" spans="1:15" x14ac:dyDescent="0.25">
      <c r="A141" s="13" t="s">
        <v>1762</v>
      </c>
      <c r="B141" s="13" t="s">
        <v>197</v>
      </c>
      <c r="C141" s="13">
        <v>342</v>
      </c>
      <c r="D141" s="13" t="s">
        <v>1875</v>
      </c>
      <c r="E141" s="13" t="s">
        <v>1876</v>
      </c>
      <c r="F141" s="13">
        <v>67.400000000000006</v>
      </c>
      <c r="G141" s="13">
        <v>145000</v>
      </c>
      <c r="H141" s="13">
        <v>3.5</v>
      </c>
      <c r="I141" s="13">
        <f t="shared" si="2"/>
        <v>35209.571428571428</v>
      </c>
      <c r="J141" s="13">
        <v>6219</v>
      </c>
      <c r="K141" s="13">
        <v>0</v>
      </c>
      <c r="L141" s="13">
        <v>0</v>
      </c>
      <c r="M141" s="13">
        <v>0</v>
      </c>
      <c r="N141" s="13">
        <v>0</v>
      </c>
      <c r="O141" s="13">
        <v>0</v>
      </c>
    </row>
    <row r="142" spans="1:15" x14ac:dyDescent="0.25">
      <c r="A142" s="13" t="s">
        <v>1763</v>
      </c>
      <c r="B142" s="13" t="s">
        <v>198</v>
      </c>
      <c r="C142" s="13">
        <v>475</v>
      </c>
      <c r="D142" s="13" t="s">
        <v>1875</v>
      </c>
      <c r="E142" s="13" t="s">
        <v>1876</v>
      </c>
      <c r="F142" s="13">
        <v>84.9</v>
      </c>
      <c r="G142" s="13">
        <v>169000</v>
      </c>
      <c r="H142" s="13">
        <v>3.5</v>
      </c>
      <c r="I142" s="13">
        <f t="shared" si="2"/>
        <v>48285.714285714283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  <c r="O142" s="13">
        <v>0</v>
      </c>
    </row>
    <row r="143" spans="1:15" x14ac:dyDescent="0.25">
      <c r="A143" s="13" t="s">
        <v>1764</v>
      </c>
      <c r="B143" s="13" t="s">
        <v>199</v>
      </c>
      <c r="C143" s="13">
        <v>112</v>
      </c>
      <c r="D143" s="13" t="s">
        <v>1875</v>
      </c>
      <c r="E143" s="13" t="s">
        <v>1876</v>
      </c>
      <c r="F143" s="13">
        <v>47.4</v>
      </c>
      <c r="G143" s="13">
        <v>87200</v>
      </c>
      <c r="H143" s="13">
        <v>3.5</v>
      </c>
      <c r="I143" s="13">
        <f t="shared" si="2"/>
        <v>24914.285714285714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 s="13">
        <v>0</v>
      </c>
    </row>
    <row r="144" spans="1:15" x14ac:dyDescent="0.25">
      <c r="A144" s="13" t="s">
        <v>1765</v>
      </c>
      <c r="B144" s="13" t="s">
        <v>200</v>
      </c>
      <c r="C144" s="13">
        <v>432</v>
      </c>
      <c r="D144" s="13" t="s">
        <v>1875</v>
      </c>
      <c r="E144" s="13" t="s">
        <v>1876</v>
      </c>
      <c r="F144" s="13">
        <v>88.1</v>
      </c>
      <c r="G144" s="13">
        <v>165000</v>
      </c>
      <c r="H144" s="13">
        <v>3.5</v>
      </c>
      <c r="I144" s="13">
        <f t="shared" si="2"/>
        <v>47142.857142857145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 s="13">
        <v>0</v>
      </c>
    </row>
    <row r="145" spans="1:15" x14ac:dyDescent="0.25">
      <c r="A145" s="13" t="s">
        <v>1766</v>
      </c>
      <c r="B145" s="13" t="s">
        <v>201</v>
      </c>
      <c r="C145" s="13">
        <v>147</v>
      </c>
      <c r="D145" s="13" t="s">
        <v>1875</v>
      </c>
      <c r="E145" s="13" t="s">
        <v>1876</v>
      </c>
      <c r="F145" s="13">
        <v>38.799999999999997</v>
      </c>
      <c r="G145" s="13">
        <v>72000</v>
      </c>
      <c r="H145" s="13">
        <v>3.5</v>
      </c>
      <c r="I145" s="13">
        <f t="shared" si="2"/>
        <v>20571.428571428572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 s="13">
        <v>0</v>
      </c>
    </row>
    <row r="146" spans="1:15" x14ac:dyDescent="0.25">
      <c r="A146" s="13" t="s">
        <v>1767</v>
      </c>
      <c r="B146" s="13" t="s">
        <v>202</v>
      </c>
      <c r="C146" s="13">
        <v>208</v>
      </c>
      <c r="D146" s="13" t="s">
        <v>1875</v>
      </c>
      <c r="E146" s="13" t="s">
        <v>1876</v>
      </c>
      <c r="F146" s="13">
        <v>33.4</v>
      </c>
      <c r="G146" s="13">
        <v>66100</v>
      </c>
      <c r="H146" s="13">
        <v>3.5</v>
      </c>
      <c r="I146" s="13">
        <f t="shared" si="2"/>
        <v>18885.714285714286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 s="13">
        <v>0</v>
      </c>
    </row>
    <row r="147" spans="1:15" x14ac:dyDescent="0.25">
      <c r="A147" s="13" t="s">
        <v>1768</v>
      </c>
      <c r="B147" s="13" t="s">
        <v>203</v>
      </c>
      <c r="C147" s="13">
        <v>552</v>
      </c>
      <c r="D147" s="13" t="s">
        <v>1875</v>
      </c>
      <c r="E147" s="13" t="s">
        <v>1876</v>
      </c>
      <c r="F147" s="13">
        <v>85.9</v>
      </c>
      <c r="G147" s="13">
        <v>199000</v>
      </c>
      <c r="H147" s="13">
        <v>3.5</v>
      </c>
      <c r="I147" s="13">
        <f t="shared" si="2"/>
        <v>50638.142857142855</v>
      </c>
      <c r="J147" s="13">
        <v>6219</v>
      </c>
      <c r="K147" s="13">
        <v>0</v>
      </c>
      <c r="L147" s="13">
        <v>0</v>
      </c>
      <c r="M147" s="13">
        <v>0</v>
      </c>
      <c r="N147" s="13">
        <v>0</v>
      </c>
      <c r="O147" s="13">
        <v>0</v>
      </c>
    </row>
    <row r="148" spans="1:15" x14ac:dyDescent="0.25">
      <c r="A148" s="13" t="s">
        <v>1769</v>
      </c>
      <c r="B148" s="13" t="s">
        <v>204</v>
      </c>
      <c r="C148" s="13">
        <v>556</v>
      </c>
      <c r="D148" s="13" t="s">
        <v>1875</v>
      </c>
      <c r="E148" s="13" t="s">
        <v>1876</v>
      </c>
      <c r="F148" s="13">
        <v>102.9</v>
      </c>
      <c r="G148" s="13">
        <v>196000</v>
      </c>
      <c r="H148" s="13">
        <v>3.5</v>
      </c>
      <c r="I148" s="13">
        <f t="shared" si="2"/>
        <v>56000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 s="13">
        <v>0</v>
      </c>
    </row>
    <row r="149" spans="1:15" x14ac:dyDescent="0.25">
      <c r="A149" s="13" t="s">
        <v>1770</v>
      </c>
      <c r="B149" s="13" t="s">
        <v>205</v>
      </c>
      <c r="C149" s="13">
        <v>318</v>
      </c>
      <c r="D149" s="13" t="s">
        <v>1875</v>
      </c>
      <c r="E149" s="13" t="s">
        <v>1876</v>
      </c>
      <c r="F149" s="13">
        <v>54</v>
      </c>
      <c r="G149" s="13">
        <v>121000</v>
      </c>
      <c r="H149" s="13">
        <v>3.5</v>
      </c>
      <c r="I149" s="13">
        <f t="shared" si="2"/>
        <v>28352.428571428572</v>
      </c>
      <c r="J149" s="13">
        <v>6219</v>
      </c>
      <c r="K149" s="13">
        <v>0</v>
      </c>
      <c r="L149" s="13">
        <v>0</v>
      </c>
      <c r="M149" s="13">
        <v>0</v>
      </c>
      <c r="N149" s="13">
        <v>0</v>
      </c>
      <c r="O149" s="13">
        <v>0</v>
      </c>
    </row>
    <row r="150" spans="1:15" x14ac:dyDescent="0.25">
      <c r="A150" s="13" t="s">
        <v>1771</v>
      </c>
      <c r="B150" s="13" t="s">
        <v>206</v>
      </c>
      <c r="C150" s="13">
        <v>91</v>
      </c>
      <c r="D150" s="13" t="s">
        <v>1875</v>
      </c>
      <c r="E150" s="13" t="s">
        <v>1876</v>
      </c>
      <c r="F150" s="13">
        <v>29.9</v>
      </c>
      <c r="G150" s="13">
        <v>60200</v>
      </c>
      <c r="H150" s="13">
        <v>3.5</v>
      </c>
      <c r="I150" s="13">
        <f t="shared" si="2"/>
        <v>13054</v>
      </c>
      <c r="J150" s="13">
        <v>4146</v>
      </c>
      <c r="K150" s="13">
        <v>0</v>
      </c>
      <c r="L150" s="13">
        <v>0</v>
      </c>
      <c r="M150" s="13">
        <v>0</v>
      </c>
      <c r="N150" s="13">
        <v>0</v>
      </c>
      <c r="O150" s="13">
        <v>0</v>
      </c>
    </row>
    <row r="151" spans="1:15" x14ac:dyDescent="0.25">
      <c r="A151" s="13" t="s">
        <v>1772</v>
      </c>
      <c r="B151" s="13" t="s">
        <v>207</v>
      </c>
      <c r="C151" s="13">
        <v>266</v>
      </c>
      <c r="D151" s="13" t="s">
        <v>1875</v>
      </c>
      <c r="E151" s="13" t="s">
        <v>1876</v>
      </c>
      <c r="F151" s="13">
        <v>36.299999999999997</v>
      </c>
      <c r="G151" s="13">
        <v>89500</v>
      </c>
      <c r="H151" s="13">
        <v>3.5</v>
      </c>
      <c r="I151" s="13">
        <f t="shared" si="2"/>
        <v>19352.428571428572</v>
      </c>
      <c r="J151" s="13">
        <v>6219</v>
      </c>
      <c r="K151" s="13">
        <v>0</v>
      </c>
      <c r="L151" s="13">
        <v>0</v>
      </c>
      <c r="M151" s="13">
        <v>0</v>
      </c>
      <c r="N151" s="13">
        <v>0</v>
      </c>
      <c r="O151" s="13">
        <v>0</v>
      </c>
    </row>
    <row r="152" spans="1:15" x14ac:dyDescent="0.25">
      <c r="A152" s="13" t="s">
        <v>1773</v>
      </c>
      <c r="B152" s="13" t="s">
        <v>208</v>
      </c>
      <c r="C152" s="13">
        <v>584</v>
      </c>
      <c r="D152" s="13" t="s">
        <v>1875</v>
      </c>
      <c r="E152" s="13" t="s">
        <v>1876</v>
      </c>
      <c r="F152" s="13">
        <v>59.1</v>
      </c>
      <c r="G152" s="13">
        <v>122000</v>
      </c>
      <c r="H152" s="13">
        <v>3.5</v>
      </c>
      <c r="I152" s="13">
        <f t="shared" si="2"/>
        <v>34857.142857142855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 s="13">
        <v>0</v>
      </c>
    </row>
    <row r="153" spans="1:15" x14ac:dyDescent="0.25">
      <c r="A153" s="13" t="s">
        <v>1774</v>
      </c>
      <c r="B153" s="13" t="s">
        <v>209</v>
      </c>
      <c r="C153" s="13">
        <v>223</v>
      </c>
      <c r="D153" s="13" t="s">
        <v>1875</v>
      </c>
      <c r="E153" s="13" t="s">
        <v>1876</v>
      </c>
      <c r="F153" s="13">
        <v>46.3</v>
      </c>
      <c r="G153" s="13">
        <v>98100</v>
      </c>
      <c r="H153" s="13">
        <v>3.5</v>
      </c>
      <c r="I153" s="13">
        <f t="shared" si="2"/>
        <v>21809.571428571428</v>
      </c>
      <c r="J153" s="13">
        <v>6219</v>
      </c>
      <c r="K153" s="13">
        <v>0</v>
      </c>
      <c r="L153" s="13">
        <v>0</v>
      </c>
      <c r="M153" s="13">
        <v>0</v>
      </c>
      <c r="N153" s="13">
        <v>0</v>
      </c>
      <c r="O153" s="13">
        <v>0</v>
      </c>
    </row>
    <row r="154" spans="1:15" x14ac:dyDescent="0.25">
      <c r="A154" s="13" t="s">
        <v>1775</v>
      </c>
      <c r="B154" s="13" t="s">
        <v>210</v>
      </c>
      <c r="C154" s="13">
        <v>127</v>
      </c>
      <c r="D154" s="13" t="s">
        <v>1875</v>
      </c>
      <c r="E154" s="13" t="s">
        <v>1876</v>
      </c>
      <c r="F154" s="13">
        <v>30.5</v>
      </c>
      <c r="G154" s="13">
        <v>64400</v>
      </c>
      <c r="H154" s="13">
        <v>3.5</v>
      </c>
      <c r="I154" s="13">
        <f t="shared" si="2"/>
        <v>12181</v>
      </c>
      <c r="J154" s="13">
        <v>6219</v>
      </c>
      <c r="K154" s="13">
        <v>0</v>
      </c>
      <c r="L154" s="13">
        <v>0</v>
      </c>
      <c r="M154" s="13">
        <v>0</v>
      </c>
      <c r="N154" s="13">
        <v>0</v>
      </c>
      <c r="O154" s="13">
        <v>0</v>
      </c>
    </row>
    <row r="155" spans="1:15" x14ac:dyDescent="0.25">
      <c r="A155" s="13" t="s">
        <v>1776</v>
      </c>
      <c r="B155" s="13" t="s">
        <v>211</v>
      </c>
      <c r="C155" s="13">
        <v>850</v>
      </c>
      <c r="D155" s="13" t="s">
        <v>1875</v>
      </c>
      <c r="E155" s="13" t="s">
        <v>1876</v>
      </c>
      <c r="F155" s="13">
        <v>138.5</v>
      </c>
      <c r="G155" s="13">
        <v>268000</v>
      </c>
      <c r="H155" s="13">
        <v>3.5</v>
      </c>
      <c r="I155" s="13">
        <f t="shared" si="2"/>
        <v>76571.428571428565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  <c r="O155" s="13">
        <v>0</v>
      </c>
    </row>
    <row r="156" spans="1:15" x14ac:dyDescent="0.25">
      <c r="A156" s="13" t="s">
        <v>1777</v>
      </c>
      <c r="B156" s="13" t="s">
        <v>212</v>
      </c>
      <c r="C156" s="13">
        <v>412</v>
      </c>
      <c r="D156" s="13" t="s">
        <v>1875</v>
      </c>
      <c r="E156" s="13" t="s">
        <v>1876</v>
      </c>
      <c r="F156" s="13">
        <v>41</v>
      </c>
      <c r="G156" s="13">
        <v>86700</v>
      </c>
      <c r="H156" s="13">
        <v>3.5</v>
      </c>
      <c r="I156" s="13">
        <f t="shared" si="2"/>
        <v>24771.428571428572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  <c r="O156" s="13">
        <v>0</v>
      </c>
    </row>
    <row r="157" spans="1:15" x14ac:dyDescent="0.25">
      <c r="A157" s="13" t="s">
        <v>1778</v>
      </c>
      <c r="B157" s="13" t="s">
        <v>213</v>
      </c>
      <c r="C157" s="13">
        <v>1279</v>
      </c>
      <c r="D157" s="13" t="s">
        <v>1875</v>
      </c>
      <c r="E157" s="13" t="s">
        <v>1876</v>
      </c>
      <c r="F157" s="13">
        <v>118.6</v>
      </c>
      <c r="G157" s="13">
        <v>248000</v>
      </c>
      <c r="H157" s="13">
        <v>3.5</v>
      </c>
      <c r="I157" s="13">
        <f t="shared" si="2"/>
        <v>70857.142857142855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 s="13">
        <v>0</v>
      </c>
    </row>
    <row r="158" spans="1:15" x14ac:dyDescent="0.25">
      <c r="A158" s="13" t="s">
        <v>1779</v>
      </c>
      <c r="B158" s="13" t="s">
        <v>214</v>
      </c>
      <c r="C158" s="13">
        <v>1109</v>
      </c>
      <c r="D158" s="13" t="s">
        <v>1875</v>
      </c>
      <c r="E158" s="13" t="s">
        <v>1876</v>
      </c>
      <c r="F158" s="13">
        <v>110.7</v>
      </c>
      <c r="G158" s="13">
        <v>230000</v>
      </c>
      <c r="H158" s="13">
        <v>3.5</v>
      </c>
      <c r="I158" s="13">
        <f t="shared" si="2"/>
        <v>65714.28571428571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 s="13">
        <v>0</v>
      </c>
    </row>
    <row r="159" spans="1:15" x14ac:dyDescent="0.25">
      <c r="A159" s="13" t="s">
        <v>1780</v>
      </c>
      <c r="B159" s="13" t="s">
        <v>215</v>
      </c>
      <c r="C159" s="13">
        <v>993</v>
      </c>
      <c r="D159" s="13" t="s">
        <v>1875</v>
      </c>
      <c r="E159" s="13" t="s">
        <v>1876</v>
      </c>
      <c r="F159" s="13">
        <v>119.3</v>
      </c>
      <c r="G159" s="13">
        <v>248000</v>
      </c>
      <c r="H159" s="13">
        <v>3.5</v>
      </c>
      <c r="I159" s="13">
        <f t="shared" si="2"/>
        <v>70857.142857142855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  <c r="O159" s="13">
        <v>0</v>
      </c>
    </row>
    <row r="160" spans="1:15" x14ac:dyDescent="0.25">
      <c r="A160" s="13" t="s">
        <v>1781</v>
      </c>
      <c r="B160" s="13" t="s">
        <v>216</v>
      </c>
      <c r="C160" s="13">
        <v>336</v>
      </c>
      <c r="D160" s="13" t="s">
        <v>1875</v>
      </c>
      <c r="E160" s="13" t="s">
        <v>1876</v>
      </c>
      <c r="F160" s="13">
        <v>61.1</v>
      </c>
      <c r="G160" s="13">
        <v>118000</v>
      </c>
      <c r="H160" s="13">
        <v>3.5</v>
      </c>
      <c r="I160" s="13">
        <f t="shared" si="2"/>
        <v>33714.285714285717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 s="13">
        <v>0</v>
      </c>
    </row>
    <row r="161" spans="1:15" x14ac:dyDescent="0.25">
      <c r="A161" s="13" t="s">
        <v>1782</v>
      </c>
      <c r="B161" s="13" t="s">
        <v>217</v>
      </c>
      <c r="C161" s="13">
        <v>97</v>
      </c>
      <c r="D161" s="13" t="s">
        <v>1875</v>
      </c>
      <c r="E161" s="13" t="s">
        <v>1876</v>
      </c>
      <c r="F161" s="13">
        <v>35.200000000000003</v>
      </c>
      <c r="G161" s="13">
        <v>64800</v>
      </c>
      <c r="H161" s="13">
        <v>3.5</v>
      </c>
      <c r="I161" s="13">
        <f t="shared" si="2"/>
        <v>18514.285714285714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  <c r="O161" s="13">
        <v>0</v>
      </c>
    </row>
    <row r="162" spans="1:15" x14ac:dyDescent="0.25">
      <c r="A162" s="13" t="s">
        <v>1783</v>
      </c>
      <c r="B162" s="13" t="s">
        <v>218</v>
      </c>
      <c r="C162" s="13">
        <v>1413</v>
      </c>
      <c r="D162" s="13" t="s">
        <v>1875</v>
      </c>
      <c r="E162" s="13" t="s">
        <v>1876</v>
      </c>
      <c r="F162" s="13">
        <v>154.80000000000001</v>
      </c>
      <c r="G162" s="13">
        <v>314000</v>
      </c>
      <c r="H162" s="13">
        <v>3.5</v>
      </c>
      <c r="I162" s="13">
        <f t="shared" si="2"/>
        <v>89714.28571428571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 s="13">
        <v>0</v>
      </c>
    </row>
    <row r="163" spans="1:15" x14ac:dyDescent="0.25">
      <c r="A163" s="13" t="s">
        <v>1784</v>
      </c>
      <c r="B163" s="13" t="s">
        <v>219</v>
      </c>
      <c r="C163" s="13">
        <v>418</v>
      </c>
      <c r="D163" s="13" t="s">
        <v>1875</v>
      </c>
      <c r="E163" s="13" t="s">
        <v>1876</v>
      </c>
      <c r="F163" s="13">
        <v>48.2</v>
      </c>
      <c r="G163" s="13">
        <v>100000</v>
      </c>
      <c r="H163" s="13">
        <v>3.5</v>
      </c>
      <c r="I163" s="13">
        <f t="shared" si="2"/>
        <v>28571.428571428572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 s="13">
        <v>0</v>
      </c>
    </row>
    <row r="164" spans="1:15" x14ac:dyDescent="0.25">
      <c r="A164" s="13" t="s">
        <v>1785</v>
      </c>
      <c r="B164" s="13" t="s">
        <v>220</v>
      </c>
      <c r="C164" s="13">
        <v>412</v>
      </c>
      <c r="D164" s="13" t="s">
        <v>1875</v>
      </c>
      <c r="E164" s="13" t="s">
        <v>1876</v>
      </c>
      <c r="F164" s="13">
        <v>45.3</v>
      </c>
      <c r="G164" s="13">
        <v>438000</v>
      </c>
      <c r="H164" s="13">
        <v>3.5</v>
      </c>
      <c r="I164" s="13">
        <f t="shared" si="2"/>
        <v>125142.85714285714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 s="13">
        <v>0</v>
      </c>
    </row>
    <row r="165" spans="1:15" x14ac:dyDescent="0.25">
      <c r="A165" s="13" t="s">
        <v>1786</v>
      </c>
      <c r="B165" s="13" t="s">
        <v>221</v>
      </c>
      <c r="C165" s="13">
        <v>133</v>
      </c>
      <c r="D165" s="13" t="s">
        <v>1875</v>
      </c>
      <c r="E165" s="13" t="s">
        <v>1876</v>
      </c>
      <c r="F165" s="13">
        <v>22.9</v>
      </c>
      <c r="G165" s="13">
        <v>44200</v>
      </c>
      <c r="H165" s="13">
        <v>3.5</v>
      </c>
      <c r="I165" s="13">
        <f t="shared" si="2"/>
        <v>12628.571428571429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 s="13">
        <v>0</v>
      </c>
    </row>
    <row r="166" spans="1:15" x14ac:dyDescent="0.25">
      <c r="A166" s="13" t="s">
        <v>1787</v>
      </c>
      <c r="B166" s="13" t="s">
        <v>222</v>
      </c>
      <c r="C166" s="13">
        <v>155</v>
      </c>
      <c r="D166" s="13" t="s">
        <v>1875</v>
      </c>
      <c r="E166" s="13" t="s">
        <v>1876</v>
      </c>
      <c r="F166" s="13">
        <v>41.1</v>
      </c>
      <c r="G166" s="13">
        <v>85700</v>
      </c>
      <c r="H166" s="13">
        <v>3.5</v>
      </c>
      <c r="I166" s="13">
        <f t="shared" si="2"/>
        <v>18266.714285714286</v>
      </c>
      <c r="J166" s="13">
        <v>6219</v>
      </c>
      <c r="K166" s="13">
        <v>0</v>
      </c>
      <c r="L166" s="13">
        <v>0</v>
      </c>
      <c r="M166" s="13">
        <v>0</v>
      </c>
      <c r="N166" s="13">
        <v>0</v>
      </c>
      <c r="O166" s="13">
        <v>0</v>
      </c>
    </row>
    <row r="167" spans="1:15" x14ac:dyDescent="0.25">
      <c r="A167" s="13" t="s">
        <v>1788</v>
      </c>
      <c r="B167" s="13" t="s">
        <v>223</v>
      </c>
      <c r="C167" s="13">
        <v>550</v>
      </c>
      <c r="D167" s="13" t="s">
        <v>1875</v>
      </c>
      <c r="E167" s="13" t="s">
        <v>1876</v>
      </c>
      <c r="F167" s="13">
        <v>46.6</v>
      </c>
      <c r="G167" s="13">
        <v>101000</v>
      </c>
      <c r="H167" s="13">
        <v>3.5</v>
      </c>
      <c r="I167" s="13">
        <f t="shared" si="2"/>
        <v>28857.142857142859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  <c r="O167" s="13">
        <v>0</v>
      </c>
    </row>
    <row r="168" spans="1:15" x14ac:dyDescent="0.25">
      <c r="A168" s="13" t="s">
        <v>1789</v>
      </c>
      <c r="B168" s="13" t="s">
        <v>224</v>
      </c>
      <c r="C168" s="13">
        <v>644</v>
      </c>
      <c r="D168" s="13" t="s">
        <v>1875</v>
      </c>
      <c r="E168" s="13" t="s">
        <v>1876</v>
      </c>
      <c r="F168" s="13">
        <v>76.400000000000006</v>
      </c>
      <c r="G168" s="13">
        <v>198000</v>
      </c>
      <c r="H168" s="13">
        <v>3.5</v>
      </c>
      <c r="I168" s="13">
        <f t="shared" si="2"/>
        <v>56571.428571428572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  <c r="O168" s="13">
        <v>0</v>
      </c>
    </row>
    <row r="169" spans="1:15" x14ac:dyDescent="0.25">
      <c r="A169" s="13" t="s">
        <v>1790</v>
      </c>
      <c r="B169" s="13" t="s">
        <v>225</v>
      </c>
      <c r="C169" s="13">
        <v>471</v>
      </c>
      <c r="D169" s="13" t="s">
        <v>1875</v>
      </c>
      <c r="E169" s="13" t="s">
        <v>1876</v>
      </c>
      <c r="F169" s="13">
        <v>90</v>
      </c>
      <c r="G169" s="13">
        <v>171000</v>
      </c>
      <c r="H169" s="13">
        <v>3.5</v>
      </c>
      <c r="I169" s="13">
        <f t="shared" si="2"/>
        <v>48857.142857142855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 s="13">
        <v>0</v>
      </c>
    </row>
    <row r="170" spans="1:15" x14ac:dyDescent="0.25">
      <c r="A170" s="13" t="s">
        <v>1791</v>
      </c>
      <c r="B170" s="13" t="s">
        <v>226</v>
      </c>
      <c r="C170" s="13">
        <v>212</v>
      </c>
      <c r="D170" s="13" t="s">
        <v>1875</v>
      </c>
      <c r="E170" s="13" t="s">
        <v>1876</v>
      </c>
      <c r="F170" s="13">
        <v>24.9</v>
      </c>
      <c r="G170" s="13">
        <v>50600</v>
      </c>
      <c r="H170" s="13">
        <v>3.5</v>
      </c>
      <c r="I170" s="13">
        <f t="shared" si="2"/>
        <v>14457.142857142857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 s="13">
        <v>0</v>
      </c>
    </row>
    <row r="171" spans="1:15" x14ac:dyDescent="0.25">
      <c r="A171" s="13" t="s">
        <v>1792</v>
      </c>
      <c r="B171" s="13" t="s">
        <v>227</v>
      </c>
      <c r="C171" s="13">
        <v>228</v>
      </c>
      <c r="D171" s="13" t="s">
        <v>1875</v>
      </c>
      <c r="E171" s="13" t="s">
        <v>1876</v>
      </c>
      <c r="F171" s="13">
        <v>37.299999999999997</v>
      </c>
      <c r="G171" s="13">
        <v>87000</v>
      </c>
      <c r="H171" s="13">
        <v>3.5</v>
      </c>
      <c r="I171" s="13">
        <f t="shared" si="2"/>
        <v>18638.142857142859</v>
      </c>
      <c r="J171" s="13">
        <v>6219</v>
      </c>
      <c r="K171" s="13">
        <v>0</v>
      </c>
      <c r="L171" s="13">
        <v>0</v>
      </c>
      <c r="M171" s="13">
        <v>0</v>
      </c>
      <c r="N171" s="13">
        <v>0</v>
      </c>
      <c r="O171" s="13">
        <v>0</v>
      </c>
    </row>
    <row r="172" spans="1:15" x14ac:dyDescent="0.25">
      <c r="A172" s="13" t="s">
        <v>1793</v>
      </c>
      <c r="B172" s="13" t="s">
        <v>228</v>
      </c>
      <c r="C172" s="13">
        <v>140</v>
      </c>
      <c r="D172" s="13" t="s">
        <v>1875</v>
      </c>
      <c r="E172" s="13" t="s">
        <v>1876</v>
      </c>
      <c r="F172" s="13">
        <v>47.4</v>
      </c>
      <c r="G172" s="13">
        <v>94200</v>
      </c>
      <c r="H172" s="13">
        <v>3.5</v>
      </c>
      <c r="I172" s="13">
        <f t="shared" si="2"/>
        <v>20695.285714285714</v>
      </c>
      <c r="J172" s="13">
        <v>6219</v>
      </c>
      <c r="K172" s="13">
        <v>0</v>
      </c>
      <c r="L172" s="13">
        <v>0</v>
      </c>
      <c r="M172" s="13">
        <v>0</v>
      </c>
      <c r="N172" s="13">
        <v>0</v>
      </c>
      <c r="O172" s="13">
        <v>0</v>
      </c>
    </row>
    <row r="173" spans="1:15" x14ac:dyDescent="0.25">
      <c r="A173" s="13" t="s">
        <v>1794</v>
      </c>
      <c r="B173" s="13" t="s">
        <v>229</v>
      </c>
      <c r="C173" s="13">
        <v>101</v>
      </c>
      <c r="D173" s="13" t="s">
        <v>1875</v>
      </c>
      <c r="E173" s="13" t="s">
        <v>1876</v>
      </c>
      <c r="F173" s="13">
        <v>22.7</v>
      </c>
      <c r="G173" s="13">
        <v>48400</v>
      </c>
      <c r="H173" s="13">
        <v>3.5</v>
      </c>
      <c r="I173" s="13">
        <f t="shared" si="2"/>
        <v>7609.5714285714294</v>
      </c>
      <c r="J173" s="13">
        <v>6219</v>
      </c>
      <c r="K173" s="13">
        <v>0</v>
      </c>
      <c r="L173" s="13">
        <v>0</v>
      </c>
      <c r="M173" s="13">
        <v>0</v>
      </c>
      <c r="N173" s="13">
        <v>0</v>
      </c>
      <c r="O173" s="13">
        <v>0</v>
      </c>
    </row>
    <row r="174" spans="1:15" x14ac:dyDescent="0.25">
      <c r="A174" s="13" t="s">
        <v>1795</v>
      </c>
      <c r="B174" s="13" t="s">
        <v>230</v>
      </c>
      <c r="C174" s="13">
        <v>270</v>
      </c>
      <c r="D174" s="13" t="s">
        <v>1875</v>
      </c>
      <c r="E174" s="13" t="s">
        <v>1876</v>
      </c>
      <c r="F174" s="13">
        <v>44.7</v>
      </c>
      <c r="G174" s="13">
        <v>90700</v>
      </c>
      <c r="H174" s="13">
        <v>3.5</v>
      </c>
      <c r="I174" s="13">
        <f t="shared" si="2"/>
        <v>25914.285714285714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 s="13">
        <v>0</v>
      </c>
    </row>
    <row r="175" spans="1:15" x14ac:dyDescent="0.25">
      <c r="A175" s="13" t="s">
        <v>1796</v>
      </c>
      <c r="B175" s="13" t="s">
        <v>231</v>
      </c>
      <c r="C175" s="13">
        <v>438</v>
      </c>
      <c r="D175" s="13" t="s">
        <v>1875</v>
      </c>
      <c r="E175" s="13" t="s">
        <v>1876</v>
      </c>
      <c r="F175" s="13">
        <v>67.7</v>
      </c>
      <c r="G175" s="13">
        <v>136000</v>
      </c>
      <c r="H175" s="13">
        <v>3.5</v>
      </c>
      <c r="I175" s="13">
        <f t="shared" si="2"/>
        <v>38857.142857142855</v>
      </c>
      <c r="J175" s="13">
        <v>0</v>
      </c>
      <c r="K175" s="13">
        <v>0</v>
      </c>
      <c r="L175" s="13">
        <v>0</v>
      </c>
      <c r="M175" s="13">
        <v>0</v>
      </c>
      <c r="N175" s="13">
        <v>0</v>
      </c>
      <c r="O175" s="13">
        <v>0</v>
      </c>
    </row>
    <row r="176" spans="1:15" x14ac:dyDescent="0.25">
      <c r="A176" s="13" t="s">
        <v>1797</v>
      </c>
      <c r="B176" s="13" t="s">
        <v>232</v>
      </c>
      <c r="C176" s="13">
        <v>191</v>
      </c>
      <c r="D176" s="13" t="s">
        <v>1875</v>
      </c>
      <c r="E176" s="13" t="s">
        <v>1876</v>
      </c>
      <c r="F176" s="13">
        <v>19</v>
      </c>
      <c r="G176" s="13">
        <v>52500</v>
      </c>
      <c r="H176" s="13">
        <v>3.5</v>
      </c>
      <c r="I176" s="13">
        <f t="shared" si="2"/>
        <v>10854</v>
      </c>
      <c r="J176" s="13">
        <v>4146</v>
      </c>
      <c r="K176" s="13">
        <v>0</v>
      </c>
      <c r="L176" s="13">
        <v>0</v>
      </c>
      <c r="M176" s="13">
        <v>0</v>
      </c>
      <c r="N176" s="13">
        <v>0</v>
      </c>
      <c r="O176" s="13">
        <v>0</v>
      </c>
    </row>
    <row r="177" spans="1:15" x14ac:dyDescent="0.25">
      <c r="A177" s="13" t="s">
        <v>1798</v>
      </c>
      <c r="B177" s="13" t="s">
        <v>233</v>
      </c>
      <c r="C177" s="13">
        <v>169</v>
      </c>
      <c r="D177" s="13" t="s">
        <v>1875</v>
      </c>
      <c r="E177" s="13" t="s">
        <v>1876</v>
      </c>
      <c r="F177" s="13">
        <v>28.1</v>
      </c>
      <c r="G177" s="13">
        <v>64400</v>
      </c>
      <c r="H177" s="13">
        <v>3.5</v>
      </c>
      <c r="I177" s="13">
        <f t="shared" si="2"/>
        <v>12181</v>
      </c>
      <c r="J177" s="13">
        <v>6219</v>
      </c>
      <c r="K177" s="13">
        <v>0</v>
      </c>
      <c r="L177" s="13">
        <v>0</v>
      </c>
      <c r="M177" s="13">
        <v>0</v>
      </c>
      <c r="N177" s="13">
        <v>0</v>
      </c>
      <c r="O177" s="13">
        <v>0</v>
      </c>
    </row>
    <row r="178" spans="1:15" x14ac:dyDescent="0.25">
      <c r="A178" s="13" t="s">
        <v>1799</v>
      </c>
      <c r="B178" s="13" t="s">
        <v>234</v>
      </c>
      <c r="C178" s="13">
        <v>216</v>
      </c>
      <c r="D178" s="13" t="s">
        <v>1875</v>
      </c>
      <c r="E178" s="13" t="s">
        <v>1876</v>
      </c>
      <c r="F178" s="13">
        <v>58.8</v>
      </c>
      <c r="G178" s="13">
        <v>108000</v>
      </c>
      <c r="H178" s="13">
        <v>3.5</v>
      </c>
      <c r="I178" s="13">
        <f t="shared" si="2"/>
        <v>30857.142857142859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 s="13">
        <v>0</v>
      </c>
    </row>
    <row r="179" spans="1:15" x14ac:dyDescent="0.25">
      <c r="A179" s="13" t="s">
        <v>1800</v>
      </c>
      <c r="B179" s="13" t="s">
        <v>235</v>
      </c>
      <c r="C179" s="13">
        <v>194</v>
      </c>
      <c r="D179" s="13" t="s">
        <v>1875</v>
      </c>
      <c r="E179" s="13" t="s">
        <v>1876</v>
      </c>
      <c r="F179" s="13">
        <v>47</v>
      </c>
      <c r="G179" s="13">
        <v>88700</v>
      </c>
      <c r="H179" s="13">
        <v>3.5</v>
      </c>
      <c r="I179" s="13">
        <f t="shared" si="2"/>
        <v>25342.857142857141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 s="13">
        <v>0</v>
      </c>
    </row>
    <row r="180" spans="1:15" x14ac:dyDescent="0.25">
      <c r="A180" s="13" t="s">
        <v>1801</v>
      </c>
      <c r="B180" s="13" t="s">
        <v>236</v>
      </c>
      <c r="C180" s="13">
        <v>115</v>
      </c>
      <c r="D180" s="13" t="s">
        <v>1875</v>
      </c>
      <c r="E180" s="13" t="s">
        <v>1876</v>
      </c>
      <c r="F180" s="13">
        <v>35.799999999999997</v>
      </c>
      <c r="G180" s="13">
        <v>66100</v>
      </c>
      <c r="H180" s="13">
        <v>3.5</v>
      </c>
      <c r="I180" s="13">
        <f t="shared" si="2"/>
        <v>18885.714285714286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 s="13">
        <v>0</v>
      </c>
    </row>
    <row r="181" spans="1:15" x14ac:dyDescent="0.25">
      <c r="A181" s="13" t="s">
        <v>1802</v>
      </c>
      <c r="B181" s="13" t="s">
        <v>237</v>
      </c>
      <c r="C181" s="13">
        <v>349</v>
      </c>
      <c r="D181" s="13" t="s">
        <v>1875</v>
      </c>
      <c r="E181" s="13" t="s">
        <v>1876</v>
      </c>
      <c r="F181" s="13">
        <v>45</v>
      </c>
      <c r="G181" s="13">
        <v>90500</v>
      </c>
      <c r="H181" s="13">
        <v>3.5</v>
      </c>
      <c r="I181" s="13">
        <f t="shared" si="2"/>
        <v>25857.142857142859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 s="13">
        <v>0</v>
      </c>
    </row>
    <row r="182" spans="1:15" x14ac:dyDescent="0.25">
      <c r="A182" s="13" t="s">
        <v>1803</v>
      </c>
      <c r="B182" s="13" t="s">
        <v>238</v>
      </c>
      <c r="C182" s="13">
        <v>550</v>
      </c>
      <c r="D182" s="13" t="s">
        <v>1875</v>
      </c>
      <c r="E182" s="13" t="s">
        <v>1876</v>
      </c>
      <c r="F182" s="13">
        <v>71.8</v>
      </c>
      <c r="G182" s="13">
        <v>150000</v>
      </c>
      <c r="H182" s="13">
        <v>3.5</v>
      </c>
      <c r="I182" s="13">
        <f t="shared" si="2"/>
        <v>42857.142857142855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 s="13">
        <v>0</v>
      </c>
    </row>
    <row r="183" spans="1:15" x14ac:dyDescent="0.25">
      <c r="A183" s="13" t="s">
        <v>1804</v>
      </c>
      <c r="B183" s="13" t="s">
        <v>239</v>
      </c>
      <c r="C183" s="13">
        <v>684</v>
      </c>
      <c r="D183" s="13" t="s">
        <v>1875</v>
      </c>
      <c r="E183" s="13" t="s">
        <v>1876</v>
      </c>
      <c r="F183" s="13">
        <v>96.6</v>
      </c>
      <c r="G183" s="13">
        <v>236000</v>
      </c>
      <c r="H183" s="13">
        <v>3.5</v>
      </c>
      <c r="I183" s="13">
        <f t="shared" si="2"/>
        <v>56372.571428571435</v>
      </c>
      <c r="J183" s="13">
        <v>11056</v>
      </c>
      <c r="K183" s="13">
        <v>0</v>
      </c>
      <c r="L183" s="13">
        <v>0</v>
      </c>
      <c r="M183" s="13">
        <v>0</v>
      </c>
      <c r="N183" s="13">
        <v>0</v>
      </c>
      <c r="O183" s="13">
        <v>0</v>
      </c>
    </row>
    <row r="184" spans="1:15" x14ac:dyDescent="0.25">
      <c r="A184" s="13" t="s">
        <v>1805</v>
      </c>
      <c r="B184" s="13" t="s">
        <v>240</v>
      </c>
      <c r="C184" s="13">
        <v>78</v>
      </c>
      <c r="D184" s="13" t="s">
        <v>1875</v>
      </c>
      <c r="E184" s="13" t="s">
        <v>1876</v>
      </c>
      <c r="F184" s="13">
        <v>21.1</v>
      </c>
      <c r="G184" s="13">
        <v>39400</v>
      </c>
      <c r="H184" s="13">
        <v>3.5</v>
      </c>
      <c r="I184" s="13">
        <f t="shared" si="2"/>
        <v>11257.142857142857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 s="13">
        <v>0</v>
      </c>
    </row>
    <row r="185" spans="1:15" x14ac:dyDescent="0.25">
      <c r="A185" s="13" t="s">
        <v>1806</v>
      </c>
      <c r="B185" s="13" t="s">
        <v>241</v>
      </c>
      <c r="C185" s="13">
        <v>1599</v>
      </c>
      <c r="D185" s="13" t="s">
        <v>1875</v>
      </c>
      <c r="E185" s="13" t="s">
        <v>1876</v>
      </c>
      <c r="F185" s="13">
        <v>156.30000000000001</v>
      </c>
      <c r="G185" s="13">
        <v>329000</v>
      </c>
      <c r="H185" s="13">
        <v>3.5</v>
      </c>
      <c r="I185" s="13">
        <f t="shared" si="2"/>
        <v>94000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 s="13">
        <v>0</v>
      </c>
    </row>
    <row r="186" spans="1:15" x14ac:dyDescent="0.25">
      <c r="A186" s="13" t="s">
        <v>1807</v>
      </c>
      <c r="B186" s="13" t="s">
        <v>242</v>
      </c>
      <c r="C186" s="13">
        <v>329</v>
      </c>
      <c r="D186" s="13" t="s">
        <v>1875</v>
      </c>
      <c r="E186" s="13" t="s">
        <v>1876</v>
      </c>
      <c r="F186" s="13">
        <v>63.8</v>
      </c>
      <c r="G186" s="13">
        <v>123000</v>
      </c>
      <c r="H186" s="13">
        <v>3.5</v>
      </c>
      <c r="I186" s="13">
        <f t="shared" si="2"/>
        <v>35142.857142857145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 s="13">
        <v>0</v>
      </c>
    </row>
    <row r="187" spans="1:15" x14ac:dyDescent="0.25">
      <c r="A187" s="13" t="s">
        <v>1808</v>
      </c>
      <c r="B187" s="13" t="s">
        <v>243</v>
      </c>
      <c r="C187" s="13">
        <v>517</v>
      </c>
      <c r="D187" s="13" t="s">
        <v>1875</v>
      </c>
      <c r="E187" s="13" t="s">
        <v>1876</v>
      </c>
      <c r="F187" s="13">
        <v>53.8</v>
      </c>
      <c r="G187" s="13">
        <v>110000</v>
      </c>
      <c r="H187" s="13">
        <v>3.5</v>
      </c>
      <c r="I187" s="13">
        <f t="shared" si="2"/>
        <v>31428.571428571428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 s="13">
        <v>0</v>
      </c>
    </row>
    <row r="188" spans="1:15" x14ac:dyDescent="0.25">
      <c r="A188" s="13" t="s">
        <v>1809</v>
      </c>
      <c r="B188" s="13" t="s">
        <v>244</v>
      </c>
      <c r="C188" s="13">
        <v>230</v>
      </c>
      <c r="D188" s="13" t="s">
        <v>1875</v>
      </c>
      <c r="E188" s="13" t="s">
        <v>1876</v>
      </c>
      <c r="F188" s="13">
        <v>22.1</v>
      </c>
      <c r="G188" s="13">
        <v>61100</v>
      </c>
      <c r="H188" s="13">
        <v>3.5</v>
      </c>
      <c r="I188" s="13">
        <f t="shared" si="2"/>
        <v>11238.142857142859</v>
      </c>
      <c r="J188" s="13">
        <v>6219</v>
      </c>
      <c r="K188" s="13">
        <v>0</v>
      </c>
      <c r="L188" s="13">
        <v>0</v>
      </c>
      <c r="M188" s="13">
        <v>0</v>
      </c>
      <c r="N188" s="13">
        <v>0</v>
      </c>
      <c r="O188" s="13">
        <v>0</v>
      </c>
    </row>
    <row r="189" spans="1:15" x14ac:dyDescent="0.25">
      <c r="A189" s="13" t="s">
        <v>1810</v>
      </c>
      <c r="B189" s="13" t="s">
        <v>245</v>
      </c>
      <c r="C189" s="13">
        <v>250</v>
      </c>
      <c r="D189" s="13" t="s">
        <v>1875</v>
      </c>
      <c r="E189" s="13" t="s">
        <v>1876</v>
      </c>
      <c r="F189" s="13">
        <v>24.6</v>
      </c>
      <c r="G189" s="13">
        <v>68800</v>
      </c>
      <c r="H189" s="13">
        <v>3.5</v>
      </c>
      <c r="I189" s="13">
        <f t="shared" si="2"/>
        <v>19657.142857142859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 s="13">
        <v>0</v>
      </c>
    </row>
    <row r="190" spans="1:15" x14ac:dyDescent="0.25">
      <c r="A190" s="13" t="s">
        <v>1811</v>
      </c>
      <c r="B190" s="13" t="s">
        <v>246</v>
      </c>
      <c r="C190" s="13">
        <v>205</v>
      </c>
      <c r="D190" s="13" t="s">
        <v>1875</v>
      </c>
      <c r="E190" s="13" t="s">
        <v>1876</v>
      </c>
      <c r="F190" s="13">
        <v>59.2</v>
      </c>
      <c r="G190" s="13">
        <v>110000</v>
      </c>
      <c r="H190" s="13">
        <v>3.5</v>
      </c>
      <c r="I190" s="13">
        <f t="shared" si="2"/>
        <v>31428.571428571428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 s="13">
        <v>0</v>
      </c>
    </row>
    <row r="191" spans="1:15" x14ac:dyDescent="0.25">
      <c r="A191" s="13" t="s">
        <v>1812</v>
      </c>
      <c r="B191" s="13" t="s">
        <v>247</v>
      </c>
      <c r="C191" s="13">
        <v>511</v>
      </c>
      <c r="D191" s="13" t="s">
        <v>1875</v>
      </c>
      <c r="E191" s="13" t="s">
        <v>1876</v>
      </c>
      <c r="F191" s="13">
        <v>109.5</v>
      </c>
      <c r="G191" s="13">
        <v>212000</v>
      </c>
      <c r="H191" s="13">
        <v>3.5</v>
      </c>
      <c r="I191" s="13">
        <f t="shared" si="2"/>
        <v>60571.428571428572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 s="13">
        <v>0</v>
      </c>
    </row>
    <row r="192" spans="1:15" x14ac:dyDescent="0.25">
      <c r="A192" s="13" t="s">
        <v>1813</v>
      </c>
      <c r="B192" s="13" t="s">
        <v>248</v>
      </c>
      <c r="C192" s="13">
        <v>83</v>
      </c>
      <c r="D192" s="13" t="s">
        <v>1875</v>
      </c>
      <c r="E192" s="13" t="s">
        <v>1876</v>
      </c>
      <c r="F192" s="13">
        <v>30.3</v>
      </c>
      <c r="G192" s="13">
        <v>55000</v>
      </c>
      <c r="H192" s="13">
        <v>3.5</v>
      </c>
      <c r="I192" s="13">
        <f t="shared" si="2"/>
        <v>15714.285714285714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 s="13">
        <v>0</v>
      </c>
    </row>
    <row r="193" spans="1:15" x14ac:dyDescent="0.25">
      <c r="A193" s="13" t="s">
        <v>1814</v>
      </c>
      <c r="B193" s="13" t="s">
        <v>249</v>
      </c>
      <c r="C193" s="13">
        <v>839</v>
      </c>
      <c r="D193" s="13" t="s">
        <v>1875</v>
      </c>
      <c r="E193" s="13" t="s">
        <v>1876</v>
      </c>
      <c r="F193" s="13">
        <v>75.3</v>
      </c>
      <c r="G193" s="13">
        <v>160000</v>
      </c>
      <c r="H193" s="13">
        <v>3.5</v>
      </c>
      <c r="I193" s="13">
        <f t="shared" si="2"/>
        <v>45714.285714285717</v>
      </c>
      <c r="J193" s="13">
        <v>0</v>
      </c>
      <c r="K193" s="13">
        <v>0</v>
      </c>
      <c r="L193" s="13">
        <v>0</v>
      </c>
      <c r="M193" s="13">
        <v>0</v>
      </c>
      <c r="N193" s="13">
        <v>0</v>
      </c>
      <c r="O193" s="13">
        <v>0</v>
      </c>
    </row>
    <row r="194" spans="1:15" x14ac:dyDescent="0.25">
      <c r="A194" s="13" t="s">
        <v>1815</v>
      </c>
      <c r="B194" s="13" t="s">
        <v>250</v>
      </c>
      <c r="C194" s="13">
        <v>592</v>
      </c>
      <c r="D194" s="13" t="s">
        <v>1875</v>
      </c>
      <c r="E194" s="13" t="s">
        <v>1876</v>
      </c>
      <c r="F194" s="13">
        <v>75.599999999999994</v>
      </c>
      <c r="G194" s="13">
        <v>189000</v>
      </c>
      <c r="H194" s="13">
        <v>3.5</v>
      </c>
      <c r="I194" s="13">
        <f t="shared" si="2"/>
        <v>42944</v>
      </c>
      <c r="J194" s="13">
        <v>11056</v>
      </c>
      <c r="K194" s="13">
        <v>0</v>
      </c>
      <c r="L194" s="13">
        <v>0</v>
      </c>
      <c r="M194" s="13">
        <v>0</v>
      </c>
      <c r="N194" s="13">
        <v>0</v>
      </c>
      <c r="O194" s="13">
        <v>0</v>
      </c>
    </row>
    <row r="195" spans="1:15" x14ac:dyDescent="0.25">
      <c r="A195" s="13" t="s">
        <v>1816</v>
      </c>
      <c r="B195" s="13" t="s">
        <v>251</v>
      </c>
      <c r="C195" s="13">
        <v>1097</v>
      </c>
      <c r="D195" s="13" t="s">
        <v>1875</v>
      </c>
      <c r="E195" s="13" t="s">
        <v>1876</v>
      </c>
      <c r="F195" s="13">
        <v>127.3</v>
      </c>
      <c r="G195" s="13">
        <v>261000</v>
      </c>
      <c r="H195" s="13">
        <v>3.5</v>
      </c>
      <c r="I195" s="13">
        <f t="shared" ref="I195:I258" si="3">G195/H195-SUM(J195:O195)</f>
        <v>74571.428571428565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 s="13">
        <v>0</v>
      </c>
    </row>
    <row r="196" spans="1:15" x14ac:dyDescent="0.25">
      <c r="A196" s="13" t="s">
        <v>1817</v>
      </c>
      <c r="B196" s="13" t="s">
        <v>252</v>
      </c>
      <c r="C196" s="13">
        <v>251</v>
      </c>
      <c r="D196" s="13" t="s">
        <v>1875</v>
      </c>
      <c r="E196" s="13" t="s">
        <v>1876</v>
      </c>
      <c r="F196" s="13">
        <v>20.6</v>
      </c>
      <c r="G196" s="13">
        <v>44800</v>
      </c>
      <c r="H196" s="13">
        <v>3.5</v>
      </c>
      <c r="I196" s="13">
        <f t="shared" si="3"/>
        <v>12800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 s="13">
        <v>0</v>
      </c>
    </row>
    <row r="197" spans="1:15" x14ac:dyDescent="0.25">
      <c r="A197" s="13" t="s">
        <v>1818</v>
      </c>
      <c r="B197" s="13" t="s">
        <v>253</v>
      </c>
      <c r="C197" s="13">
        <v>202</v>
      </c>
      <c r="D197" s="13" t="s">
        <v>1875</v>
      </c>
      <c r="E197" s="13" t="s">
        <v>1876</v>
      </c>
      <c r="F197" s="13">
        <v>39.200000000000003</v>
      </c>
      <c r="G197" s="13">
        <v>83900</v>
      </c>
      <c r="H197" s="13">
        <v>3.5</v>
      </c>
      <c r="I197" s="13">
        <f t="shared" si="3"/>
        <v>17752.428571428572</v>
      </c>
      <c r="J197" s="13">
        <v>6219</v>
      </c>
      <c r="K197" s="13">
        <v>0</v>
      </c>
      <c r="L197" s="13">
        <v>0</v>
      </c>
      <c r="M197" s="13">
        <v>0</v>
      </c>
      <c r="N197" s="13">
        <v>0</v>
      </c>
      <c r="O197" s="13">
        <v>0</v>
      </c>
    </row>
    <row r="198" spans="1:15" x14ac:dyDescent="0.25">
      <c r="A198" s="13" t="s">
        <v>1819</v>
      </c>
      <c r="B198" s="13" t="s">
        <v>254</v>
      </c>
      <c r="C198" s="13">
        <v>193</v>
      </c>
      <c r="D198" s="13" t="s">
        <v>1875</v>
      </c>
      <c r="E198" s="13" t="s">
        <v>1876</v>
      </c>
      <c r="F198" s="13">
        <v>31.5</v>
      </c>
      <c r="G198" s="13">
        <v>59000</v>
      </c>
      <c r="H198" s="13">
        <v>3.5</v>
      </c>
      <c r="I198" s="13">
        <f t="shared" si="3"/>
        <v>16857.142857142859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 s="13">
        <v>0</v>
      </c>
    </row>
    <row r="199" spans="1:15" x14ac:dyDescent="0.25">
      <c r="A199" s="13" t="s">
        <v>1820</v>
      </c>
      <c r="B199" s="13" t="s">
        <v>255</v>
      </c>
      <c r="C199" s="13">
        <v>133</v>
      </c>
      <c r="D199" s="13" t="s">
        <v>1875</v>
      </c>
      <c r="E199" s="13" t="s">
        <v>1876</v>
      </c>
      <c r="F199" s="13">
        <v>34</v>
      </c>
      <c r="G199" s="13">
        <v>62700</v>
      </c>
      <c r="H199" s="13">
        <v>3.5</v>
      </c>
      <c r="I199" s="13">
        <f t="shared" si="3"/>
        <v>17914.285714285714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 s="13">
        <v>0</v>
      </c>
    </row>
    <row r="200" spans="1:15" x14ac:dyDescent="0.25">
      <c r="A200" s="13" t="s">
        <v>1821</v>
      </c>
      <c r="B200" s="13" t="s">
        <v>256</v>
      </c>
      <c r="C200" s="13">
        <v>1191</v>
      </c>
      <c r="D200" s="13" t="s">
        <v>1875</v>
      </c>
      <c r="E200" s="13" t="s">
        <v>1876</v>
      </c>
      <c r="F200" s="13">
        <v>117.4</v>
      </c>
      <c r="G200" s="13">
        <v>245000</v>
      </c>
      <c r="H200" s="13">
        <v>3.5</v>
      </c>
      <c r="I200" s="13">
        <f t="shared" si="3"/>
        <v>70000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 s="13">
        <v>0</v>
      </c>
    </row>
    <row r="201" spans="1:15" x14ac:dyDescent="0.25">
      <c r="A201" s="13" t="s">
        <v>1822</v>
      </c>
      <c r="B201" s="13" t="s">
        <v>257</v>
      </c>
      <c r="C201" s="13">
        <v>203</v>
      </c>
      <c r="D201" s="13" t="s">
        <v>1875</v>
      </c>
      <c r="E201" s="13" t="s">
        <v>1876</v>
      </c>
      <c r="F201" s="13">
        <v>44.9</v>
      </c>
      <c r="G201" s="13">
        <v>83100</v>
      </c>
      <c r="H201" s="13">
        <v>3.5</v>
      </c>
      <c r="I201" s="13">
        <f t="shared" si="3"/>
        <v>23742.857142857141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 s="13">
        <v>0</v>
      </c>
    </row>
    <row r="202" spans="1:15" x14ac:dyDescent="0.25">
      <c r="A202" s="13" t="s">
        <v>1823</v>
      </c>
      <c r="B202" s="13" t="s">
        <v>258</v>
      </c>
      <c r="C202" s="13">
        <v>146</v>
      </c>
      <c r="D202" s="13" t="s">
        <v>1875</v>
      </c>
      <c r="E202" s="13" t="s">
        <v>1876</v>
      </c>
      <c r="F202" s="13">
        <v>24.9</v>
      </c>
      <c r="G202" s="13">
        <v>50100</v>
      </c>
      <c r="H202" s="13">
        <v>3.5</v>
      </c>
      <c r="I202" s="13">
        <f t="shared" si="3"/>
        <v>14314.285714285714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 s="13">
        <v>0</v>
      </c>
    </row>
    <row r="203" spans="1:15" x14ac:dyDescent="0.25">
      <c r="A203" s="13" t="s">
        <v>1824</v>
      </c>
      <c r="B203" s="13" t="s">
        <v>259</v>
      </c>
      <c r="C203" s="13">
        <v>722</v>
      </c>
      <c r="D203" s="13" t="s">
        <v>1875</v>
      </c>
      <c r="E203" s="13" t="s">
        <v>1876</v>
      </c>
      <c r="F203" s="13">
        <v>96.2</v>
      </c>
      <c r="G203" s="13">
        <v>202000</v>
      </c>
      <c r="H203" s="13">
        <v>3.5</v>
      </c>
      <c r="I203" s="13">
        <f t="shared" si="3"/>
        <v>57714.285714285717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 s="13">
        <v>0</v>
      </c>
    </row>
    <row r="204" spans="1:15" x14ac:dyDescent="0.25">
      <c r="A204" s="13" t="s">
        <v>1825</v>
      </c>
      <c r="B204" s="13" t="s">
        <v>260</v>
      </c>
      <c r="C204" s="13">
        <v>83</v>
      </c>
      <c r="D204" s="13" t="s">
        <v>1875</v>
      </c>
      <c r="E204" s="13" t="s">
        <v>1876</v>
      </c>
      <c r="F204" s="13">
        <v>27.8</v>
      </c>
      <c r="G204" s="13">
        <v>55100</v>
      </c>
      <c r="H204" s="13">
        <v>3.5</v>
      </c>
      <c r="I204" s="13">
        <f t="shared" si="3"/>
        <v>11596.857142857143</v>
      </c>
      <c r="J204" s="13">
        <v>4146</v>
      </c>
      <c r="K204" s="13">
        <v>0</v>
      </c>
      <c r="L204" s="13">
        <v>0</v>
      </c>
      <c r="M204" s="13">
        <v>0</v>
      </c>
      <c r="N204" s="13">
        <v>0</v>
      </c>
      <c r="O204" s="13">
        <v>0</v>
      </c>
    </row>
    <row r="205" spans="1:15" x14ac:dyDescent="0.25">
      <c r="A205" s="13" t="s">
        <v>1826</v>
      </c>
      <c r="B205" s="13" t="s">
        <v>261</v>
      </c>
      <c r="C205" s="13">
        <v>778</v>
      </c>
      <c r="D205" s="13" t="s">
        <v>1875</v>
      </c>
      <c r="E205" s="13" t="s">
        <v>1876</v>
      </c>
      <c r="F205" s="13">
        <v>139.69999999999999</v>
      </c>
      <c r="G205" s="13">
        <v>274000</v>
      </c>
      <c r="H205" s="13">
        <v>3.5</v>
      </c>
      <c r="I205" s="13">
        <f t="shared" si="3"/>
        <v>78285.71428571429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 s="13">
        <v>0</v>
      </c>
    </row>
    <row r="206" spans="1:15" x14ac:dyDescent="0.25">
      <c r="A206" s="13" t="s">
        <v>1827</v>
      </c>
      <c r="B206" s="13" t="s">
        <v>262</v>
      </c>
      <c r="C206" s="13">
        <v>255</v>
      </c>
      <c r="D206" s="13" t="s">
        <v>1875</v>
      </c>
      <c r="E206" s="13" t="s">
        <v>1876</v>
      </c>
      <c r="F206" s="13">
        <v>41.7</v>
      </c>
      <c r="G206" s="13">
        <v>79500</v>
      </c>
      <c r="H206" s="13">
        <v>3.5</v>
      </c>
      <c r="I206" s="13">
        <f t="shared" si="3"/>
        <v>22714.285714285714</v>
      </c>
      <c r="J206" s="13">
        <v>0</v>
      </c>
      <c r="K206" s="13">
        <v>0</v>
      </c>
      <c r="L206" s="13">
        <v>0</v>
      </c>
      <c r="M206" s="13">
        <v>0</v>
      </c>
      <c r="N206" s="13">
        <v>0</v>
      </c>
      <c r="O206" s="13">
        <v>0</v>
      </c>
    </row>
    <row r="207" spans="1:15" x14ac:dyDescent="0.25">
      <c r="A207" s="13" t="s">
        <v>1828</v>
      </c>
      <c r="B207" s="13" t="s">
        <v>263</v>
      </c>
      <c r="C207" s="13">
        <v>101</v>
      </c>
      <c r="D207" s="13" t="s">
        <v>1875</v>
      </c>
      <c r="E207" s="13" t="s">
        <v>1876</v>
      </c>
      <c r="F207" s="13">
        <v>24.2</v>
      </c>
      <c r="G207" s="13">
        <v>45200</v>
      </c>
      <c r="H207" s="13">
        <v>3.5</v>
      </c>
      <c r="I207" s="13">
        <f t="shared" si="3"/>
        <v>12914.285714285714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 s="13">
        <v>0</v>
      </c>
    </row>
    <row r="208" spans="1:15" x14ac:dyDescent="0.25">
      <c r="A208" s="13" t="s">
        <v>1829</v>
      </c>
      <c r="B208" s="13" t="s">
        <v>264</v>
      </c>
      <c r="C208" s="13">
        <v>164</v>
      </c>
      <c r="D208" s="13" t="s">
        <v>1875</v>
      </c>
      <c r="E208" s="13" t="s">
        <v>1876</v>
      </c>
      <c r="F208" s="13">
        <v>39.9</v>
      </c>
      <c r="G208" s="13">
        <v>73200</v>
      </c>
      <c r="H208" s="13">
        <v>3.5</v>
      </c>
      <c r="I208" s="13">
        <f t="shared" si="3"/>
        <v>20914.285714285714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  <c r="O208" s="13">
        <v>0</v>
      </c>
    </row>
    <row r="209" spans="1:15" x14ac:dyDescent="0.25">
      <c r="A209" s="13" t="s">
        <v>1830</v>
      </c>
      <c r="B209" s="13" t="s">
        <v>265</v>
      </c>
      <c r="C209" s="13">
        <v>404</v>
      </c>
      <c r="D209" s="13" t="s">
        <v>1875</v>
      </c>
      <c r="E209" s="13" t="s">
        <v>1876</v>
      </c>
      <c r="F209" s="13">
        <v>54</v>
      </c>
      <c r="G209" s="13">
        <v>110000</v>
      </c>
      <c r="H209" s="13">
        <v>3.5</v>
      </c>
      <c r="I209" s="13">
        <f t="shared" si="3"/>
        <v>31428.571428571428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 s="13">
        <v>0</v>
      </c>
    </row>
    <row r="210" spans="1:15" x14ac:dyDescent="0.25">
      <c r="A210" s="13" t="s">
        <v>1831</v>
      </c>
      <c r="B210" s="13" t="s">
        <v>266</v>
      </c>
      <c r="C210" s="13">
        <v>942</v>
      </c>
      <c r="D210" s="13" t="s">
        <v>1875</v>
      </c>
      <c r="E210" s="13" t="s">
        <v>1876</v>
      </c>
      <c r="F210" s="13">
        <v>74.400000000000006</v>
      </c>
      <c r="G210" s="13">
        <v>220000</v>
      </c>
      <c r="H210" s="13">
        <v>3.5</v>
      </c>
      <c r="I210" s="13">
        <f t="shared" si="3"/>
        <v>51801.142857142855</v>
      </c>
      <c r="J210" s="13">
        <v>11056</v>
      </c>
      <c r="K210" s="13">
        <v>0</v>
      </c>
      <c r="L210" s="13">
        <v>0</v>
      </c>
      <c r="M210" s="13">
        <v>0</v>
      </c>
      <c r="N210" s="13">
        <v>0</v>
      </c>
      <c r="O210" s="13">
        <v>0</v>
      </c>
    </row>
    <row r="211" spans="1:15" x14ac:dyDescent="0.25">
      <c r="A211" s="13" t="s">
        <v>1832</v>
      </c>
      <c r="B211" s="13" t="s">
        <v>267</v>
      </c>
      <c r="C211" s="13">
        <v>295</v>
      </c>
      <c r="D211" s="13" t="s">
        <v>1875</v>
      </c>
      <c r="E211" s="13" t="s">
        <v>1876</v>
      </c>
      <c r="F211" s="13">
        <v>46.5</v>
      </c>
      <c r="G211" s="13">
        <v>92900</v>
      </c>
      <c r="H211" s="13">
        <v>3.5</v>
      </c>
      <c r="I211" s="13">
        <f t="shared" si="3"/>
        <v>26542.857142857141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 s="13">
        <v>0</v>
      </c>
    </row>
    <row r="212" spans="1:15" x14ac:dyDescent="0.25">
      <c r="A212" s="13" t="s">
        <v>1833</v>
      </c>
      <c r="B212" s="13" t="s">
        <v>268</v>
      </c>
      <c r="C212" s="13">
        <v>1000</v>
      </c>
      <c r="D212" s="13" t="s">
        <v>1875</v>
      </c>
      <c r="E212" s="13" t="s">
        <v>1876</v>
      </c>
      <c r="F212" s="13">
        <v>112.8</v>
      </c>
      <c r="G212" s="13">
        <v>237000</v>
      </c>
      <c r="H212" s="13">
        <v>3.5</v>
      </c>
      <c r="I212" s="13">
        <f t="shared" si="3"/>
        <v>67714.28571428571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 s="13">
        <v>0</v>
      </c>
    </row>
    <row r="213" spans="1:15" x14ac:dyDescent="0.25">
      <c r="A213" s="13" t="s">
        <v>1834</v>
      </c>
      <c r="B213" s="13" t="s">
        <v>269</v>
      </c>
      <c r="C213" s="13">
        <v>889</v>
      </c>
      <c r="D213" s="13" t="s">
        <v>1875</v>
      </c>
      <c r="E213" s="13" t="s">
        <v>1876</v>
      </c>
      <c r="F213" s="13">
        <v>120.7</v>
      </c>
      <c r="G213" s="13">
        <v>295000</v>
      </c>
      <c r="H213" s="13">
        <v>3.5</v>
      </c>
      <c r="I213" s="13">
        <f t="shared" si="3"/>
        <v>78066.71428571429</v>
      </c>
      <c r="J213" s="13">
        <v>6219</v>
      </c>
      <c r="K213" s="13">
        <v>0</v>
      </c>
      <c r="L213" s="13">
        <v>0</v>
      </c>
      <c r="M213" s="13">
        <v>0</v>
      </c>
      <c r="N213" s="13">
        <v>0</v>
      </c>
      <c r="O213" s="13">
        <v>0</v>
      </c>
    </row>
    <row r="214" spans="1:15" x14ac:dyDescent="0.25">
      <c r="A214" s="13" t="s">
        <v>1835</v>
      </c>
      <c r="B214" s="13" t="s">
        <v>270</v>
      </c>
      <c r="C214" s="13">
        <v>173</v>
      </c>
      <c r="D214" s="13" t="s">
        <v>1875</v>
      </c>
      <c r="E214" s="13" t="s">
        <v>1876</v>
      </c>
      <c r="F214" s="13">
        <v>61.3</v>
      </c>
      <c r="G214" s="13">
        <v>112000</v>
      </c>
      <c r="H214" s="13">
        <v>3.5</v>
      </c>
      <c r="I214" s="13">
        <f t="shared" si="3"/>
        <v>32000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 s="13">
        <v>0</v>
      </c>
    </row>
    <row r="215" spans="1:15" x14ac:dyDescent="0.25">
      <c r="A215" s="13" t="s">
        <v>1836</v>
      </c>
      <c r="B215" s="13" t="s">
        <v>271</v>
      </c>
      <c r="C215" s="13">
        <v>835</v>
      </c>
      <c r="D215" s="13" t="s">
        <v>1875</v>
      </c>
      <c r="E215" s="13" t="s">
        <v>1876</v>
      </c>
      <c r="F215" s="13">
        <v>53.6</v>
      </c>
      <c r="G215" s="13">
        <v>177000</v>
      </c>
      <c r="H215" s="13">
        <v>3.5</v>
      </c>
      <c r="I215" s="13">
        <f t="shared" si="3"/>
        <v>44352.428571428572</v>
      </c>
      <c r="J215" s="13">
        <v>6219</v>
      </c>
      <c r="K215" s="13">
        <v>0</v>
      </c>
      <c r="L215" s="13">
        <v>0</v>
      </c>
      <c r="M215" s="13">
        <v>0</v>
      </c>
      <c r="N215" s="13">
        <v>0</v>
      </c>
      <c r="O215" s="13">
        <v>0</v>
      </c>
    </row>
    <row r="216" spans="1:15" x14ac:dyDescent="0.25">
      <c r="A216" s="13" t="s">
        <v>1837</v>
      </c>
      <c r="B216" s="13" t="s">
        <v>272</v>
      </c>
      <c r="C216" s="13">
        <v>116</v>
      </c>
      <c r="D216" s="13" t="s">
        <v>1875</v>
      </c>
      <c r="E216" s="13" t="s">
        <v>1876</v>
      </c>
      <c r="F216" s="13">
        <v>24.1</v>
      </c>
      <c r="G216" s="13">
        <v>46500</v>
      </c>
      <c r="H216" s="13">
        <v>3.5</v>
      </c>
      <c r="I216" s="13">
        <f t="shared" si="3"/>
        <v>13285.714285714286</v>
      </c>
      <c r="J216" s="13">
        <v>0</v>
      </c>
      <c r="K216" s="13">
        <v>0</v>
      </c>
      <c r="L216" s="13">
        <v>0</v>
      </c>
      <c r="M216" s="13">
        <v>0</v>
      </c>
      <c r="N216" s="13">
        <v>0</v>
      </c>
      <c r="O216" s="13">
        <v>0</v>
      </c>
    </row>
    <row r="217" spans="1:15" x14ac:dyDescent="0.25">
      <c r="A217" s="13" t="s">
        <v>1838</v>
      </c>
      <c r="B217" s="13" t="s">
        <v>273</v>
      </c>
      <c r="C217" s="13">
        <v>1212</v>
      </c>
      <c r="D217" s="13" t="s">
        <v>1875</v>
      </c>
      <c r="E217" s="13" t="s">
        <v>1876</v>
      </c>
      <c r="F217" s="13">
        <v>81.3</v>
      </c>
      <c r="G217" s="13">
        <v>256000</v>
      </c>
      <c r="H217" s="13">
        <v>3.5</v>
      </c>
      <c r="I217" s="13">
        <f t="shared" si="3"/>
        <v>66923.857142857145</v>
      </c>
      <c r="J217" s="13">
        <v>6219</v>
      </c>
      <c r="K217" s="13">
        <v>0</v>
      </c>
      <c r="L217" s="13">
        <v>0</v>
      </c>
      <c r="M217" s="13">
        <v>0</v>
      </c>
      <c r="N217" s="13">
        <v>0</v>
      </c>
      <c r="O217" s="13">
        <v>0</v>
      </c>
    </row>
    <row r="218" spans="1:15" x14ac:dyDescent="0.25">
      <c r="A218" s="13" t="s">
        <v>1839</v>
      </c>
      <c r="B218" s="13" t="s">
        <v>274</v>
      </c>
      <c r="C218" s="13">
        <v>599</v>
      </c>
      <c r="D218" s="13" t="s">
        <v>1875</v>
      </c>
      <c r="E218" s="13" t="s">
        <v>1876</v>
      </c>
      <c r="F218" s="13">
        <v>77.400000000000006</v>
      </c>
      <c r="G218" s="13">
        <v>193000</v>
      </c>
      <c r="H218" s="13">
        <v>3.5</v>
      </c>
      <c r="I218" s="13">
        <f t="shared" si="3"/>
        <v>44086.857142857145</v>
      </c>
      <c r="J218" s="13">
        <v>11056</v>
      </c>
      <c r="K218" s="13">
        <v>0</v>
      </c>
      <c r="L218" s="13">
        <v>0</v>
      </c>
      <c r="M218" s="13">
        <v>0</v>
      </c>
      <c r="N218" s="13">
        <v>0</v>
      </c>
      <c r="O218" s="13">
        <v>0</v>
      </c>
    </row>
    <row r="219" spans="1:15" x14ac:dyDescent="0.25">
      <c r="A219" s="13" t="s">
        <v>1840</v>
      </c>
      <c r="B219" s="13" t="s">
        <v>275</v>
      </c>
      <c r="C219" s="13">
        <v>159</v>
      </c>
      <c r="D219" s="13" t="s">
        <v>1875</v>
      </c>
      <c r="E219" s="13" t="s">
        <v>1876</v>
      </c>
      <c r="F219" s="13">
        <v>32.799999999999997</v>
      </c>
      <c r="G219" s="13">
        <v>61500</v>
      </c>
      <c r="H219" s="13">
        <v>3.5</v>
      </c>
      <c r="I219" s="13">
        <f t="shared" si="3"/>
        <v>17571.428571428572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 s="13">
        <v>0</v>
      </c>
    </row>
    <row r="220" spans="1:15" x14ac:dyDescent="0.25">
      <c r="A220" s="13" t="s">
        <v>1841</v>
      </c>
      <c r="B220" s="13" t="s">
        <v>276</v>
      </c>
      <c r="C220" s="13">
        <v>358</v>
      </c>
      <c r="D220" s="13" t="s">
        <v>1875</v>
      </c>
      <c r="E220" s="13" t="s">
        <v>1876</v>
      </c>
      <c r="F220" s="13">
        <v>48.3</v>
      </c>
      <c r="G220" s="13">
        <v>93600</v>
      </c>
      <c r="H220" s="13">
        <v>3.5</v>
      </c>
      <c r="I220" s="13">
        <f t="shared" si="3"/>
        <v>26742.857142857141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 s="13">
        <v>0</v>
      </c>
    </row>
    <row r="221" spans="1:15" x14ac:dyDescent="0.25">
      <c r="A221" s="13" t="s">
        <v>1842</v>
      </c>
      <c r="B221" s="13" t="s">
        <v>277</v>
      </c>
      <c r="C221" s="13">
        <v>1218</v>
      </c>
      <c r="D221" s="13" t="s">
        <v>1875</v>
      </c>
      <c r="E221" s="13" t="s">
        <v>1876</v>
      </c>
      <c r="F221" s="13">
        <v>145.30000000000001</v>
      </c>
      <c r="G221" s="13">
        <v>292000</v>
      </c>
      <c r="H221" s="13">
        <v>3.5</v>
      </c>
      <c r="I221" s="13">
        <f t="shared" si="3"/>
        <v>83428.571428571435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 s="13">
        <v>0</v>
      </c>
    </row>
    <row r="222" spans="1:15" x14ac:dyDescent="0.25">
      <c r="A222" s="13" t="s">
        <v>1843</v>
      </c>
      <c r="B222" s="13" t="s">
        <v>278</v>
      </c>
      <c r="C222" s="13">
        <v>466</v>
      </c>
      <c r="D222" s="13" t="s">
        <v>1875</v>
      </c>
      <c r="E222" s="13" t="s">
        <v>1876</v>
      </c>
      <c r="F222" s="13">
        <v>76.2</v>
      </c>
      <c r="G222" s="13">
        <v>147000</v>
      </c>
      <c r="H222" s="13">
        <v>3.5</v>
      </c>
      <c r="I222" s="13">
        <f t="shared" si="3"/>
        <v>42000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  <c r="O222" s="13">
        <v>0</v>
      </c>
    </row>
    <row r="223" spans="1:15" x14ac:dyDescent="0.25">
      <c r="A223" s="13" t="s">
        <v>1844</v>
      </c>
      <c r="B223" s="13" t="s">
        <v>279</v>
      </c>
      <c r="C223" s="13">
        <v>253</v>
      </c>
      <c r="D223" s="13" t="s">
        <v>1875</v>
      </c>
      <c r="E223" s="13" t="s">
        <v>1876</v>
      </c>
      <c r="F223" s="13">
        <v>69.5</v>
      </c>
      <c r="G223" s="13">
        <v>126000</v>
      </c>
      <c r="H223" s="13">
        <v>3.5</v>
      </c>
      <c r="I223" s="13">
        <f t="shared" si="3"/>
        <v>36000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 s="13">
        <v>0</v>
      </c>
    </row>
    <row r="224" spans="1:15" x14ac:dyDescent="0.25">
      <c r="A224" s="13" t="s">
        <v>1845</v>
      </c>
      <c r="B224" s="13" t="s">
        <v>280</v>
      </c>
      <c r="C224" s="13">
        <v>845</v>
      </c>
      <c r="D224" s="13" t="s">
        <v>1875</v>
      </c>
      <c r="E224" s="13" t="s">
        <v>1876</v>
      </c>
      <c r="F224" s="13">
        <v>95.6</v>
      </c>
      <c r="G224" s="13">
        <v>200000</v>
      </c>
      <c r="H224" s="13">
        <v>3.5</v>
      </c>
      <c r="I224" s="13">
        <f t="shared" si="3"/>
        <v>57142.857142857145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 s="13">
        <v>0</v>
      </c>
    </row>
    <row r="225" spans="1:15" x14ac:dyDescent="0.25">
      <c r="A225" s="13" t="s">
        <v>1846</v>
      </c>
      <c r="B225" s="13" t="s">
        <v>281</v>
      </c>
      <c r="C225" s="13">
        <v>609</v>
      </c>
      <c r="D225" s="13" t="s">
        <v>1875</v>
      </c>
      <c r="E225" s="13" t="s">
        <v>1876</v>
      </c>
      <c r="F225" s="13">
        <v>97</v>
      </c>
      <c r="G225" s="13">
        <v>190000</v>
      </c>
      <c r="H225" s="13">
        <v>3.5</v>
      </c>
      <c r="I225" s="13">
        <f t="shared" si="3"/>
        <v>54285.714285714283</v>
      </c>
      <c r="J225" s="13">
        <v>0</v>
      </c>
      <c r="K225" s="13">
        <v>0</v>
      </c>
      <c r="L225" s="13">
        <v>0</v>
      </c>
      <c r="M225" s="13">
        <v>0</v>
      </c>
      <c r="N225" s="13">
        <v>0</v>
      </c>
      <c r="O225" s="13">
        <v>0</v>
      </c>
    </row>
    <row r="226" spans="1:15" x14ac:dyDescent="0.25">
      <c r="A226" s="13" t="s">
        <v>1847</v>
      </c>
      <c r="B226" s="13" t="s">
        <v>282</v>
      </c>
      <c r="C226" s="13">
        <v>244</v>
      </c>
      <c r="D226" s="13" t="s">
        <v>1875</v>
      </c>
      <c r="E226" s="13" t="s">
        <v>1876</v>
      </c>
      <c r="F226" s="13">
        <v>51</v>
      </c>
      <c r="G226" s="13">
        <v>95800</v>
      </c>
      <c r="H226" s="13">
        <v>3.5</v>
      </c>
      <c r="I226" s="13">
        <f t="shared" si="3"/>
        <v>27371.428571428572</v>
      </c>
      <c r="J226" s="13">
        <v>0</v>
      </c>
      <c r="K226" s="13">
        <v>0</v>
      </c>
      <c r="L226" s="13">
        <v>0</v>
      </c>
      <c r="M226" s="13">
        <v>0</v>
      </c>
      <c r="N226" s="13">
        <v>0</v>
      </c>
      <c r="O226" s="13">
        <v>0</v>
      </c>
    </row>
    <row r="227" spans="1:15" x14ac:dyDescent="0.25">
      <c r="A227" s="13" t="s">
        <v>1848</v>
      </c>
      <c r="B227" s="13" t="s">
        <v>283</v>
      </c>
      <c r="C227" s="13">
        <v>114</v>
      </c>
      <c r="D227" s="13" t="s">
        <v>1875</v>
      </c>
      <c r="E227" s="13" t="s">
        <v>1876</v>
      </c>
      <c r="F227" s="13">
        <v>34.700000000000003</v>
      </c>
      <c r="G227" s="13">
        <v>69700</v>
      </c>
      <c r="H227" s="13">
        <v>3.5</v>
      </c>
      <c r="I227" s="13">
        <f t="shared" si="3"/>
        <v>13695.285714285714</v>
      </c>
      <c r="J227" s="13">
        <v>6219</v>
      </c>
      <c r="K227" s="13">
        <v>0</v>
      </c>
      <c r="L227" s="13">
        <v>0</v>
      </c>
      <c r="M227" s="13">
        <v>0</v>
      </c>
      <c r="N227" s="13">
        <v>0</v>
      </c>
      <c r="O227" s="13">
        <v>0</v>
      </c>
    </row>
    <row r="228" spans="1:15" x14ac:dyDescent="0.25">
      <c r="A228" s="13" t="s">
        <v>1849</v>
      </c>
      <c r="B228" s="13" t="s">
        <v>284</v>
      </c>
      <c r="C228" s="13">
        <v>500</v>
      </c>
      <c r="D228" s="13" t="s">
        <v>1875</v>
      </c>
      <c r="E228" s="13" t="s">
        <v>1876</v>
      </c>
      <c r="F228" s="13">
        <v>72.7</v>
      </c>
      <c r="G228" s="13">
        <v>174000</v>
      </c>
      <c r="H228" s="13">
        <v>3.5</v>
      </c>
      <c r="I228" s="13">
        <f t="shared" si="3"/>
        <v>49714.285714285717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  <c r="O228" s="13">
        <v>0</v>
      </c>
    </row>
    <row r="229" spans="1:15" x14ac:dyDescent="0.25">
      <c r="A229" s="13" t="s">
        <v>1850</v>
      </c>
      <c r="B229" s="13" t="s">
        <v>285</v>
      </c>
      <c r="C229" s="13">
        <v>215</v>
      </c>
      <c r="D229" s="13" t="s">
        <v>1875</v>
      </c>
      <c r="E229" s="13" t="s">
        <v>1876</v>
      </c>
      <c r="F229" s="13">
        <v>25.4</v>
      </c>
      <c r="G229" s="13">
        <v>62400</v>
      </c>
      <c r="H229" s="13">
        <v>3.5</v>
      </c>
      <c r="I229" s="13">
        <f t="shared" si="3"/>
        <v>13682.571428571428</v>
      </c>
      <c r="J229" s="13">
        <v>4146</v>
      </c>
      <c r="K229" s="13">
        <v>0</v>
      </c>
      <c r="L229" s="13">
        <v>0</v>
      </c>
      <c r="M229" s="13">
        <v>0</v>
      </c>
      <c r="N229" s="13">
        <v>0</v>
      </c>
      <c r="O229" s="13">
        <v>0</v>
      </c>
    </row>
    <row r="230" spans="1:15" x14ac:dyDescent="0.25">
      <c r="A230" s="13" t="s">
        <v>1851</v>
      </c>
      <c r="B230" s="13" t="s">
        <v>286</v>
      </c>
      <c r="C230" s="13">
        <v>672</v>
      </c>
      <c r="D230" s="13" t="s">
        <v>1875</v>
      </c>
      <c r="E230" s="13" t="s">
        <v>1876</v>
      </c>
      <c r="F230" s="13">
        <v>129.5</v>
      </c>
      <c r="G230" s="13">
        <v>247000</v>
      </c>
      <c r="H230" s="13">
        <v>3.5</v>
      </c>
      <c r="I230" s="13">
        <f t="shared" si="3"/>
        <v>70571.428571428565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 s="13">
        <v>0</v>
      </c>
    </row>
    <row r="231" spans="1:15" x14ac:dyDescent="0.25">
      <c r="A231" s="13" t="s">
        <v>1852</v>
      </c>
      <c r="B231" s="13" t="s">
        <v>287</v>
      </c>
      <c r="C231" s="13">
        <v>330</v>
      </c>
      <c r="D231" s="13" t="s">
        <v>1875</v>
      </c>
      <c r="E231" s="13" t="s">
        <v>1876</v>
      </c>
      <c r="F231" s="13">
        <v>30.3</v>
      </c>
      <c r="G231" s="13">
        <v>81600</v>
      </c>
      <c r="H231" s="13">
        <v>3.5</v>
      </c>
      <c r="I231" s="13">
        <f t="shared" si="3"/>
        <v>23314.285714285714</v>
      </c>
      <c r="J231" s="13">
        <v>0</v>
      </c>
      <c r="K231" s="13">
        <v>0</v>
      </c>
      <c r="L231" s="13">
        <v>0</v>
      </c>
      <c r="M231" s="13">
        <v>0</v>
      </c>
      <c r="N231" s="13">
        <v>0</v>
      </c>
      <c r="O231" s="13">
        <v>0</v>
      </c>
    </row>
    <row r="232" spans="1:15" x14ac:dyDescent="0.25">
      <c r="A232" s="13" t="s">
        <v>1853</v>
      </c>
      <c r="B232" s="13" t="s">
        <v>288</v>
      </c>
      <c r="C232" s="13">
        <v>324</v>
      </c>
      <c r="D232" s="13" t="s">
        <v>1875</v>
      </c>
      <c r="E232" s="13" t="s">
        <v>1876</v>
      </c>
      <c r="F232" s="13">
        <v>99.3</v>
      </c>
      <c r="G232" s="13">
        <v>184000</v>
      </c>
      <c r="H232" s="13">
        <v>3.5</v>
      </c>
      <c r="I232" s="13">
        <f t="shared" si="3"/>
        <v>52571.428571428572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 s="13">
        <v>0</v>
      </c>
    </row>
    <row r="233" spans="1:15" x14ac:dyDescent="0.25">
      <c r="A233" s="13" t="s">
        <v>1854</v>
      </c>
      <c r="B233" s="13" t="s">
        <v>289</v>
      </c>
      <c r="C233" s="13">
        <v>96</v>
      </c>
      <c r="D233" s="13" t="s">
        <v>1875</v>
      </c>
      <c r="E233" s="13" t="s">
        <v>1876</v>
      </c>
      <c r="F233" s="13">
        <v>43.1</v>
      </c>
      <c r="G233" s="13">
        <v>79900</v>
      </c>
      <c r="H233" s="13">
        <v>3.5</v>
      </c>
      <c r="I233" s="13">
        <f t="shared" si="3"/>
        <v>22828.571428571428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 s="13">
        <v>0</v>
      </c>
    </row>
    <row r="234" spans="1:15" x14ac:dyDescent="0.25">
      <c r="A234" s="13" t="s">
        <v>1855</v>
      </c>
      <c r="B234" s="13" t="s">
        <v>290</v>
      </c>
      <c r="C234" s="13">
        <v>361</v>
      </c>
      <c r="D234" s="13" t="s">
        <v>1875</v>
      </c>
      <c r="E234" s="13" t="s">
        <v>1876</v>
      </c>
      <c r="F234" s="13">
        <v>70.5</v>
      </c>
      <c r="G234" s="13">
        <v>134000</v>
      </c>
      <c r="H234" s="13">
        <v>3.5</v>
      </c>
      <c r="I234" s="13">
        <f t="shared" si="3"/>
        <v>38285.714285714283</v>
      </c>
      <c r="J234" s="13">
        <v>0</v>
      </c>
      <c r="K234" s="13">
        <v>0</v>
      </c>
      <c r="L234" s="13">
        <v>0</v>
      </c>
      <c r="M234" s="13">
        <v>0</v>
      </c>
      <c r="N234" s="13">
        <v>0</v>
      </c>
      <c r="O234" s="13">
        <v>0</v>
      </c>
    </row>
    <row r="235" spans="1:15" x14ac:dyDescent="0.25">
      <c r="A235" s="13" t="s">
        <v>1856</v>
      </c>
      <c r="B235" s="13" t="s">
        <v>291</v>
      </c>
      <c r="C235" s="13">
        <v>677</v>
      </c>
      <c r="D235" s="13" t="s">
        <v>1875</v>
      </c>
      <c r="E235" s="13" t="s">
        <v>1876</v>
      </c>
      <c r="F235" s="13">
        <v>93.6</v>
      </c>
      <c r="G235" s="13">
        <v>229000</v>
      </c>
      <c r="H235" s="13">
        <v>3.5</v>
      </c>
      <c r="I235" s="13">
        <f t="shared" si="3"/>
        <v>54372.571428571428</v>
      </c>
      <c r="J235" s="13">
        <v>11056</v>
      </c>
      <c r="K235" s="13">
        <v>0</v>
      </c>
      <c r="L235" s="13">
        <v>0</v>
      </c>
      <c r="M235" s="13">
        <v>0</v>
      </c>
      <c r="N235" s="13">
        <v>0</v>
      </c>
      <c r="O235" s="13">
        <v>0</v>
      </c>
    </row>
    <row r="236" spans="1:15" x14ac:dyDescent="0.25">
      <c r="A236" s="13" t="s">
        <v>1857</v>
      </c>
      <c r="B236" s="13" t="s">
        <v>292</v>
      </c>
      <c r="C236" s="13">
        <v>256</v>
      </c>
      <c r="D236" s="13" t="s">
        <v>1875</v>
      </c>
      <c r="E236" s="13" t="s">
        <v>1876</v>
      </c>
      <c r="F236" s="13">
        <v>43.8</v>
      </c>
      <c r="G236" s="13">
        <v>85200</v>
      </c>
      <c r="H236" s="13">
        <v>3.5</v>
      </c>
      <c r="I236" s="13">
        <f t="shared" si="3"/>
        <v>24342.857142857141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  <c r="O236" s="13">
        <v>0</v>
      </c>
    </row>
    <row r="237" spans="1:15" x14ac:dyDescent="0.25">
      <c r="A237" s="13" t="s">
        <v>1858</v>
      </c>
      <c r="B237" s="13" t="s">
        <v>293</v>
      </c>
      <c r="C237" s="13">
        <v>100</v>
      </c>
      <c r="D237" s="13" t="s">
        <v>1875</v>
      </c>
      <c r="E237" s="13" t="s">
        <v>1876</v>
      </c>
      <c r="F237" s="13">
        <v>35.5</v>
      </c>
      <c r="G237" s="13">
        <v>66400</v>
      </c>
      <c r="H237" s="13">
        <v>3.5</v>
      </c>
      <c r="I237" s="13">
        <f t="shared" si="3"/>
        <v>18971.428571428572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 s="13">
        <v>0</v>
      </c>
    </row>
    <row r="238" spans="1:15" x14ac:dyDescent="0.25">
      <c r="A238" s="13" t="s">
        <v>1859</v>
      </c>
      <c r="B238" s="13" t="s">
        <v>294</v>
      </c>
      <c r="C238" s="13">
        <v>375</v>
      </c>
      <c r="D238" s="13" t="s">
        <v>1875</v>
      </c>
      <c r="E238" s="13" t="s">
        <v>1876</v>
      </c>
      <c r="F238" s="13">
        <v>88.3</v>
      </c>
      <c r="G238" s="13">
        <v>186000</v>
      </c>
      <c r="H238" s="13">
        <v>3.5</v>
      </c>
      <c r="I238" s="13">
        <f t="shared" si="3"/>
        <v>42086.857142857145</v>
      </c>
      <c r="J238" s="13">
        <v>11056</v>
      </c>
      <c r="K238" s="13">
        <v>0</v>
      </c>
      <c r="L238" s="13">
        <v>0</v>
      </c>
      <c r="M238" s="13">
        <v>0</v>
      </c>
      <c r="N238" s="13">
        <v>0</v>
      </c>
      <c r="O238" s="13">
        <v>0</v>
      </c>
    </row>
    <row r="239" spans="1:15" x14ac:dyDescent="0.25">
      <c r="A239" s="13" t="s">
        <v>1860</v>
      </c>
      <c r="B239" s="13" t="s">
        <v>295</v>
      </c>
      <c r="C239" s="13">
        <v>588</v>
      </c>
      <c r="D239" s="13" t="s">
        <v>1875</v>
      </c>
      <c r="E239" s="13" t="s">
        <v>1876</v>
      </c>
      <c r="F239" s="13">
        <v>114.3</v>
      </c>
      <c r="G239" s="13">
        <v>220000</v>
      </c>
      <c r="H239" s="13">
        <v>3.5</v>
      </c>
      <c r="I239" s="13">
        <f t="shared" si="3"/>
        <v>62857.142857142855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 s="13">
        <v>0</v>
      </c>
    </row>
    <row r="240" spans="1:15" x14ac:dyDescent="0.25">
      <c r="A240" s="13" t="s">
        <v>1861</v>
      </c>
      <c r="B240" s="13" t="s">
        <v>296</v>
      </c>
      <c r="C240" s="13">
        <v>87</v>
      </c>
      <c r="D240" s="13" t="s">
        <v>1875</v>
      </c>
      <c r="E240" s="13" t="s">
        <v>1876</v>
      </c>
      <c r="F240" s="13">
        <v>29.7</v>
      </c>
      <c r="G240" s="13">
        <v>55900</v>
      </c>
      <c r="H240" s="13">
        <v>3.5</v>
      </c>
      <c r="I240" s="13">
        <f t="shared" si="3"/>
        <v>15971.428571428571</v>
      </c>
      <c r="J240" s="13">
        <v>0</v>
      </c>
      <c r="K240" s="13">
        <v>0</v>
      </c>
      <c r="L240" s="13">
        <v>0</v>
      </c>
      <c r="M240" s="13">
        <v>0</v>
      </c>
      <c r="N240" s="13">
        <v>0</v>
      </c>
      <c r="O240" s="13">
        <v>0</v>
      </c>
    </row>
    <row r="241" spans="1:15" x14ac:dyDescent="0.25">
      <c r="A241" s="13" t="s">
        <v>1862</v>
      </c>
      <c r="B241" s="13" t="s">
        <v>297</v>
      </c>
      <c r="C241" s="13">
        <v>183</v>
      </c>
      <c r="D241" s="13" t="s">
        <v>1875</v>
      </c>
      <c r="E241" s="13" t="s">
        <v>1876</v>
      </c>
      <c r="F241" s="13">
        <v>24.9</v>
      </c>
      <c r="G241" s="13">
        <v>61000</v>
      </c>
      <c r="H241" s="13">
        <v>3.5</v>
      </c>
      <c r="I241" s="13">
        <f t="shared" si="3"/>
        <v>11209.571428571428</v>
      </c>
      <c r="J241" s="13">
        <v>6219</v>
      </c>
      <c r="K241" s="13">
        <v>0</v>
      </c>
      <c r="L241" s="13">
        <v>0</v>
      </c>
      <c r="M241" s="13">
        <v>0</v>
      </c>
      <c r="N241" s="13">
        <v>0</v>
      </c>
      <c r="O241" s="13">
        <v>0</v>
      </c>
    </row>
    <row r="242" spans="1:15" x14ac:dyDescent="0.25">
      <c r="A242" s="13" t="s">
        <v>1863</v>
      </c>
      <c r="B242" s="13" t="s">
        <v>298</v>
      </c>
      <c r="C242" s="13">
        <v>511</v>
      </c>
      <c r="D242" s="13" t="s">
        <v>1875</v>
      </c>
      <c r="E242" s="13" t="s">
        <v>1876</v>
      </c>
      <c r="F242" s="13">
        <v>49.2</v>
      </c>
      <c r="G242" s="13">
        <v>104000</v>
      </c>
      <c r="H242" s="13">
        <v>3.5</v>
      </c>
      <c r="I242" s="13">
        <f t="shared" si="3"/>
        <v>29714.285714285714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  <c r="O242" s="13">
        <v>0</v>
      </c>
    </row>
    <row r="243" spans="1:15" x14ac:dyDescent="0.25">
      <c r="A243" s="13" t="s">
        <v>1864</v>
      </c>
      <c r="B243" s="13" t="s">
        <v>299</v>
      </c>
      <c r="C243" s="13">
        <v>176</v>
      </c>
      <c r="D243" s="13" t="s">
        <v>1875</v>
      </c>
      <c r="E243" s="13" t="s">
        <v>1876</v>
      </c>
      <c r="F243" s="13">
        <v>33.5</v>
      </c>
      <c r="G243" s="13">
        <v>73500</v>
      </c>
      <c r="H243" s="13">
        <v>3.5</v>
      </c>
      <c r="I243" s="13">
        <f t="shared" si="3"/>
        <v>16854</v>
      </c>
      <c r="J243" s="13">
        <v>4146</v>
      </c>
      <c r="K243" s="13">
        <v>0</v>
      </c>
      <c r="L243" s="13">
        <v>0</v>
      </c>
      <c r="M243" s="13">
        <v>0</v>
      </c>
      <c r="N243" s="13">
        <v>0</v>
      </c>
      <c r="O243" s="13">
        <v>0</v>
      </c>
    </row>
    <row r="244" spans="1:15" x14ac:dyDescent="0.25">
      <c r="A244" s="13" t="s">
        <v>1865</v>
      </c>
      <c r="B244" s="13" t="s">
        <v>300</v>
      </c>
      <c r="C244" s="13">
        <v>236</v>
      </c>
      <c r="D244" s="13" t="s">
        <v>1875</v>
      </c>
      <c r="E244" s="13" t="s">
        <v>1876</v>
      </c>
      <c r="F244" s="13">
        <v>38.799999999999997</v>
      </c>
      <c r="G244" s="13">
        <v>72100</v>
      </c>
      <c r="H244" s="13">
        <v>3.5</v>
      </c>
      <c r="I244" s="13">
        <f t="shared" si="3"/>
        <v>20600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  <c r="O244" s="13">
        <v>0</v>
      </c>
    </row>
    <row r="245" spans="1:15" x14ac:dyDescent="0.25">
      <c r="A245" s="13" t="s">
        <v>1866</v>
      </c>
      <c r="B245" s="13" t="s">
        <v>301</v>
      </c>
      <c r="C245" s="13">
        <v>275</v>
      </c>
      <c r="D245" s="13" t="s">
        <v>1875</v>
      </c>
      <c r="E245" s="13" t="s">
        <v>1876</v>
      </c>
      <c r="F245" s="13">
        <v>93.9</v>
      </c>
      <c r="G245" s="13">
        <v>174000</v>
      </c>
      <c r="H245" s="13">
        <v>3.5</v>
      </c>
      <c r="I245" s="13">
        <f t="shared" si="3"/>
        <v>49714.285714285717</v>
      </c>
      <c r="J245" s="13">
        <v>0</v>
      </c>
      <c r="K245" s="13">
        <v>0</v>
      </c>
      <c r="L245" s="13">
        <v>0</v>
      </c>
      <c r="M245" s="13">
        <v>0</v>
      </c>
      <c r="N245" s="13">
        <v>0</v>
      </c>
      <c r="O245" s="13">
        <v>0</v>
      </c>
    </row>
    <row r="246" spans="1:15" x14ac:dyDescent="0.25">
      <c r="A246" s="13" t="s">
        <v>1867</v>
      </c>
      <c r="B246" s="13" t="s">
        <v>302</v>
      </c>
      <c r="C246" s="13">
        <v>113</v>
      </c>
      <c r="D246" s="13" t="s">
        <v>1875</v>
      </c>
      <c r="E246" s="13" t="s">
        <v>1876</v>
      </c>
      <c r="F246" s="13">
        <v>25.1</v>
      </c>
      <c r="G246" s="13">
        <v>48100</v>
      </c>
      <c r="H246" s="13">
        <v>3.5</v>
      </c>
      <c r="I246" s="13">
        <f t="shared" si="3"/>
        <v>13742.857142857143</v>
      </c>
      <c r="J246" s="13">
        <v>0</v>
      </c>
      <c r="K246" s="13">
        <v>0</v>
      </c>
      <c r="L246" s="13">
        <v>0</v>
      </c>
      <c r="M246" s="13">
        <v>0</v>
      </c>
      <c r="N246" s="13">
        <v>0</v>
      </c>
      <c r="O246" s="13">
        <v>0</v>
      </c>
    </row>
    <row r="247" spans="1:15" x14ac:dyDescent="0.25">
      <c r="A247" s="13" t="s">
        <v>1868</v>
      </c>
      <c r="B247" s="13" t="s">
        <v>303</v>
      </c>
      <c r="C247" s="13">
        <v>426</v>
      </c>
      <c r="D247" s="13" t="s">
        <v>1875</v>
      </c>
      <c r="E247" s="13" t="s">
        <v>1876</v>
      </c>
      <c r="F247" s="13">
        <v>49.8</v>
      </c>
      <c r="G247" s="13">
        <v>102000</v>
      </c>
      <c r="H247" s="13">
        <v>3.5</v>
      </c>
      <c r="I247" s="13">
        <f t="shared" si="3"/>
        <v>29142.857142857141</v>
      </c>
      <c r="J247" s="13">
        <v>0</v>
      </c>
      <c r="K247" s="13">
        <v>0</v>
      </c>
      <c r="L247" s="13">
        <v>0</v>
      </c>
      <c r="M247" s="13">
        <v>0</v>
      </c>
      <c r="N247" s="13">
        <v>0</v>
      </c>
      <c r="O247" s="13">
        <v>0</v>
      </c>
    </row>
    <row r="248" spans="1:15" x14ac:dyDescent="0.25">
      <c r="A248" s="13" t="s">
        <v>1869</v>
      </c>
      <c r="B248" s="13" t="s">
        <v>304</v>
      </c>
      <c r="C248" s="13">
        <v>398</v>
      </c>
      <c r="D248" s="13" t="s">
        <v>1875</v>
      </c>
      <c r="E248" s="13" t="s">
        <v>1876</v>
      </c>
      <c r="F248" s="13">
        <v>43.8</v>
      </c>
      <c r="G248" s="13">
        <v>90500</v>
      </c>
      <c r="H248" s="13">
        <v>3.5</v>
      </c>
      <c r="I248" s="13">
        <f t="shared" si="3"/>
        <v>25857.142857142859</v>
      </c>
      <c r="J248" s="13">
        <v>0</v>
      </c>
      <c r="K248" s="13">
        <v>0</v>
      </c>
      <c r="L248" s="13">
        <v>0</v>
      </c>
      <c r="M248" s="13">
        <v>0</v>
      </c>
      <c r="N248" s="13">
        <v>0</v>
      </c>
      <c r="O248" s="13">
        <v>0</v>
      </c>
    </row>
    <row r="249" spans="1:15" x14ac:dyDescent="0.25">
      <c r="A249" s="13" t="s">
        <v>1870</v>
      </c>
      <c r="B249" s="13" t="s">
        <v>305</v>
      </c>
      <c r="C249" s="13">
        <v>516</v>
      </c>
      <c r="D249" s="13" t="s">
        <v>1875</v>
      </c>
      <c r="E249" s="13" t="s">
        <v>1876</v>
      </c>
      <c r="F249" s="13">
        <v>64.3</v>
      </c>
      <c r="G249" s="13">
        <v>164000</v>
      </c>
      <c r="H249" s="13">
        <v>3.5</v>
      </c>
      <c r="I249" s="13">
        <f t="shared" si="3"/>
        <v>40638.142857142855</v>
      </c>
      <c r="J249" s="13">
        <v>6219</v>
      </c>
      <c r="K249" s="13">
        <v>0</v>
      </c>
      <c r="L249" s="13">
        <v>0</v>
      </c>
      <c r="M249" s="13">
        <v>0</v>
      </c>
      <c r="N249" s="13">
        <v>0</v>
      </c>
      <c r="O249" s="13">
        <v>0</v>
      </c>
    </row>
    <row r="250" spans="1:15" x14ac:dyDescent="0.25">
      <c r="A250" s="13" t="s">
        <v>1871</v>
      </c>
      <c r="B250" s="13" t="s">
        <v>306</v>
      </c>
      <c r="C250" s="13">
        <v>136</v>
      </c>
      <c r="D250" s="13" t="s">
        <v>1875</v>
      </c>
      <c r="E250" s="13" t="s">
        <v>1876</v>
      </c>
      <c r="F250" s="13">
        <v>28.6</v>
      </c>
      <c r="G250" s="13">
        <v>54500</v>
      </c>
      <c r="H250" s="13">
        <v>3.5</v>
      </c>
      <c r="I250" s="13">
        <f t="shared" si="3"/>
        <v>15571.428571428571</v>
      </c>
      <c r="J250" s="13">
        <v>0</v>
      </c>
      <c r="K250" s="13">
        <v>0</v>
      </c>
      <c r="L250" s="13">
        <v>0</v>
      </c>
      <c r="M250" s="13">
        <v>0</v>
      </c>
      <c r="N250" s="13">
        <v>0</v>
      </c>
      <c r="O250" s="13">
        <v>0</v>
      </c>
    </row>
    <row r="251" spans="1:15" x14ac:dyDescent="0.25">
      <c r="A251" s="13" t="s">
        <v>1872</v>
      </c>
      <c r="B251" s="13" t="s">
        <v>307</v>
      </c>
      <c r="C251" s="13">
        <v>89</v>
      </c>
      <c r="D251" s="13" t="s">
        <v>1875</v>
      </c>
      <c r="E251" s="13" t="s">
        <v>1876</v>
      </c>
      <c r="F251" s="13">
        <v>17.2</v>
      </c>
      <c r="G251" s="13">
        <v>38600</v>
      </c>
      <c r="H251" s="13">
        <v>3.5</v>
      </c>
      <c r="I251" s="13">
        <f t="shared" si="3"/>
        <v>6882.5714285714294</v>
      </c>
      <c r="J251" s="13">
        <v>4146</v>
      </c>
      <c r="K251" s="13">
        <v>0</v>
      </c>
      <c r="L251" s="13">
        <v>0</v>
      </c>
      <c r="M251" s="13">
        <v>0</v>
      </c>
      <c r="N251" s="13">
        <v>0</v>
      </c>
      <c r="O251" s="13">
        <v>0</v>
      </c>
    </row>
    <row r="252" spans="1:15" x14ac:dyDescent="0.25">
      <c r="A252" s="13" t="s">
        <v>1873</v>
      </c>
      <c r="B252" s="13" t="s">
        <v>308</v>
      </c>
      <c r="C252" s="13">
        <v>331</v>
      </c>
      <c r="D252" s="13" t="s">
        <v>1875</v>
      </c>
      <c r="E252" s="13" t="s">
        <v>1876</v>
      </c>
      <c r="F252" s="13">
        <v>51.1</v>
      </c>
      <c r="G252" s="13">
        <v>122000</v>
      </c>
      <c r="H252" s="13">
        <v>3.5</v>
      </c>
      <c r="I252" s="13">
        <f t="shared" si="3"/>
        <v>28638.142857142855</v>
      </c>
      <c r="J252" s="13">
        <v>6219</v>
      </c>
      <c r="K252" s="13">
        <v>0</v>
      </c>
      <c r="L252" s="13">
        <v>0</v>
      </c>
      <c r="M252" s="13">
        <v>0</v>
      </c>
      <c r="N252" s="13">
        <v>0</v>
      </c>
      <c r="O252" s="13">
        <v>0</v>
      </c>
    </row>
    <row r="253" spans="1:15" x14ac:dyDescent="0.25">
      <c r="A253" s="13" t="s">
        <v>1874</v>
      </c>
      <c r="B253" s="13" t="s">
        <v>309</v>
      </c>
      <c r="C253" s="13">
        <v>2582</v>
      </c>
      <c r="D253" s="13" t="s">
        <v>1875</v>
      </c>
      <c r="E253" s="13" t="s">
        <v>1876</v>
      </c>
      <c r="F253" s="13">
        <v>233.9</v>
      </c>
      <c r="G253" s="13">
        <v>493000</v>
      </c>
      <c r="H253" s="13">
        <v>3.5</v>
      </c>
      <c r="I253" s="13">
        <f t="shared" si="3"/>
        <v>140857.14285714287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 s="13">
        <v>0</v>
      </c>
    </row>
    <row r="254" spans="1:15" x14ac:dyDescent="0.25">
      <c r="A254" s="13" t="s">
        <v>1877</v>
      </c>
      <c r="B254" s="13" t="s">
        <v>311</v>
      </c>
      <c r="C254" s="13">
        <v>748</v>
      </c>
      <c r="D254" s="13" t="s">
        <v>1875</v>
      </c>
      <c r="E254" s="13" t="s">
        <v>1876</v>
      </c>
      <c r="F254" s="13">
        <v>140.30000000000001</v>
      </c>
      <c r="G254" s="13">
        <v>299000</v>
      </c>
      <c r="H254" s="13">
        <v>3.5</v>
      </c>
      <c r="I254" s="13">
        <f t="shared" si="3"/>
        <v>85428.571428571435</v>
      </c>
      <c r="J254" s="13">
        <v>0</v>
      </c>
      <c r="K254" s="13">
        <v>0</v>
      </c>
      <c r="L254" s="13">
        <v>0</v>
      </c>
      <c r="M254" s="13">
        <v>0</v>
      </c>
      <c r="N254" s="13">
        <v>0</v>
      </c>
      <c r="O254" s="13">
        <v>0</v>
      </c>
    </row>
    <row r="255" spans="1:15" x14ac:dyDescent="0.25">
      <c r="A255" s="13" t="s">
        <v>1880</v>
      </c>
      <c r="B255" s="13" t="s">
        <v>312</v>
      </c>
      <c r="C255" s="13">
        <v>682</v>
      </c>
      <c r="D255" s="13" t="s">
        <v>1875</v>
      </c>
      <c r="E255" s="13" t="s">
        <v>1876</v>
      </c>
      <c r="F255" s="13">
        <v>34.700000000000003</v>
      </c>
      <c r="G255" s="13">
        <v>651000</v>
      </c>
      <c r="H255" s="13">
        <v>3.5</v>
      </c>
      <c r="I255" s="13">
        <f t="shared" si="3"/>
        <v>186000</v>
      </c>
      <c r="J255" s="13">
        <v>0</v>
      </c>
      <c r="K255" s="13">
        <v>0</v>
      </c>
      <c r="L255" s="13">
        <v>0</v>
      </c>
      <c r="M255" s="13">
        <v>0</v>
      </c>
      <c r="N255" s="13">
        <v>0</v>
      </c>
      <c r="O255" s="13">
        <v>0</v>
      </c>
    </row>
    <row r="256" spans="1:15" x14ac:dyDescent="0.25">
      <c r="A256" s="13" t="s">
        <v>1881</v>
      </c>
      <c r="B256" s="13" t="s">
        <v>313</v>
      </c>
      <c r="C256" s="13">
        <v>1167</v>
      </c>
      <c r="D256" s="13" t="s">
        <v>1875</v>
      </c>
      <c r="E256" s="13" t="s">
        <v>1876</v>
      </c>
      <c r="F256" s="13">
        <v>198.3</v>
      </c>
      <c r="G256" s="13">
        <v>385000</v>
      </c>
      <c r="H256" s="13">
        <v>3.5</v>
      </c>
      <c r="I256" s="13">
        <f t="shared" si="3"/>
        <v>110000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  <c r="O256" s="13">
        <v>0</v>
      </c>
    </row>
    <row r="257" spans="1:15" x14ac:dyDescent="0.25">
      <c r="A257" s="13" t="s">
        <v>1882</v>
      </c>
      <c r="B257" s="13" t="s">
        <v>314</v>
      </c>
      <c r="C257" s="13">
        <v>618</v>
      </c>
      <c r="D257" s="13" t="s">
        <v>1875</v>
      </c>
      <c r="E257" s="13" t="s">
        <v>1876</v>
      </c>
      <c r="F257" s="13">
        <v>104.4</v>
      </c>
      <c r="G257" s="13">
        <v>241000</v>
      </c>
      <c r="H257" s="13">
        <v>3.5</v>
      </c>
      <c r="I257" s="13">
        <f t="shared" si="3"/>
        <v>57801.142857142855</v>
      </c>
      <c r="J257" s="13">
        <v>11056</v>
      </c>
      <c r="K257" s="13">
        <v>0</v>
      </c>
      <c r="L257" s="13">
        <v>0</v>
      </c>
      <c r="M257" s="13">
        <v>0</v>
      </c>
      <c r="N257" s="13">
        <v>0</v>
      </c>
      <c r="O257" s="13">
        <v>0</v>
      </c>
    </row>
    <row r="258" spans="1:15" x14ac:dyDescent="0.25">
      <c r="A258" s="13" t="s">
        <v>1883</v>
      </c>
      <c r="B258" s="13" t="s">
        <v>315</v>
      </c>
      <c r="C258" s="13">
        <v>781</v>
      </c>
      <c r="D258" s="13" t="s">
        <v>1875</v>
      </c>
      <c r="E258" s="13" t="s">
        <v>1876</v>
      </c>
      <c r="F258" s="13">
        <v>89.4</v>
      </c>
      <c r="G258" s="13">
        <v>181000</v>
      </c>
      <c r="H258" s="13">
        <v>3.5</v>
      </c>
      <c r="I258" s="13">
        <f t="shared" si="3"/>
        <v>51714.285714285717</v>
      </c>
      <c r="J258" s="13">
        <v>0</v>
      </c>
      <c r="K258" s="13">
        <v>0</v>
      </c>
      <c r="L258" s="13">
        <v>0</v>
      </c>
      <c r="M258" s="13">
        <v>0</v>
      </c>
      <c r="N258" s="13">
        <v>0</v>
      </c>
      <c r="O258" s="13">
        <v>0</v>
      </c>
    </row>
    <row r="259" spans="1:15" x14ac:dyDescent="0.25">
      <c r="A259" s="13" t="s">
        <v>1884</v>
      </c>
      <c r="B259" s="13" t="s">
        <v>316</v>
      </c>
      <c r="C259" s="13">
        <v>1073</v>
      </c>
      <c r="D259" s="13" t="s">
        <v>1875</v>
      </c>
      <c r="E259" s="13" t="s">
        <v>1876</v>
      </c>
      <c r="F259" s="13">
        <v>100.3</v>
      </c>
      <c r="G259" s="13">
        <v>215000</v>
      </c>
      <c r="H259" s="13">
        <v>3.5</v>
      </c>
      <c r="I259" s="13">
        <f t="shared" ref="I259:I322" si="4">G259/H259-SUM(J259:O259)</f>
        <v>61428.571428571428</v>
      </c>
      <c r="J259" s="13">
        <v>0</v>
      </c>
      <c r="K259" s="13">
        <v>0</v>
      </c>
      <c r="L259" s="13">
        <v>0</v>
      </c>
      <c r="M259" s="13">
        <v>0</v>
      </c>
      <c r="N259" s="13">
        <v>0</v>
      </c>
      <c r="O259" s="13">
        <v>0</v>
      </c>
    </row>
    <row r="260" spans="1:15" x14ac:dyDescent="0.25">
      <c r="A260" s="13" t="s">
        <v>1885</v>
      </c>
      <c r="B260" s="13" t="s">
        <v>317</v>
      </c>
      <c r="C260" s="13">
        <v>2116</v>
      </c>
      <c r="D260" s="13" t="s">
        <v>1875</v>
      </c>
      <c r="E260" s="13" t="s">
        <v>1876</v>
      </c>
      <c r="F260" s="13">
        <v>198.4</v>
      </c>
      <c r="G260" s="13">
        <v>434000</v>
      </c>
      <c r="H260" s="13">
        <v>3.5</v>
      </c>
      <c r="I260" s="13">
        <f t="shared" si="4"/>
        <v>124000</v>
      </c>
      <c r="J260" s="13">
        <v>0</v>
      </c>
      <c r="K260" s="13">
        <v>0</v>
      </c>
      <c r="L260" s="13">
        <v>0</v>
      </c>
      <c r="M260" s="13">
        <v>0</v>
      </c>
      <c r="N260" s="13">
        <v>0</v>
      </c>
      <c r="O260" s="13">
        <v>0</v>
      </c>
    </row>
    <row r="261" spans="1:15" x14ac:dyDescent="0.25">
      <c r="A261" s="13" t="s">
        <v>1886</v>
      </c>
      <c r="B261" s="13" t="s">
        <v>318</v>
      </c>
      <c r="C261" s="13">
        <v>1063</v>
      </c>
      <c r="D261" s="13" t="s">
        <v>1875</v>
      </c>
      <c r="E261" s="13" t="s">
        <v>1876</v>
      </c>
      <c r="F261" s="13">
        <v>99.2</v>
      </c>
      <c r="G261" s="13">
        <v>219000</v>
      </c>
      <c r="H261" s="13">
        <v>3.5</v>
      </c>
      <c r="I261" s="13">
        <f t="shared" si="4"/>
        <v>62571.428571428572</v>
      </c>
      <c r="J261" s="13">
        <v>0</v>
      </c>
      <c r="K261" s="13">
        <v>0</v>
      </c>
      <c r="L261" s="13">
        <v>0</v>
      </c>
      <c r="M261" s="13">
        <v>0</v>
      </c>
      <c r="N261" s="13">
        <v>0</v>
      </c>
      <c r="O261" s="13">
        <v>0</v>
      </c>
    </row>
    <row r="262" spans="1:15" x14ac:dyDescent="0.25">
      <c r="A262" s="13" t="s">
        <v>1887</v>
      </c>
      <c r="B262" s="13" t="s">
        <v>319</v>
      </c>
      <c r="C262" s="13">
        <v>165</v>
      </c>
      <c r="D262" s="13" t="s">
        <v>1875</v>
      </c>
      <c r="E262" s="13" t="s">
        <v>1876</v>
      </c>
      <c r="F262" s="13">
        <v>33.200000000000003</v>
      </c>
      <c r="G262" s="13">
        <v>63100</v>
      </c>
      <c r="H262" s="13">
        <v>3.5</v>
      </c>
      <c r="I262" s="13">
        <f t="shared" si="4"/>
        <v>18028.571428571428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 s="13">
        <v>0</v>
      </c>
    </row>
    <row r="263" spans="1:15" x14ac:dyDescent="0.25">
      <c r="A263" s="13" t="s">
        <v>1888</v>
      </c>
      <c r="B263" s="13" t="s">
        <v>320</v>
      </c>
      <c r="C263" s="13">
        <v>129</v>
      </c>
      <c r="D263" s="13" t="s">
        <v>1875</v>
      </c>
      <c r="E263" s="13" t="s">
        <v>1876</v>
      </c>
      <c r="F263" s="13">
        <v>33</v>
      </c>
      <c r="G263" s="13">
        <v>62300</v>
      </c>
      <c r="H263" s="13">
        <v>3.5</v>
      </c>
      <c r="I263" s="13">
        <f t="shared" si="4"/>
        <v>17800</v>
      </c>
      <c r="J263" s="13">
        <v>0</v>
      </c>
      <c r="K263" s="13">
        <v>0</v>
      </c>
      <c r="L263" s="13">
        <v>0</v>
      </c>
      <c r="M263" s="13">
        <v>0</v>
      </c>
      <c r="N263" s="13">
        <v>0</v>
      </c>
      <c r="O263" s="13">
        <v>0</v>
      </c>
    </row>
    <row r="264" spans="1:15" x14ac:dyDescent="0.25">
      <c r="A264" s="13" t="s">
        <v>1889</v>
      </c>
      <c r="B264" s="13" t="s">
        <v>321</v>
      </c>
      <c r="C264" s="13">
        <v>80</v>
      </c>
      <c r="D264" s="13" t="s">
        <v>1875</v>
      </c>
      <c r="E264" s="13" t="s">
        <v>1876</v>
      </c>
      <c r="F264" s="13">
        <v>31.7</v>
      </c>
      <c r="G264" s="13">
        <v>58300</v>
      </c>
      <c r="H264" s="13">
        <v>3.5</v>
      </c>
      <c r="I264" s="13">
        <f t="shared" si="4"/>
        <v>16657.142857142859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  <c r="O264" s="13">
        <v>0</v>
      </c>
    </row>
    <row r="265" spans="1:15" x14ac:dyDescent="0.25">
      <c r="A265" s="13" t="s">
        <v>1890</v>
      </c>
      <c r="B265" s="13" t="s">
        <v>322</v>
      </c>
      <c r="C265" s="13">
        <v>1071</v>
      </c>
      <c r="D265" s="13" t="s">
        <v>1875</v>
      </c>
      <c r="E265" s="13" t="s">
        <v>1876</v>
      </c>
      <c r="F265" s="13">
        <v>126</v>
      </c>
      <c r="G265" s="13">
        <v>265000</v>
      </c>
      <c r="H265" s="13">
        <v>3.5</v>
      </c>
      <c r="I265" s="13">
        <f t="shared" si="4"/>
        <v>75714.28571428571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  <c r="O265" s="13">
        <v>0</v>
      </c>
    </row>
    <row r="266" spans="1:15" x14ac:dyDescent="0.25">
      <c r="A266" s="13" t="s">
        <v>1891</v>
      </c>
      <c r="B266" s="13" t="s">
        <v>323</v>
      </c>
      <c r="C266" s="13">
        <v>109</v>
      </c>
      <c r="D266" s="13" t="s">
        <v>1875</v>
      </c>
      <c r="E266" s="13" t="s">
        <v>1876</v>
      </c>
      <c r="F266" s="13">
        <v>39.9</v>
      </c>
      <c r="G266" s="13">
        <v>73300</v>
      </c>
      <c r="H266" s="13">
        <v>3.5</v>
      </c>
      <c r="I266" s="13">
        <f t="shared" si="4"/>
        <v>20942.857142857141</v>
      </c>
      <c r="J266" s="13">
        <v>0</v>
      </c>
      <c r="K266" s="13">
        <v>0</v>
      </c>
      <c r="L266" s="13">
        <v>0</v>
      </c>
      <c r="M266" s="13">
        <v>0</v>
      </c>
      <c r="N266" s="13">
        <v>0</v>
      </c>
      <c r="O266" s="13">
        <v>0</v>
      </c>
    </row>
    <row r="267" spans="1:15" x14ac:dyDescent="0.25">
      <c r="A267" s="13" t="s">
        <v>1892</v>
      </c>
      <c r="B267" s="13" t="s">
        <v>324</v>
      </c>
      <c r="C267" s="13">
        <v>646</v>
      </c>
      <c r="D267" s="13" t="s">
        <v>1875</v>
      </c>
      <c r="E267" s="13" t="s">
        <v>1876</v>
      </c>
      <c r="F267" s="13">
        <v>89.8</v>
      </c>
      <c r="G267" s="13">
        <v>181000</v>
      </c>
      <c r="H267" s="13">
        <v>3.5</v>
      </c>
      <c r="I267" s="13">
        <f t="shared" si="4"/>
        <v>51714.285714285717</v>
      </c>
      <c r="J267" s="13">
        <v>0</v>
      </c>
      <c r="K267" s="13">
        <v>0</v>
      </c>
      <c r="L267" s="13">
        <v>0</v>
      </c>
      <c r="M267" s="13">
        <v>0</v>
      </c>
      <c r="N267" s="13">
        <v>0</v>
      </c>
      <c r="O267" s="13">
        <v>0</v>
      </c>
    </row>
    <row r="268" spans="1:15" x14ac:dyDescent="0.25">
      <c r="A268" s="13" t="s">
        <v>1893</v>
      </c>
      <c r="B268" s="13" t="s">
        <v>325</v>
      </c>
      <c r="C268" s="13">
        <v>453</v>
      </c>
      <c r="D268" s="13" t="s">
        <v>1875</v>
      </c>
      <c r="E268" s="13" t="s">
        <v>1876</v>
      </c>
      <c r="F268" s="13">
        <v>94.3</v>
      </c>
      <c r="G268" s="13">
        <v>202000</v>
      </c>
      <c r="H268" s="13">
        <v>3.5</v>
      </c>
      <c r="I268" s="13">
        <f t="shared" si="4"/>
        <v>51495.285714285717</v>
      </c>
      <c r="J268" s="13">
        <v>6219</v>
      </c>
      <c r="K268" s="13">
        <v>0</v>
      </c>
      <c r="L268" s="13">
        <v>0</v>
      </c>
      <c r="M268" s="13">
        <v>0</v>
      </c>
      <c r="N268" s="13">
        <v>0</v>
      </c>
      <c r="O268" s="13">
        <v>0</v>
      </c>
    </row>
    <row r="269" spans="1:15" x14ac:dyDescent="0.25">
      <c r="A269" s="13" t="s">
        <v>1894</v>
      </c>
      <c r="B269" s="13" t="s">
        <v>326</v>
      </c>
      <c r="C269" s="13">
        <v>276</v>
      </c>
      <c r="D269" s="13" t="s">
        <v>1875</v>
      </c>
      <c r="E269" s="13" t="s">
        <v>1876</v>
      </c>
      <c r="F269" s="13">
        <v>43.1</v>
      </c>
      <c r="G269" s="13">
        <v>82800</v>
      </c>
      <c r="H269" s="13">
        <v>3.5</v>
      </c>
      <c r="I269" s="13">
        <f t="shared" si="4"/>
        <v>23657.142857142859</v>
      </c>
      <c r="J269" s="13">
        <v>0</v>
      </c>
      <c r="K269" s="13">
        <v>0</v>
      </c>
      <c r="L269" s="13">
        <v>0</v>
      </c>
      <c r="M269" s="13">
        <v>0</v>
      </c>
      <c r="N269" s="13">
        <v>0</v>
      </c>
      <c r="O269" s="13">
        <v>0</v>
      </c>
    </row>
    <row r="270" spans="1:15" x14ac:dyDescent="0.25">
      <c r="A270" s="13" t="s">
        <v>1895</v>
      </c>
      <c r="B270" s="13" t="s">
        <v>327</v>
      </c>
      <c r="C270" s="13">
        <v>580</v>
      </c>
      <c r="D270" s="13" t="s">
        <v>1875</v>
      </c>
      <c r="E270" s="13" t="s">
        <v>1876</v>
      </c>
      <c r="F270" s="13">
        <v>51.5</v>
      </c>
      <c r="G270" s="13">
        <v>113000</v>
      </c>
      <c r="H270" s="13">
        <v>3.5</v>
      </c>
      <c r="I270" s="13">
        <f t="shared" si="4"/>
        <v>32285.714285714286</v>
      </c>
      <c r="J270" s="13">
        <v>0</v>
      </c>
      <c r="K270" s="13">
        <v>0</v>
      </c>
      <c r="L270" s="13">
        <v>0</v>
      </c>
      <c r="M270" s="13">
        <v>0</v>
      </c>
      <c r="N270" s="13">
        <v>0</v>
      </c>
      <c r="O270" s="13">
        <v>0</v>
      </c>
    </row>
    <row r="271" spans="1:15" x14ac:dyDescent="0.25">
      <c r="A271" s="13" t="s">
        <v>1896</v>
      </c>
      <c r="B271" s="13" t="s">
        <v>328</v>
      </c>
      <c r="C271" s="13">
        <v>398</v>
      </c>
      <c r="D271" s="13" t="s">
        <v>1875</v>
      </c>
      <c r="E271" s="13" t="s">
        <v>1876</v>
      </c>
      <c r="F271" s="13">
        <v>68.3</v>
      </c>
      <c r="G271" s="13">
        <v>134000</v>
      </c>
      <c r="H271" s="13">
        <v>3.5</v>
      </c>
      <c r="I271" s="13">
        <f t="shared" si="4"/>
        <v>38285.714285714283</v>
      </c>
      <c r="J271" s="13">
        <v>0</v>
      </c>
      <c r="K271" s="13">
        <v>0</v>
      </c>
      <c r="L271" s="13">
        <v>0</v>
      </c>
      <c r="M271" s="13">
        <v>0</v>
      </c>
      <c r="N271" s="13">
        <v>0</v>
      </c>
      <c r="O271" s="13">
        <v>0</v>
      </c>
    </row>
    <row r="272" spans="1:15" x14ac:dyDescent="0.25">
      <c r="A272" s="13" t="s">
        <v>1897</v>
      </c>
      <c r="B272" s="13" t="s">
        <v>329</v>
      </c>
      <c r="C272" s="13">
        <v>612</v>
      </c>
      <c r="D272" s="13" t="s">
        <v>1875</v>
      </c>
      <c r="E272" s="13" t="s">
        <v>1876</v>
      </c>
      <c r="F272" s="13">
        <v>107.5</v>
      </c>
      <c r="G272" s="13">
        <v>238000</v>
      </c>
      <c r="H272" s="13">
        <v>3.5</v>
      </c>
      <c r="I272" s="13">
        <f t="shared" si="4"/>
        <v>61781</v>
      </c>
      <c r="J272" s="13">
        <v>6219</v>
      </c>
      <c r="K272" s="13">
        <v>0</v>
      </c>
      <c r="L272" s="13">
        <v>0</v>
      </c>
      <c r="M272" s="13">
        <v>0</v>
      </c>
      <c r="N272" s="13">
        <v>0</v>
      </c>
      <c r="O272" s="13">
        <v>0</v>
      </c>
    </row>
    <row r="273" spans="1:15" x14ac:dyDescent="0.25">
      <c r="A273" s="13" t="s">
        <v>1898</v>
      </c>
      <c r="B273" s="13" t="s">
        <v>330</v>
      </c>
      <c r="C273" s="13">
        <v>197</v>
      </c>
      <c r="D273" s="13" t="s">
        <v>1875</v>
      </c>
      <c r="E273" s="13" t="s">
        <v>1876</v>
      </c>
      <c r="F273" s="13">
        <v>30.2</v>
      </c>
      <c r="G273" s="13">
        <v>57100</v>
      </c>
      <c r="H273" s="13">
        <v>3.5</v>
      </c>
      <c r="I273" s="13">
        <f t="shared" si="4"/>
        <v>16314.285714285714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  <c r="O273" s="13">
        <v>0</v>
      </c>
    </row>
    <row r="274" spans="1:15" x14ac:dyDescent="0.25">
      <c r="A274" s="13" t="s">
        <v>1899</v>
      </c>
      <c r="B274" s="13" t="s">
        <v>331</v>
      </c>
      <c r="C274" s="13">
        <v>575</v>
      </c>
      <c r="D274" s="13" t="s">
        <v>1875</v>
      </c>
      <c r="E274" s="13" t="s">
        <v>1876</v>
      </c>
      <c r="F274" s="13">
        <v>52.1</v>
      </c>
      <c r="G274" s="13">
        <v>148000</v>
      </c>
      <c r="H274" s="13">
        <v>3.5</v>
      </c>
      <c r="I274" s="13">
        <f t="shared" si="4"/>
        <v>36066.714285714283</v>
      </c>
      <c r="J274" s="13">
        <v>6219</v>
      </c>
      <c r="K274" s="13">
        <v>0</v>
      </c>
      <c r="L274" s="13">
        <v>0</v>
      </c>
      <c r="M274" s="13">
        <v>0</v>
      </c>
      <c r="N274" s="13">
        <v>0</v>
      </c>
      <c r="O274" s="13">
        <v>0</v>
      </c>
    </row>
    <row r="275" spans="1:15" x14ac:dyDescent="0.25">
      <c r="A275" s="13" t="s">
        <v>1900</v>
      </c>
      <c r="B275" s="13" t="s">
        <v>332</v>
      </c>
      <c r="C275" s="13">
        <v>169</v>
      </c>
      <c r="D275" s="13" t="s">
        <v>1875</v>
      </c>
      <c r="E275" s="13" t="s">
        <v>1876</v>
      </c>
      <c r="F275" s="13">
        <v>44.6</v>
      </c>
      <c r="G275" s="13">
        <v>81800</v>
      </c>
      <c r="H275" s="13">
        <v>3.5</v>
      </c>
      <c r="I275" s="13">
        <f t="shared" si="4"/>
        <v>23371.428571428572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  <c r="O275" s="13">
        <v>0</v>
      </c>
    </row>
    <row r="276" spans="1:15" x14ac:dyDescent="0.25">
      <c r="A276" s="13" t="s">
        <v>1901</v>
      </c>
      <c r="B276" s="13" t="s">
        <v>333</v>
      </c>
      <c r="C276" s="13">
        <v>552</v>
      </c>
      <c r="D276" s="13" t="s">
        <v>1875</v>
      </c>
      <c r="E276" s="13" t="s">
        <v>1876</v>
      </c>
      <c r="F276" s="13">
        <v>71.3</v>
      </c>
      <c r="G276" s="13">
        <v>141000</v>
      </c>
      <c r="H276" s="13">
        <v>3.5</v>
      </c>
      <c r="I276" s="13">
        <f t="shared" si="4"/>
        <v>40285.714285714283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  <c r="O276" s="13">
        <v>0</v>
      </c>
    </row>
    <row r="277" spans="1:15" x14ac:dyDescent="0.25">
      <c r="A277" s="13" t="s">
        <v>1902</v>
      </c>
      <c r="B277" s="13" t="s">
        <v>334</v>
      </c>
      <c r="C277" s="13">
        <v>214</v>
      </c>
      <c r="D277" s="13" t="s">
        <v>1875</v>
      </c>
      <c r="E277" s="13" t="s">
        <v>1876</v>
      </c>
      <c r="F277" s="13">
        <v>37.4</v>
      </c>
      <c r="G277" s="13">
        <v>72300</v>
      </c>
      <c r="H277" s="13">
        <v>3.5</v>
      </c>
      <c r="I277" s="13">
        <f t="shared" si="4"/>
        <v>20657.142857142859</v>
      </c>
      <c r="J277" s="13">
        <v>0</v>
      </c>
      <c r="K277" s="13">
        <v>0</v>
      </c>
      <c r="L277" s="13">
        <v>0</v>
      </c>
      <c r="M277" s="13">
        <v>0</v>
      </c>
      <c r="N277" s="13">
        <v>0</v>
      </c>
      <c r="O277" s="13">
        <v>0</v>
      </c>
    </row>
    <row r="278" spans="1:15" x14ac:dyDescent="0.25">
      <c r="A278" s="13" t="s">
        <v>1903</v>
      </c>
      <c r="B278" s="13" t="s">
        <v>335</v>
      </c>
      <c r="C278" s="13">
        <v>268</v>
      </c>
      <c r="D278" s="13" t="s">
        <v>1875</v>
      </c>
      <c r="E278" s="13" t="s">
        <v>1876</v>
      </c>
      <c r="F278" s="13">
        <v>40.1</v>
      </c>
      <c r="G278" s="13">
        <v>82000</v>
      </c>
      <c r="H278" s="13">
        <v>3.5</v>
      </c>
      <c r="I278" s="13">
        <f t="shared" si="4"/>
        <v>23428.571428571428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  <c r="O278" s="13">
        <v>0</v>
      </c>
    </row>
    <row r="279" spans="1:15" x14ac:dyDescent="0.25">
      <c r="A279" s="13" t="s">
        <v>1904</v>
      </c>
      <c r="B279" s="13" t="s">
        <v>336</v>
      </c>
      <c r="C279" s="13">
        <v>208</v>
      </c>
      <c r="D279" s="13" t="s">
        <v>1875</v>
      </c>
      <c r="E279" s="13" t="s">
        <v>1876</v>
      </c>
      <c r="F279" s="13">
        <v>31.6</v>
      </c>
      <c r="G279" s="13">
        <v>64800</v>
      </c>
      <c r="H279" s="13">
        <v>3.5</v>
      </c>
      <c r="I279" s="13">
        <f t="shared" si="4"/>
        <v>18514.285714285714</v>
      </c>
      <c r="J279" s="13">
        <v>0</v>
      </c>
      <c r="K279" s="13">
        <v>0</v>
      </c>
      <c r="L279" s="13">
        <v>0</v>
      </c>
      <c r="M279" s="13">
        <v>0</v>
      </c>
      <c r="N279" s="13">
        <v>0</v>
      </c>
      <c r="O279" s="13">
        <v>0</v>
      </c>
    </row>
    <row r="280" spans="1:15" x14ac:dyDescent="0.25">
      <c r="A280" s="13" t="s">
        <v>1905</v>
      </c>
      <c r="B280" s="13" t="s">
        <v>337</v>
      </c>
      <c r="C280" s="13">
        <v>434</v>
      </c>
      <c r="D280" s="13" t="s">
        <v>1875</v>
      </c>
      <c r="E280" s="13" t="s">
        <v>1876</v>
      </c>
      <c r="F280" s="13">
        <v>60.7</v>
      </c>
      <c r="G280" s="13">
        <v>148000</v>
      </c>
      <c r="H280" s="13">
        <v>3.5</v>
      </c>
      <c r="I280" s="13">
        <f t="shared" si="4"/>
        <v>36066.714285714283</v>
      </c>
      <c r="J280" s="13">
        <v>6219</v>
      </c>
      <c r="K280" s="13">
        <v>0</v>
      </c>
      <c r="L280" s="13">
        <v>0</v>
      </c>
      <c r="M280" s="13">
        <v>0</v>
      </c>
      <c r="N280" s="13">
        <v>0</v>
      </c>
      <c r="O280" s="13">
        <v>0</v>
      </c>
    </row>
    <row r="281" spans="1:15" x14ac:dyDescent="0.25">
      <c r="A281" s="13" t="s">
        <v>1906</v>
      </c>
      <c r="B281" s="13" t="s">
        <v>338</v>
      </c>
      <c r="C281" s="13">
        <v>604</v>
      </c>
      <c r="D281" s="13" t="s">
        <v>1875</v>
      </c>
      <c r="E281" s="13" t="s">
        <v>1876</v>
      </c>
      <c r="F281" s="13">
        <v>96.1</v>
      </c>
      <c r="G281" s="13">
        <v>194000</v>
      </c>
      <c r="H281" s="13">
        <v>3.5</v>
      </c>
      <c r="I281" s="13">
        <f t="shared" si="4"/>
        <v>55428.571428571428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 s="13">
        <v>0</v>
      </c>
    </row>
    <row r="282" spans="1:15" x14ac:dyDescent="0.25">
      <c r="A282" s="13" t="s">
        <v>1907</v>
      </c>
      <c r="B282" s="13" t="s">
        <v>339</v>
      </c>
      <c r="C282" s="13">
        <v>195</v>
      </c>
      <c r="D282" s="13" t="s">
        <v>1875</v>
      </c>
      <c r="E282" s="13" t="s">
        <v>1876</v>
      </c>
      <c r="F282" s="13">
        <v>35.5</v>
      </c>
      <c r="G282" s="13">
        <v>68900</v>
      </c>
      <c r="H282" s="13">
        <v>3.5</v>
      </c>
      <c r="I282" s="13">
        <f t="shared" si="4"/>
        <v>19685.714285714286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  <c r="O282" s="13">
        <v>0</v>
      </c>
    </row>
    <row r="283" spans="1:15" x14ac:dyDescent="0.25">
      <c r="A283" s="13" t="s">
        <v>1908</v>
      </c>
      <c r="B283" s="13" t="s">
        <v>340</v>
      </c>
      <c r="C283" s="13">
        <v>143</v>
      </c>
      <c r="D283" s="13" t="s">
        <v>1875</v>
      </c>
      <c r="E283" s="13" t="s">
        <v>1876</v>
      </c>
      <c r="F283" s="13">
        <v>44.5</v>
      </c>
      <c r="G283" s="13">
        <v>78400</v>
      </c>
      <c r="H283" s="13">
        <v>3.5</v>
      </c>
      <c r="I283" s="13">
        <f t="shared" si="4"/>
        <v>22400</v>
      </c>
      <c r="J283" s="13">
        <v>0</v>
      </c>
      <c r="K283" s="13">
        <v>0</v>
      </c>
      <c r="L283" s="13">
        <v>0</v>
      </c>
      <c r="M283" s="13">
        <v>0</v>
      </c>
      <c r="N283" s="13">
        <v>0</v>
      </c>
      <c r="O283" s="13">
        <v>0</v>
      </c>
    </row>
    <row r="284" spans="1:15" x14ac:dyDescent="0.25">
      <c r="A284" s="13" t="s">
        <v>1909</v>
      </c>
      <c r="B284" s="13" t="s">
        <v>341</v>
      </c>
      <c r="C284" s="13">
        <v>663</v>
      </c>
      <c r="D284" s="13" t="s">
        <v>1875</v>
      </c>
      <c r="E284" s="13" t="s">
        <v>1876</v>
      </c>
      <c r="F284" s="13">
        <v>95.7</v>
      </c>
      <c r="G284" s="13">
        <v>232000</v>
      </c>
      <c r="H284" s="13">
        <v>3.5</v>
      </c>
      <c r="I284" s="13">
        <f t="shared" si="4"/>
        <v>66285.71428571429</v>
      </c>
      <c r="J284" s="13">
        <v>0</v>
      </c>
      <c r="K284" s="13">
        <v>0</v>
      </c>
      <c r="L284" s="13">
        <v>0</v>
      </c>
      <c r="M284" s="13">
        <v>0</v>
      </c>
      <c r="N284" s="13">
        <v>0</v>
      </c>
      <c r="O284" s="13">
        <v>0</v>
      </c>
    </row>
    <row r="285" spans="1:15" x14ac:dyDescent="0.25">
      <c r="A285" s="13" t="s">
        <v>1910</v>
      </c>
      <c r="B285" s="13" t="s">
        <v>342</v>
      </c>
      <c r="C285" s="13">
        <v>480</v>
      </c>
      <c r="D285" s="13" t="s">
        <v>1875</v>
      </c>
      <c r="E285" s="13" t="s">
        <v>1876</v>
      </c>
      <c r="F285" s="13">
        <v>107</v>
      </c>
      <c r="G285" s="13">
        <v>202000</v>
      </c>
      <c r="H285" s="13">
        <v>3.5</v>
      </c>
      <c r="I285" s="13">
        <f t="shared" si="4"/>
        <v>57714.285714285717</v>
      </c>
      <c r="J285" s="13">
        <v>0</v>
      </c>
      <c r="K285" s="13">
        <v>0</v>
      </c>
      <c r="L285" s="13">
        <v>0</v>
      </c>
      <c r="M285" s="13">
        <v>0</v>
      </c>
      <c r="N285" s="13">
        <v>0</v>
      </c>
      <c r="O285" s="13">
        <v>0</v>
      </c>
    </row>
    <row r="286" spans="1:15" x14ac:dyDescent="0.25">
      <c r="A286" s="13" t="s">
        <v>1911</v>
      </c>
      <c r="B286" s="13" t="s">
        <v>343</v>
      </c>
      <c r="C286" s="13">
        <v>343</v>
      </c>
      <c r="D286" s="13" t="s">
        <v>1875</v>
      </c>
      <c r="E286" s="13" t="s">
        <v>1876</v>
      </c>
      <c r="F286" s="13">
        <v>64.900000000000006</v>
      </c>
      <c r="G286" s="13">
        <v>123000</v>
      </c>
      <c r="H286" s="13">
        <v>3.5</v>
      </c>
      <c r="I286" s="13">
        <f t="shared" si="4"/>
        <v>35142.857142857145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  <c r="O286" s="13">
        <v>0</v>
      </c>
    </row>
    <row r="287" spans="1:15" x14ac:dyDescent="0.25">
      <c r="A287" s="13" t="s">
        <v>1912</v>
      </c>
      <c r="B287" s="13" t="s">
        <v>344</v>
      </c>
      <c r="C287" s="13">
        <v>137</v>
      </c>
      <c r="D287" s="13" t="s">
        <v>1875</v>
      </c>
      <c r="E287" s="13" t="s">
        <v>1876</v>
      </c>
      <c r="F287" s="13">
        <v>37.5</v>
      </c>
      <c r="G287" s="13">
        <v>76500</v>
      </c>
      <c r="H287" s="13">
        <v>3.5</v>
      </c>
      <c r="I287" s="13">
        <f t="shared" si="4"/>
        <v>15638.142857142859</v>
      </c>
      <c r="J287" s="13">
        <v>6219</v>
      </c>
      <c r="K287" s="13">
        <v>0</v>
      </c>
      <c r="L287" s="13">
        <v>0</v>
      </c>
      <c r="M287" s="13">
        <v>0</v>
      </c>
      <c r="N287" s="13">
        <v>0</v>
      </c>
      <c r="O287" s="13">
        <v>0</v>
      </c>
    </row>
    <row r="288" spans="1:15" x14ac:dyDescent="0.25">
      <c r="A288" s="13" t="s">
        <v>1913</v>
      </c>
      <c r="B288" s="13" t="s">
        <v>345</v>
      </c>
      <c r="C288" s="13">
        <v>536</v>
      </c>
      <c r="D288" s="13" t="s">
        <v>1875</v>
      </c>
      <c r="E288" s="13" t="s">
        <v>1876</v>
      </c>
      <c r="F288" s="13">
        <v>98.7</v>
      </c>
      <c r="G288" s="13">
        <v>189000</v>
      </c>
      <c r="H288" s="13">
        <v>3.5</v>
      </c>
      <c r="I288" s="13">
        <f t="shared" si="4"/>
        <v>54000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  <c r="O288" s="13">
        <v>0</v>
      </c>
    </row>
    <row r="289" spans="1:15" x14ac:dyDescent="0.25">
      <c r="A289" s="13" t="s">
        <v>1914</v>
      </c>
      <c r="B289" s="13" t="s">
        <v>346</v>
      </c>
      <c r="C289" s="13">
        <v>464</v>
      </c>
      <c r="D289" s="13" t="s">
        <v>1875</v>
      </c>
      <c r="E289" s="13" t="s">
        <v>1876</v>
      </c>
      <c r="F289" s="13">
        <v>46.4</v>
      </c>
      <c r="G289" s="13">
        <v>123000</v>
      </c>
      <c r="H289" s="13">
        <v>3.5</v>
      </c>
      <c r="I289" s="13">
        <f t="shared" si="4"/>
        <v>28923.857142857145</v>
      </c>
      <c r="J289" s="13">
        <v>6219</v>
      </c>
      <c r="K289" s="13">
        <v>0</v>
      </c>
      <c r="L289" s="13">
        <v>0</v>
      </c>
      <c r="M289" s="13">
        <v>0</v>
      </c>
      <c r="N289" s="13">
        <v>0</v>
      </c>
      <c r="O289" s="13">
        <v>0</v>
      </c>
    </row>
    <row r="290" spans="1:15" x14ac:dyDescent="0.25">
      <c r="A290" s="13" t="s">
        <v>1915</v>
      </c>
      <c r="B290" s="13" t="s">
        <v>347</v>
      </c>
      <c r="C290" s="13">
        <v>344</v>
      </c>
      <c r="D290" s="13" t="s">
        <v>1875</v>
      </c>
      <c r="E290" s="13" t="s">
        <v>1876</v>
      </c>
      <c r="F290" s="13">
        <v>84.8</v>
      </c>
      <c r="G290" s="13">
        <v>164000</v>
      </c>
      <c r="H290" s="13">
        <v>3.5</v>
      </c>
      <c r="I290" s="13">
        <f t="shared" si="4"/>
        <v>46857.142857142855</v>
      </c>
      <c r="J290" s="13">
        <v>0</v>
      </c>
      <c r="K290" s="13">
        <v>0</v>
      </c>
      <c r="L290" s="13">
        <v>0</v>
      </c>
      <c r="M290" s="13">
        <v>0</v>
      </c>
      <c r="N290" s="13">
        <v>0</v>
      </c>
      <c r="O290" s="13">
        <v>0</v>
      </c>
    </row>
    <row r="291" spans="1:15" x14ac:dyDescent="0.25">
      <c r="A291" s="13" t="s">
        <v>1916</v>
      </c>
      <c r="B291" s="13" t="s">
        <v>348</v>
      </c>
      <c r="C291" s="13">
        <v>463</v>
      </c>
      <c r="D291" s="13" t="s">
        <v>1875</v>
      </c>
      <c r="E291" s="13" t="s">
        <v>1876</v>
      </c>
      <c r="F291" s="13">
        <v>66.599999999999994</v>
      </c>
      <c r="G291" s="13">
        <v>162000</v>
      </c>
      <c r="H291" s="13">
        <v>3.5</v>
      </c>
      <c r="I291" s="13">
        <f t="shared" si="4"/>
        <v>46285.714285714283</v>
      </c>
      <c r="J291" s="13">
        <v>0</v>
      </c>
      <c r="K291" s="13">
        <v>0</v>
      </c>
      <c r="L291" s="13">
        <v>0</v>
      </c>
      <c r="M291" s="13">
        <v>0</v>
      </c>
      <c r="N291" s="13">
        <v>0</v>
      </c>
      <c r="O291" s="13">
        <v>0</v>
      </c>
    </row>
    <row r="292" spans="1:15" x14ac:dyDescent="0.25">
      <c r="A292" s="13" t="s">
        <v>1917</v>
      </c>
      <c r="B292" s="13" t="s">
        <v>349</v>
      </c>
      <c r="C292" s="13">
        <v>551</v>
      </c>
      <c r="D292" s="13" t="s">
        <v>1875</v>
      </c>
      <c r="E292" s="13" t="s">
        <v>1876</v>
      </c>
      <c r="F292" s="13">
        <v>65.2</v>
      </c>
      <c r="G292" s="13">
        <v>131000</v>
      </c>
      <c r="H292" s="13">
        <v>3.5</v>
      </c>
      <c r="I292" s="13">
        <f t="shared" si="4"/>
        <v>37428.571428571428</v>
      </c>
      <c r="J292" s="13">
        <v>0</v>
      </c>
      <c r="K292" s="13">
        <v>0</v>
      </c>
      <c r="L292" s="13">
        <v>0</v>
      </c>
      <c r="M292" s="13">
        <v>0</v>
      </c>
      <c r="N292" s="13">
        <v>0</v>
      </c>
      <c r="O292" s="13">
        <v>0</v>
      </c>
    </row>
    <row r="293" spans="1:15" x14ac:dyDescent="0.25">
      <c r="A293" s="13" t="s">
        <v>1918</v>
      </c>
      <c r="B293" s="13" t="s">
        <v>350</v>
      </c>
      <c r="C293" s="13">
        <v>151</v>
      </c>
      <c r="D293" s="13" t="s">
        <v>1875</v>
      </c>
      <c r="E293" s="13" t="s">
        <v>1876</v>
      </c>
      <c r="F293" s="13">
        <v>43.9</v>
      </c>
      <c r="G293" s="13">
        <v>88700</v>
      </c>
      <c r="H293" s="13">
        <v>3.5</v>
      </c>
      <c r="I293" s="13">
        <f t="shared" si="4"/>
        <v>19123.857142857141</v>
      </c>
      <c r="J293" s="13">
        <v>6219</v>
      </c>
      <c r="K293" s="13">
        <v>0</v>
      </c>
      <c r="L293" s="13">
        <v>0</v>
      </c>
      <c r="M293" s="13">
        <v>0</v>
      </c>
      <c r="N293" s="13">
        <v>0</v>
      </c>
      <c r="O293" s="13">
        <v>0</v>
      </c>
    </row>
    <row r="294" spans="1:15" x14ac:dyDescent="0.25">
      <c r="A294" s="13" t="s">
        <v>1919</v>
      </c>
      <c r="B294" s="13" t="s">
        <v>351</v>
      </c>
      <c r="C294" s="13">
        <v>264</v>
      </c>
      <c r="D294" s="13" t="s">
        <v>1875</v>
      </c>
      <c r="E294" s="13" t="s">
        <v>1876</v>
      </c>
      <c r="F294" s="13">
        <v>76.599999999999994</v>
      </c>
      <c r="G294" s="13">
        <v>146000</v>
      </c>
      <c r="H294" s="13">
        <v>3.5</v>
      </c>
      <c r="I294" s="13">
        <f t="shared" si="4"/>
        <v>41714.285714285717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 s="13">
        <v>0</v>
      </c>
    </row>
    <row r="295" spans="1:15" x14ac:dyDescent="0.25">
      <c r="A295" s="13" t="s">
        <v>1920</v>
      </c>
      <c r="B295" s="13" t="s">
        <v>352</v>
      </c>
      <c r="C295" s="13">
        <v>103</v>
      </c>
      <c r="D295" s="13" t="s">
        <v>1875</v>
      </c>
      <c r="E295" s="13" t="s">
        <v>1876</v>
      </c>
      <c r="F295" s="13">
        <v>31.2</v>
      </c>
      <c r="G295" s="13">
        <v>57900</v>
      </c>
      <c r="H295" s="13">
        <v>3.5</v>
      </c>
      <c r="I295" s="13">
        <f t="shared" si="4"/>
        <v>16542.857142857141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 s="13">
        <v>0</v>
      </c>
    </row>
    <row r="296" spans="1:15" x14ac:dyDescent="0.25">
      <c r="A296" s="13" t="s">
        <v>1921</v>
      </c>
      <c r="B296" s="13" t="s">
        <v>353</v>
      </c>
      <c r="C296" s="13">
        <v>1466</v>
      </c>
      <c r="D296" s="13" t="s">
        <v>1875</v>
      </c>
      <c r="E296" s="13" t="s">
        <v>1876</v>
      </c>
      <c r="F296" s="13">
        <v>113.6</v>
      </c>
      <c r="G296" s="13">
        <v>253000</v>
      </c>
      <c r="H296" s="13">
        <v>3.5</v>
      </c>
      <c r="I296" s="13">
        <f t="shared" si="4"/>
        <v>72285.71428571429</v>
      </c>
      <c r="J296" s="13">
        <v>0</v>
      </c>
      <c r="K296" s="13">
        <v>0</v>
      </c>
      <c r="L296" s="13">
        <v>0</v>
      </c>
      <c r="M296" s="13">
        <v>0</v>
      </c>
      <c r="N296" s="13">
        <v>0</v>
      </c>
      <c r="O296" s="13">
        <v>0</v>
      </c>
    </row>
    <row r="297" spans="1:15" x14ac:dyDescent="0.25">
      <c r="A297" s="13" t="s">
        <v>1922</v>
      </c>
      <c r="B297" s="13" t="s">
        <v>354</v>
      </c>
      <c r="C297" s="13">
        <v>463</v>
      </c>
      <c r="D297" s="13" t="s">
        <v>1875</v>
      </c>
      <c r="E297" s="13" t="s">
        <v>1876</v>
      </c>
      <c r="F297" s="13">
        <v>61.3</v>
      </c>
      <c r="G297" s="13">
        <v>123000</v>
      </c>
      <c r="H297" s="13">
        <v>3.5</v>
      </c>
      <c r="I297" s="13">
        <f t="shared" si="4"/>
        <v>35142.857142857145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  <c r="O297" s="13">
        <v>0</v>
      </c>
    </row>
    <row r="298" spans="1:15" x14ac:dyDescent="0.25">
      <c r="A298" s="13" t="s">
        <v>1923</v>
      </c>
      <c r="B298" s="13" t="s">
        <v>355</v>
      </c>
      <c r="C298" s="13">
        <v>113</v>
      </c>
      <c r="D298" s="13" t="s">
        <v>1875</v>
      </c>
      <c r="E298" s="13" t="s">
        <v>1876</v>
      </c>
      <c r="F298" s="13">
        <v>47.1</v>
      </c>
      <c r="G298" s="13">
        <v>85700</v>
      </c>
      <c r="H298" s="13">
        <v>3.5</v>
      </c>
      <c r="I298" s="13">
        <f t="shared" si="4"/>
        <v>24485.714285714286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  <c r="O298" s="13">
        <v>0</v>
      </c>
    </row>
    <row r="299" spans="1:15" x14ac:dyDescent="0.25">
      <c r="A299" s="13" t="s">
        <v>1924</v>
      </c>
      <c r="B299" s="13" t="s">
        <v>356</v>
      </c>
      <c r="C299" s="13">
        <v>119</v>
      </c>
      <c r="D299" s="13" t="s">
        <v>1875</v>
      </c>
      <c r="E299" s="13" t="s">
        <v>1876</v>
      </c>
      <c r="F299" s="13">
        <v>32.6</v>
      </c>
      <c r="G299" s="13">
        <v>59900</v>
      </c>
      <c r="H299" s="13">
        <v>3.5</v>
      </c>
      <c r="I299" s="13">
        <f t="shared" si="4"/>
        <v>17114.285714285714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 s="13">
        <v>0</v>
      </c>
    </row>
    <row r="300" spans="1:15" x14ac:dyDescent="0.25">
      <c r="A300" s="13" t="s">
        <v>1925</v>
      </c>
      <c r="B300" s="13" t="s">
        <v>357</v>
      </c>
      <c r="C300" s="13">
        <v>746</v>
      </c>
      <c r="D300" s="13" t="s">
        <v>1875</v>
      </c>
      <c r="E300" s="13" t="s">
        <v>1876</v>
      </c>
      <c r="F300" s="13">
        <v>143.4</v>
      </c>
      <c r="G300" s="13">
        <v>306000</v>
      </c>
      <c r="H300" s="13">
        <v>3.5</v>
      </c>
      <c r="I300" s="13">
        <f t="shared" si="4"/>
        <v>87428.571428571435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 s="13">
        <v>0</v>
      </c>
    </row>
    <row r="301" spans="1:15" x14ac:dyDescent="0.25">
      <c r="A301" s="13" t="s">
        <v>1926</v>
      </c>
      <c r="B301" s="13" t="s">
        <v>358</v>
      </c>
      <c r="C301" s="13">
        <v>2700</v>
      </c>
      <c r="D301" s="13" t="s">
        <v>1875</v>
      </c>
      <c r="E301" s="13" t="s">
        <v>1876</v>
      </c>
      <c r="F301" s="13">
        <v>239.4</v>
      </c>
      <c r="G301" s="13">
        <v>520000</v>
      </c>
      <c r="H301" s="13">
        <v>3.5</v>
      </c>
      <c r="I301" s="13">
        <f t="shared" si="4"/>
        <v>148571.42857142858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  <c r="O301" s="13">
        <v>0</v>
      </c>
    </row>
    <row r="302" spans="1:15" x14ac:dyDescent="0.25">
      <c r="A302" s="13" t="s">
        <v>1927</v>
      </c>
      <c r="B302" s="13" t="s">
        <v>359</v>
      </c>
      <c r="C302" s="13">
        <v>753</v>
      </c>
      <c r="D302" s="13" t="s">
        <v>1875</v>
      </c>
      <c r="E302" s="13" t="s">
        <v>1876</v>
      </c>
      <c r="F302" s="13">
        <v>69.2</v>
      </c>
      <c r="G302" s="13">
        <v>146000</v>
      </c>
      <c r="H302" s="13">
        <v>3.5</v>
      </c>
      <c r="I302" s="13">
        <f t="shared" si="4"/>
        <v>41714.285714285717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 s="13">
        <v>0</v>
      </c>
    </row>
    <row r="303" spans="1:15" x14ac:dyDescent="0.25">
      <c r="A303" s="13" t="s">
        <v>1928</v>
      </c>
      <c r="B303" s="13" t="s">
        <v>360</v>
      </c>
      <c r="C303" s="13">
        <v>89</v>
      </c>
      <c r="D303" s="13" t="s">
        <v>1875</v>
      </c>
      <c r="E303" s="13" t="s">
        <v>1876</v>
      </c>
      <c r="F303" s="13">
        <v>34.5</v>
      </c>
      <c r="G303" s="13">
        <v>62900</v>
      </c>
      <c r="H303" s="13">
        <v>3.5</v>
      </c>
      <c r="I303" s="13">
        <f t="shared" si="4"/>
        <v>17971.428571428572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 s="13">
        <v>0</v>
      </c>
    </row>
    <row r="304" spans="1:15" x14ac:dyDescent="0.25">
      <c r="A304" s="13" t="s">
        <v>1929</v>
      </c>
      <c r="B304" s="13" t="s">
        <v>361</v>
      </c>
      <c r="C304" s="13">
        <v>228</v>
      </c>
      <c r="D304" s="13" t="s">
        <v>1875</v>
      </c>
      <c r="E304" s="13" t="s">
        <v>1876</v>
      </c>
      <c r="F304" s="13">
        <v>39.799999999999997</v>
      </c>
      <c r="G304" s="13">
        <v>77400</v>
      </c>
      <c r="H304" s="13">
        <v>3.5</v>
      </c>
      <c r="I304" s="13">
        <f t="shared" si="4"/>
        <v>22114.285714285714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 s="13">
        <v>0</v>
      </c>
    </row>
    <row r="305" spans="1:15" x14ac:dyDescent="0.25">
      <c r="A305" s="13" t="s">
        <v>1930</v>
      </c>
      <c r="B305" s="13" t="s">
        <v>362</v>
      </c>
      <c r="C305" s="13">
        <v>334</v>
      </c>
      <c r="D305" s="13" t="s">
        <v>1875</v>
      </c>
      <c r="E305" s="13" t="s">
        <v>1876</v>
      </c>
      <c r="F305" s="13">
        <v>43</v>
      </c>
      <c r="G305" s="13">
        <v>83600</v>
      </c>
      <c r="H305" s="13">
        <v>3.5</v>
      </c>
      <c r="I305" s="13">
        <f t="shared" si="4"/>
        <v>23885.714285714286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 s="13">
        <v>0</v>
      </c>
    </row>
    <row r="306" spans="1:15" x14ac:dyDescent="0.25">
      <c r="A306" s="13" t="s">
        <v>1931</v>
      </c>
      <c r="B306" s="13" t="s">
        <v>363</v>
      </c>
      <c r="C306" s="13">
        <v>229</v>
      </c>
      <c r="D306" s="13" t="s">
        <v>1875</v>
      </c>
      <c r="E306" s="13" t="s">
        <v>1876</v>
      </c>
      <c r="F306" s="13">
        <v>58.5</v>
      </c>
      <c r="G306" s="13">
        <v>105000</v>
      </c>
      <c r="H306" s="13">
        <v>3.5</v>
      </c>
      <c r="I306" s="13">
        <f t="shared" si="4"/>
        <v>30000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 s="13">
        <v>0</v>
      </c>
    </row>
    <row r="307" spans="1:15" x14ac:dyDescent="0.25">
      <c r="A307" s="13" t="s">
        <v>1932</v>
      </c>
      <c r="B307" s="13" t="s">
        <v>364</v>
      </c>
      <c r="C307" s="13">
        <v>452</v>
      </c>
      <c r="D307" s="13" t="s">
        <v>1875</v>
      </c>
      <c r="E307" s="13" t="s">
        <v>1876</v>
      </c>
      <c r="F307" s="13">
        <v>64.2</v>
      </c>
      <c r="G307" s="13">
        <v>126000</v>
      </c>
      <c r="H307" s="13">
        <v>3.5</v>
      </c>
      <c r="I307" s="13">
        <f t="shared" si="4"/>
        <v>36000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 s="13">
        <v>0</v>
      </c>
    </row>
    <row r="308" spans="1:15" x14ac:dyDescent="0.25">
      <c r="A308" s="13" t="s">
        <v>1933</v>
      </c>
      <c r="B308" s="13" t="s">
        <v>365</v>
      </c>
      <c r="C308" s="13">
        <v>160</v>
      </c>
      <c r="D308" s="13" t="s">
        <v>1875</v>
      </c>
      <c r="E308" s="13" t="s">
        <v>1876</v>
      </c>
      <c r="F308" s="13">
        <v>25.1</v>
      </c>
      <c r="G308" s="13">
        <v>58100</v>
      </c>
      <c r="H308" s="13">
        <v>3.5</v>
      </c>
      <c r="I308" s="13">
        <f t="shared" si="4"/>
        <v>10381</v>
      </c>
      <c r="J308" s="13">
        <v>6219</v>
      </c>
      <c r="K308" s="13">
        <v>0</v>
      </c>
      <c r="L308" s="13">
        <v>0</v>
      </c>
      <c r="M308" s="13">
        <v>0</v>
      </c>
      <c r="N308" s="13">
        <v>0</v>
      </c>
      <c r="O308" s="13">
        <v>0</v>
      </c>
    </row>
    <row r="309" spans="1:15" x14ac:dyDescent="0.25">
      <c r="A309" s="13" t="s">
        <v>1934</v>
      </c>
      <c r="B309" s="13" t="s">
        <v>366</v>
      </c>
      <c r="C309" s="13">
        <v>643</v>
      </c>
      <c r="D309" s="13" t="s">
        <v>1875</v>
      </c>
      <c r="E309" s="13" t="s">
        <v>1876</v>
      </c>
      <c r="F309" s="13">
        <v>147.6</v>
      </c>
      <c r="G309" s="13">
        <v>276000</v>
      </c>
      <c r="H309" s="13">
        <v>3.5</v>
      </c>
      <c r="I309" s="13">
        <f t="shared" si="4"/>
        <v>78857.142857142855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 s="13">
        <v>0</v>
      </c>
    </row>
    <row r="310" spans="1:15" x14ac:dyDescent="0.25">
      <c r="A310" s="13" t="s">
        <v>1935</v>
      </c>
      <c r="B310" s="13" t="s">
        <v>367</v>
      </c>
      <c r="C310" s="13">
        <v>503</v>
      </c>
      <c r="D310" s="13" t="s">
        <v>1875</v>
      </c>
      <c r="E310" s="13" t="s">
        <v>1876</v>
      </c>
      <c r="F310" s="13">
        <v>67.400000000000006</v>
      </c>
      <c r="G310" s="13">
        <v>167000</v>
      </c>
      <c r="H310" s="13">
        <v>3.5</v>
      </c>
      <c r="I310" s="13">
        <f t="shared" si="4"/>
        <v>41495.285714285717</v>
      </c>
      <c r="J310" s="13">
        <v>6219</v>
      </c>
      <c r="K310" s="13">
        <v>0</v>
      </c>
      <c r="L310" s="13">
        <v>0</v>
      </c>
      <c r="M310" s="13">
        <v>0</v>
      </c>
      <c r="N310" s="13">
        <v>0</v>
      </c>
      <c r="O310" s="13">
        <v>0</v>
      </c>
    </row>
    <row r="311" spans="1:15" x14ac:dyDescent="0.25">
      <c r="A311" s="13" t="s">
        <v>1936</v>
      </c>
      <c r="B311" s="13" t="s">
        <v>368</v>
      </c>
      <c r="C311" s="13">
        <v>487</v>
      </c>
      <c r="D311" s="13" t="s">
        <v>1875</v>
      </c>
      <c r="E311" s="13" t="s">
        <v>1876</v>
      </c>
      <c r="F311" s="13">
        <v>114.4</v>
      </c>
      <c r="G311" s="13">
        <v>213000</v>
      </c>
      <c r="H311" s="13">
        <v>3.5</v>
      </c>
      <c r="I311" s="13">
        <f t="shared" si="4"/>
        <v>60857.142857142855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  <c r="O311" s="13">
        <v>0</v>
      </c>
    </row>
    <row r="312" spans="1:15" x14ac:dyDescent="0.25">
      <c r="A312" s="13" t="s">
        <v>1937</v>
      </c>
      <c r="B312" s="13" t="s">
        <v>370</v>
      </c>
      <c r="C312" s="13">
        <v>1041</v>
      </c>
      <c r="D312" s="13" t="s">
        <v>1875</v>
      </c>
      <c r="E312" s="13" t="s">
        <v>1876</v>
      </c>
      <c r="F312" s="13">
        <v>100.2</v>
      </c>
      <c r="G312" s="13">
        <v>276000</v>
      </c>
      <c r="H312" s="13">
        <v>3.5</v>
      </c>
      <c r="I312" s="13">
        <f t="shared" si="4"/>
        <v>67801.142857142855</v>
      </c>
      <c r="J312" s="13">
        <v>11056</v>
      </c>
      <c r="K312" s="13">
        <v>0</v>
      </c>
      <c r="L312" s="13">
        <v>0</v>
      </c>
      <c r="M312" s="13">
        <v>0</v>
      </c>
      <c r="N312" s="13">
        <v>0</v>
      </c>
      <c r="O312" s="13">
        <v>0</v>
      </c>
    </row>
    <row r="313" spans="1:15" x14ac:dyDescent="0.25">
      <c r="A313" s="13" t="s">
        <v>1938</v>
      </c>
      <c r="B313" s="13" t="s">
        <v>371</v>
      </c>
      <c r="C313" s="13">
        <v>179</v>
      </c>
      <c r="D313" s="13" t="s">
        <v>1875</v>
      </c>
      <c r="E313" s="13" t="s">
        <v>1876</v>
      </c>
      <c r="F313" s="13">
        <v>28.5</v>
      </c>
      <c r="G313" s="13">
        <v>55000</v>
      </c>
      <c r="H313" s="13">
        <v>3.5</v>
      </c>
      <c r="I313" s="13">
        <f t="shared" si="4"/>
        <v>15714.285714285714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  <c r="O313" s="13">
        <v>0</v>
      </c>
    </row>
    <row r="314" spans="1:15" x14ac:dyDescent="0.25">
      <c r="A314" s="13" t="s">
        <v>1939</v>
      </c>
      <c r="B314" s="13" t="s">
        <v>372</v>
      </c>
      <c r="C314" s="13">
        <v>625</v>
      </c>
      <c r="D314" s="13" t="s">
        <v>1875</v>
      </c>
      <c r="E314" s="13" t="s">
        <v>1876</v>
      </c>
      <c r="F314" s="13">
        <v>64.099999999999994</v>
      </c>
      <c r="G314" s="13">
        <v>135000</v>
      </c>
      <c r="H314" s="13">
        <v>3.5</v>
      </c>
      <c r="I314" s="13">
        <f t="shared" si="4"/>
        <v>38571.428571428572</v>
      </c>
      <c r="J314" s="13">
        <v>0</v>
      </c>
      <c r="K314" s="13">
        <v>0</v>
      </c>
      <c r="L314" s="13">
        <v>0</v>
      </c>
      <c r="M314" s="13">
        <v>0</v>
      </c>
      <c r="N314" s="13">
        <v>0</v>
      </c>
      <c r="O314" s="13">
        <v>0</v>
      </c>
    </row>
    <row r="315" spans="1:15" x14ac:dyDescent="0.25">
      <c r="A315" s="13" t="s">
        <v>1940</v>
      </c>
      <c r="B315" s="13" t="s">
        <v>373</v>
      </c>
      <c r="C315" s="13">
        <v>256</v>
      </c>
      <c r="D315" s="13" t="s">
        <v>1875</v>
      </c>
      <c r="E315" s="13" t="s">
        <v>1876</v>
      </c>
      <c r="F315" s="13">
        <v>32.700000000000003</v>
      </c>
      <c r="G315" s="13">
        <v>65000</v>
      </c>
      <c r="H315" s="13">
        <v>3.5</v>
      </c>
      <c r="I315" s="13">
        <f t="shared" si="4"/>
        <v>18571.428571428572</v>
      </c>
      <c r="J315" s="13">
        <v>0</v>
      </c>
      <c r="K315" s="13">
        <v>0</v>
      </c>
      <c r="L315" s="13">
        <v>0</v>
      </c>
      <c r="M315" s="13">
        <v>0</v>
      </c>
      <c r="N315" s="13">
        <v>0</v>
      </c>
      <c r="O315" s="13">
        <v>0</v>
      </c>
    </row>
    <row r="316" spans="1:15" x14ac:dyDescent="0.25">
      <c r="A316" s="13" t="s">
        <v>1941</v>
      </c>
      <c r="B316" s="13" t="s">
        <v>374</v>
      </c>
      <c r="C316" s="13">
        <v>423</v>
      </c>
      <c r="D316" s="13" t="s">
        <v>1875</v>
      </c>
      <c r="E316" s="13" t="s">
        <v>1876</v>
      </c>
      <c r="F316" s="13">
        <v>67.2</v>
      </c>
      <c r="G316" s="13">
        <v>148000</v>
      </c>
      <c r="H316" s="13">
        <v>3.5</v>
      </c>
      <c r="I316" s="13">
        <f t="shared" si="4"/>
        <v>42285.714285714283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 s="13">
        <v>0</v>
      </c>
    </row>
    <row r="317" spans="1:15" x14ac:dyDescent="0.25">
      <c r="A317" s="13" t="s">
        <v>1942</v>
      </c>
      <c r="B317" s="13" t="s">
        <v>375</v>
      </c>
      <c r="C317" s="13">
        <v>1296</v>
      </c>
      <c r="D317" s="13" t="s">
        <v>1875</v>
      </c>
      <c r="E317" s="13" t="s">
        <v>1876</v>
      </c>
      <c r="F317" s="13">
        <v>145.69999999999999</v>
      </c>
      <c r="G317" s="13">
        <v>382000</v>
      </c>
      <c r="H317" s="13">
        <v>3.5</v>
      </c>
      <c r="I317" s="13">
        <f t="shared" si="4"/>
        <v>98086.857142857145</v>
      </c>
      <c r="J317" s="13">
        <v>11056</v>
      </c>
      <c r="K317" s="13">
        <v>0</v>
      </c>
      <c r="L317" s="13">
        <v>0</v>
      </c>
      <c r="M317" s="13">
        <v>0</v>
      </c>
      <c r="N317" s="13">
        <v>0</v>
      </c>
      <c r="O317" s="13">
        <v>0</v>
      </c>
    </row>
    <row r="318" spans="1:15" x14ac:dyDescent="0.25">
      <c r="A318" s="13" t="s">
        <v>1943</v>
      </c>
      <c r="B318" s="13" t="s">
        <v>376</v>
      </c>
      <c r="C318" s="13">
        <v>333</v>
      </c>
      <c r="D318" s="13" t="s">
        <v>1875</v>
      </c>
      <c r="E318" s="13" t="s">
        <v>1876</v>
      </c>
      <c r="F318" s="13">
        <v>61.4</v>
      </c>
      <c r="G318" s="13">
        <v>120000</v>
      </c>
      <c r="H318" s="13">
        <v>3.5</v>
      </c>
      <c r="I318" s="13">
        <f t="shared" si="4"/>
        <v>34285.714285714283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 s="13">
        <v>0</v>
      </c>
    </row>
    <row r="319" spans="1:15" x14ac:dyDescent="0.25">
      <c r="A319" s="13" t="s">
        <v>1944</v>
      </c>
      <c r="B319" s="13" t="s">
        <v>377</v>
      </c>
      <c r="C319" s="13">
        <v>420</v>
      </c>
      <c r="D319" s="13" t="s">
        <v>1875</v>
      </c>
      <c r="E319" s="13" t="s">
        <v>1876</v>
      </c>
      <c r="F319" s="13">
        <v>78.599999999999994</v>
      </c>
      <c r="G319" s="13">
        <v>176000</v>
      </c>
      <c r="H319" s="13">
        <v>3.5</v>
      </c>
      <c r="I319" s="13">
        <f t="shared" si="4"/>
        <v>50285.714285714283</v>
      </c>
      <c r="J319" s="13">
        <v>0</v>
      </c>
      <c r="K319" s="13">
        <v>0</v>
      </c>
      <c r="L319" s="13">
        <v>0</v>
      </c>
      <c r="M319" s="13">
        <v>0</v>
      </c>
      <c r="N319" s="13">
        <v>0</v>
      </c>
      <c r="O319" s="13">
        <v>0</v>
      </c>
    </row>
    <row r="320" spans="1:15" x14ac:dyDescent="0.25">
      <c r="A320" s="13" t="s">
        <v>1945</v>
      </c>
      <c r="B320" s="13" t="s">
        <v>378</v>
      </c>
      <c r="C320" s="13">
        <v>127</v>
      </c>
      <c r="D320" s="13" t="s">
        <v>1875</v>
      </c>
      <c r="E320" s="13" t="s">
        <v>1876</v>
      </c>
      <c r="F320" s="13">
        <v>37.299999999999997</v>
      </c>
      <c r="G320" s="13">
        <v>75300</v>
      </c>
      <c r="H320" s="13">
        <v>3.5</v>
      </c>
      <c r="I320" s="13">
        <f t="shared" si="4"/>
        <v>15295.285714285714</v>
      </c>
      <c r="J320" s="13">
        <v>6219</v>
      </c>
      <c r="K320" s="13">
        <v>0</v>
      </c>
      <c r="L320" s="13">
        <v>0</v>
      </c>
      <c r="M320" s="13">
        <v>0</v>
      </c>
      <c r="N320" s="13">
        <v>0</v>
      </c>
      <c r="O320" s="13">
        <v>0</v>
      </c>
    </row>
    <row r="321" spans="1:15" x14ac:dyDescent="0.25">
      <c r="A321" s="13" t="s">
        <v>1946</v>
      </c>
      <c r="B321" s="13" t="s">
        <v>379</v>
      </c>
      <c r="C321" s="13">
        <v>704</v>
      </c>
      <c r="D321" s="13" t="s">
        <v>1875</v>
      </c>
      <c r="E321" s="13" t="s">
        <v>1876</v>
      </c>
      <c r="F321" s="13">
        <v>57.4</v>
      </c>
      <c r="G321" s="13">
        <v>170000</v>
      </c>
      <c r="H321" s="13">
        <v>3.5</v>
      </c>
      <c r="I321" s="13">
        <f t="shared" si="4"/>
        <v>37515.428571428572</v>
      </c>
      <c r="J321" s="13">
        <v>11056</v>
      </c>
      <c r="K321" s="13">
        <v>0</v>
      </c>
      <c r="L321" s="13">
        <v>0</v>
      </c>
      <c r="M321" s="13">
        <v>0</v>
      </c>
      <c r="N321" s="13">
        <v>0</v>
      </c>
      <c r="O321" s="13">
        <v>0</v>
      </c>
    </row>
    <row r="322" spans="1:15" x14ac:dyDescent="0.25">
      <c r="A322" s="13" t="s">
        <v>1947</v>
      </c>
      <c r="B322" s="13" t="s">
        <v>380</v>
      </c>
      <c r="C322" s="13">
        <v>321</v>
      </c>
      <c r="D322" s="13" t="s">
        <v>1875</v>
      </c>
      <c r="E322" s="13" t="s">
        <v>1876</v>
      </c>
      <c r="F322" s="13">
        <v>102.9</v>
      </c>
      <c r="G322" s="13">
        <v>207000</v>
      </c>
      <c r="H322" s="13">
        <v>3.5</v>
      </c>
      <c r="I322" s="13">
        <f t="shared" si="4"/>
        <v>48086.857142857145</v>
      </c>
      <c r="J322" s="13">
        <v>11056</v>
      </c>
      <c r="K322" s="13">
        <v>0</v>
      </c>
      <c r="L322" s="13">
        <v>0</v>
      </c>
      <c r="M322" s="13">
        <v>0</v>
      </c>
      <c r="N322" s="13">
        <v>0</v>
      </c>
      <c r="O322" s="13">
        <v>0</v>
      </c>
    </row>
    <row r="323" spans="1:15" x14ac:dyDescent="0.25">
      <c r="A323" s="13" t="s">
        <v>1948</v>
      </c>
      <c r="B323" s="13" t="s">
        <v>381</v>
      </c>
      <c r="C323" s="13">
        <v>555</v>
      </c>
      <c r="D323" s="13" t="s">
        <v>1875</v>
      </c>
      <c r="E323" s="13" t="s">
        <v>1876</v>
      </c>
      <c r="F323" s="13">
        <v>73.7</v>
      </c>
      <c r="G323" s="13">
        <v>177000</v>
      </c>
      <c r="H323" s="13">
        <v>3.5</v>
      </c>
      <c r="I323" s="13">
        <f t="shared" ref="I323:I364" si="5">G323/H323-SUM(J323:O323)</f>
        <v>44352.428571428572</v>
      </c>
      <c r="J323" s="13">
        <v>6219</v>
      </c>
      <c r="K323" s="13">
        <v>0</v>
      </c>
      <c r="L323" s="13">
        <v>0</v>
      </c>
      <c r="M323" s="13">
        <v>0</v>
      </c>
      <c r="N323" s="13">
        <v>0</v>
      </c>
      <c r="O323" s="13">
        <v>0</v>
      </c>
    </row>
    <row r="324" spans="1:15" x14ac:dyDescent="0.25">
      <c r="A324" s="13" t="s">
        <v>1949</v>
      </c>
      <c r="B324" s="13" t="s">
        <v>382</v>
      </c>
      <c r="C324" s="13">
        <v>185</v>
      </c>
      <c r="D324" s="13" t="s">
        <v>1875</v>
      </c>
      <c r="E324" s="13" t="s">
        <v>1876</v>
      </c>
      <c r="F324" s="13">
        <v>42.2</v>
      </c>
      <c r="G324" s="13">
        <v>82300</v>
      </c>
      <c r="H324" s="13">
        <v>3.5</v>
      </c>
      <c r="I324" s="13">
        <f t="shared" si="5"/>
        <v>23514.285714285714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 s="13">
        <v>0</v>
      </c>
    </row>
    <row r="325" spans="1:15" x14ac:dyDescent="0.25">
      <c r="A325" s="13" t="s">
        <v>1950</v>
      </c>
      <c r="B325" s="13" t="s">
        <v>383</v>
      </c>
      <c r="C325" s="13">
        <v>568</v>
      </c>
      <c r="D325" s="13" t="s">
        <v>1875</v>
      </c>
      <c r="E325" s="13" t="s">
        <v>1876</v>
      </c>
      <c r="F325" s="13">
        <v>83.4</v>
      </c>
      <c r="G325" s="13">
        <v>166000</v>
      </c>
      <c r="H325" s="13">
        <v>3.5</v>
      </c>
      <c r="I325" s="13">
        <f t="shared" si="5"/>
        <v>47428.571428571428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 s="13">
        <v>0</v>
      </c>
    </row>
    <row r="326" spans="1:15" x14ac:dyDescent="0.25">
      <c r="A326" s="13" t="s">
        <v>1951</v>
      </c>
      <c r="B326" s="13" t="s">
        <v>384</v>
      </c>
      <c r="C326" s="13">
        <v>525</v>
      </c>
      <c r="D326" s="13" t="s">
        <v>1875</v>
      </c>
      <c r="E326" s="13" t="s">
        <v>1876</v>
      </c>
      <c r="F326" s="13">
        <v>154.30000000000001</v>
      </c>
      <c r="G326" s="13">
        <v>295000</v>
      </c>
      <c r="H326" s="13">
        <v>3.5</v>
      </c>
      <c r="I326" s="13">
        <f t="shared" si="5"/>
        <v>84285.71428571429</v>
      </c>
      <c r="J326" s="13">
        <v>0</v>
      </c>
      <c r="K326" s="13">
        <v>0</v>
      </c>
      <c r="L326" s="13">
        <v>0</v>
      </c>
      <c r="M326" s="13">
        <v>0</v>
      </c>
      <c r="N326" s="13">
        <v>0</v>
      </c>
      <c r="O326" s="13">
        <v>0</v>
      </c>
    </row>
    <row r="327" spans="1:15" x14ac:dyDescent="0.25">
      <c r="A327" s="13" t="s">
        <v>1952</v>
      </c>
      <c r="B327" s="13" t="s">
        <v>385</v>
      </c>
      <c r="C327" s="13">
        <v>455</v>
      </c>
      <c r="D327" s="13" t="s">
        <v>1875</v>
      </c>
      <c r="E327" s="13" t="s">
        <v>1876</v>
      </c>
      <c r="F327" s="13">
        <v>73.599999999999994</v>
      </c>
      <c r="G327" s="13">
        <v>161000</v>
      </c>
      <c r="H327" s="13">
        <v>3.5</v>
      </c>
      <c r="I327" s="13">
        <f t="shared" si="5"/>
        <v>46000</v>
      </c>
      <c r="J327" s="13">
        <v>0</v>
      </c>
      <c r="K327" s="13">
        <v>0</v>
      </c>
      <c r="L327" s="13">
        <v>0</v>
      </c>
      <c r="M327" s="13">
        <v>0</v>
      </c>
      <c r="N327" s="13">
        <v>0</v>
      </c>
      <c r="O327" s="13">
        <v>0</v>
      </c>
    </row>
    <row r="328" spans="1:15" x14ac:dyDescent="0.25">
      <c r="A328" s="13" t="s">
        <v>1953</v>
      </c>
      <c r="B328" s="13" t="s">
        <v>386</v>
      </c>
      <c r="C328" s="13">
        <v>893</v>
      </c>
      <c r="D328" s="13" t="s">
        <v>1875</v>
      </c>
      <c r="E328" s="13" t="s">
        <v>1876</v>
      </c>
      <c r="F328" s="13">
        <v>126.9</v>
      </c>
      <c r="G328" s="13">
        <v>292000</v>
      </c>
      <c r="H328" s="13">
        <v>3.5</v>
      </c>
      <c r="I328" s="13">
        <f t="shared" si="5"/>
        <v>83428.571428571435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 s="13">
        <v>0</v>
      </c>
    </row>
    <row r="329" spans="1:15" x14ac:dyDescent="0.25">
      <c r="A329" s="13" t="s">
        <v>1954</v>
      </c>
      <c r="B329" s="13" t="s">
        <v>387</v>
      </c>
      <c r="C329" s="13">
        <v>987</v>
      </c>
      <c r="D329" s="13" t="s">
        <v>1875</v>
      </c>
      <c r="E329" s="13" t="s">
        <v>1876</v>
      </c>
      <c r="F329" s="13">
        <v>137.80000000000001</v>
      </c>
      <c r="G329" s="13">
        <v>278000</v>
      </c>
      <c r="H329" s="13">
        <v>3.5</v>
      </c>
      <c r="I329" s="13">
        <f t="shared" si="5"/>
        <v>79428.571428571435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 s="13">
        <v>0</v>
      </c>
    </row>
    <row r="330" spans="1:15" x14ac:dyDescent="0.25">
      <c r="A330" s="13" t="s">
        <v>1955</v>
      </c>
      <c r="B330" s="13" t="s">
        <v>388</v>
      </c>
      <c r="C330" s="13">
        <v>338</v>
      </c>
      <c r="D330" s="13" t="s">
        <v>1875</v>
      </c>
      <c r="E330" s="13" t="s">
        <v>1876</v>
      </c>
      <c r="F330" s="13">
        <v>39.299999999999997</v>
      </c>
      <c r="G330" s="13">
        <v>99300</v>
      </c>
      <c r="H330" s="13">
        <v>3.5</v>
      </c>
      <c r="I330" s="13">
        <f t="shared" si="5"/>
        <v>22152.428571428572</v>
      </c>
      <c r="J330" s="13">
        <v>6219</v>
      </c>
      <c r="K330" s="13">
        <v>0</v>
      </c>
      <c r="L330" s="13">
        <v>0</v>
      </c>
      <c r="M330" s="13">
        <v>0</v>
      </c>
      <c r="N330" s="13">
        <v>0</v>
      </c>
      <c r="O330" s="13">
        <v>0</v>
      </c>
    </row>
    <row r="331" spans="1:15" x14ac:dyDescent="0.25">
      <c r="A331" s="13" t="s">
        <v>1956</v>
      </c>
      <c r="B331" s="13" t="s">
        <v>389</v>
      </c>
      <c r="C331" s="13">
        <v>80</v>
      </c>
      <c r="D331" s="13" t="s">
        <v>1875</v>
      </c>
      <c r="E331" s="13" t="s">
        <v>1876</v>
      </c>
      <c r="F331" s="13">
        <v>12.4</v>
      </c>
      <c r="G331" s="13">
        <v>28500</v>
      </c>
      <c r="H331" s="13">
        <v>3.5</v>
      </c>
      <c r="I331" s="13">
        <f t="shared" si="5"/>
        <v>3996.8571428571431</v>
      </c>
      <c r="J331" s="13">
        <v>4146</v>
      </c>
      <c r="K331" s="13">
        <v>0</v>
      </c>
      <c r="L331" s="13">
        <v>0</v>
      </c>
      <c r="M331" s="13">
        <v>0</v>
      </c>
      <c r="N331" s="13">
        <v>0</v>
      </c>
      <c r="O331" s="13">
        <v>0</v>
      </c>
    </row>
    <row r="332" spans="1:15" x14ac:dyDescent="0.25">
      <c r="A332" s="13" t="s">
        <v>1957</v>
      </c>
      <c r="B332" s="13" t="s">
        <v>390</v>
      </c>
      <c r="C332" s="13">
        <v>1250</v>
      </c>
      <c r="D332" s="13" t="s">
        <v>1875</v>
      </c>
      <c r="E332" s="13" t="s">
        <v>1876</v>
      </c>
      <c r="F332" s="13">
        <v>176.9</v>
      </c>
      <c r="G332" s="13">
        <v>357000</v>
      </c>
      <c r="H332" s="13">
        <v>3.5</v>
      </c>
      <c r="I332" s="13">
        <f t="shared" si="5"/>
        <v>102000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 s="13">
        <v>0</v>
      </c>
    </row>
    <row r="333" spans="1:15" x14ac:dyDescent="0.25">
      <c r="A333" s="13" t="s">
        <v>1958</v>
      </c>
      <c r="B333" s="13" t="s">
        <v>391</v>
      </c>
      <c r="C333" s="13">
        <v>327</v>
      </c>
      <c r="D333" s="13" t="s">
        <v>1875</v>
      </c>
      <c r="E333" s="13" t="s">
        <v>1876</v>
      </c>
      <c r="F333" s="13">
        <v>91.8</v>
      </c>
      <c r="G333" s="13">
        <v>170000</v>
      </c>
      <c r="H333" s="13">
        <v>3.5</v>
      </c>
      <c r="I333" s="13">
        <f t="shared" si="5"/>
        <v>48571.428571428572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 s="13">
        <v>0</v>
      </c>
    </row>
    <row r="334" spans="1:15" x14ac:dyDescent="0.25">
      <c r="A334" s="13" t="s">
        <v>1959</v>
      </c>
      <c r="B334" s="13" t="s">
        <v>393</v>
      </c>
      <c r="C334" s="13">
        <v>264</v>
      </c>
      <c r="D334" s="13" t="s">
        <v>1875</v>
      </c>
      <c r="E334" s="13" t="s">
        <v>1876</v>
      </c>
      <c r="F334" s="13">
        <v>29.3</v>
      </c>
      <c r="G334" s="13">
        <v>57400</v>
      </c>
      <c r="H334" s="13">
        <v>3.5</v>
      </c>
      <c r="I334" s="13">
        <f t="shared" si="5"/>
        <v>16400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 s="13">
        <v>0</v>
      </c>
    </row>
    <row r="335" spans="1:15" x14ac:dyDescent="0.25">
      <c r="A335" s="13" t="s">
        <v>1960</v>
      </c>
      <c r="B335" s="13" t="s">
        <v>394</v>
      </c>
      <c r="C335" s="13">
        <v>311</v>
      </c>
      <c r="D335" s="13" t="s">
        <v>1875</v>
      </c>
      <c r="E335" s="13" t="s">
        <v>1876</v>
      </c>
      <c r="F335" s="13">
        <v>61.4</v>
      </c>
      <c r="G335" s="13">
        <v>117000</v>
      </c>
      <c r="H335" s="13">
        <v>3.5</v>
      </c>
      <c r="I335" s="13">
        <f t="shared" si="5"/>
        <v>33428.571428571428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 s="13">
        <v>0</v>
      </c>
    </row>
    <row r="336" spans="1:15" x14ac:dyDescent="0.25">
      <c r="A336" s="13" t="s">
        <v>1961</v>
      </c>
      <c r="B336" s="13" t="s">
        <v>395</v>
      </c>
      <c r="C336" s="13">
        <v>241</v>
      </c>
      <c r="D336" s="13" t="s">
        <v>1875</v>
      </c>
      <c r="E336" s="13" t="s">
        <v>1876</v>
      </c>
      <c r="F336" s="13">
        <v>62.6</v>
      </c>
      <c r="G336" s="13">
        <v>120000</v>
      </c>
      <c r="H336" s="13">
        <v>3.5</v>
      </c>
      <c r="I336" s="13">
        <f t="shared" si="5"/>
        <v>34285.714285714283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 s="13">
        <v>0</v>
      </c>
    </row>
    <row r="337" spans="1:15" x14ac:dyDescent="0.25">
      <c r="A337" s="13" t="s">
        <v>1962</v>
      </c>
      <c r="B337" s="13" t="s">
        <v>396</v>
      </c>
      <c r="C337" s="13">
        <v>1716</v>
      </c>
      <c r="D337" s="13" t="s">
        <v>1875</v>
      </c>
      <c r="E337" s="13" t="s">
        <v>1876</v>
      </c>
      <c r="F337" s="13">
        <v>169.4</v>
      </c>
      <c r="G337" s="13">
        <v>466000</v>
      </c>
      <c r="H337" s="13">
        <v>3.5</v>
      </c>
      <c r="I337" s="13">
        <f t="shared" si="5"/>
        <v>133142.85714285713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 s="13">
        <v>0</v>
      </c>
    </row>
    <row r="338" spans="1:15" x14ac:dyDescent="0.25">
      <c r="A338" s="13" t="s">
        <v>1963</v>
      </c>
      <c r="B338" s="13" t="s">
        <v>397</v>
      </c>
      <c r="C338" s="13">
        <v>1827</v>
      </c>
      <c r="D338" s="13" t="s">
        <v>1875</v>
      </c>
      <c r="E338" s="13" t="s">
        <v>1876</v>
      </c>
      <c r="F338" s="13">
        <v>182.9</v>
      </c>
      <c r="G338" s="13">
        <v>391000</v>
      </c>
      <c r="H338" s="13">
        <v>3.5</v>
      </c>
      <c r="I338" s="13">
        <f t="shared" si="5"/>
        <v>111714.28571428571</v>
      </c>
      <c r="J338" s="13">
        <v>0</v>
      </c>
      <c r="K338" s="13">
        <v>0</v>
      </c>
      <c r="L338" s="13">
        <v>0</v>
      </c>
      <c r="M338" s="13">
        <v>0</v>
      </c>
      <c r="N338" s="13">
        <v>0</v>
      </c>
      <c r="O338" s="13">
        <v>0</v>
      </c>
    </row>
    <row r="339" spans="1:15" x14ac:dyDescent="0.25">
      <c r="A339" s="13" t="s">
        <v>1964</v>
      </c>
      <c r="B339" s="13" t="s">
        <v>398</v>
      </c>
      <c r="C339" s="13">
        <v>198</v>
      </c>
      <c r="D339" s="13" t="s">
        <v>1875</v>
      </c>
      <c r="E339" s="13" t="s">
        <v>1876</v>
      </c>
      <c r="F339" s="13">
        <v>36.4</v>
      </c>
      <c r="G339" s="13">
        <v>69600</v>
      </c>
      <c r="H339" s="13">
        <v>3.5</v>
      </c>
      <c r="I339" s="13">
        <f t="shared" si="5"/>
        <v>19885.714285714286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 s="13">
        <v>0</v>
      </c>
    </row>
    <row r="340" spans="1:15" x14ac:dyDescent="0.25">
      <c r="A340" s="13" t="s">
        <v>1965</v>
      </c>
      <c r="B340" s="13" t="s">
        <v>399</v>
      </c>
      <c r="C340" s="13">
        <v>124</v>
      </c>
      <c r="D340" s="13" t="s">
        <v>1875</v>
      </c>
      <c r="E340" s="13" t="s">
        <v>1876</v>
      </c>
      <c r="F340" s="13">
        <v>44.6</v>
      </c>
      <c r="G340" s="13">
        <v>87600</v>
      </c>
      <c r="H340" s="13">
        <v>3.5</v>
      </c>
      <c r="I340" s="13">
        <f t="shared" si="5"/>
        <v>18809.571428571428</v>
      </c>
      <c r="J340" s="13">
        <v>6219</v>
      </c>
      <c r="K340" s="13">
        <v>0</v>
      </c>
      <c r="L340" s="13">
        <v>0</v>
      </c>
      <c r="M340" s="13">
        <v>0</v>
      </c>
      <c r="N340" s="13">
        <v>0</v>
      </c>
      <c r="O340" s="13">
        <v>0</v>
      </c>
    </row>
    <row r="341" spans="1:15" x14ac:dyDescent="0.25">
      <c r="A341" s="13" t="s">
        <v>1966</v>
      </c>
      <c r="B341" s="13" t="s">
        <v>400</v>
      </c>
      <c r="C341" s="13">
        <v>1007</v>
      </c>
      <c r="D341" s="13" t="s">
        <v>1875</v>
      </c>
      <c r="E341" s="13" t="s">
        <v>1876</v>
      </c>
      <c r="F341" s="13">
        <v>90</v>
      </c>
      <c r="G341" s="13">
        <v>256000</v>
      </c>
      <c r="H341" s="13">
        <v>3.5</v>
      </c>
      <c r="I341" s="13">
        <f t="shared" si="5"/>
        <v>62086.857142857145</v>
      </c>
      <c r="J341" s="13">
        <v>11056</v>
      </c>
      <c r="K341" s="13">
        <v>0</v>
      </c>
      <c r="L341" s="13">
        <v>0</v>
      </c>
      <c r="M341" s="13">
        <v>0</v>
      </c>
      <c r="N341" s="13">
        <v>0</v>
      </c>
      <c r="O341" s="13">
        <v>0</v>
      </c>
    </row>
    <row r="342" spans="1:15" x14ac:dyDescent="0.25">
      <c r="A342" s="13" t="s">
        <v>1967</v>
      </c>
      <c r="B342" s="13" t="s">
        <v>401</v>
      </c>
      <c r="C342" s="13">
        <v>470</v>
      </c>
      <c r="D342" s="13" t="s">
        <v>1875</v>
      </c>
      <c r="E342" s="13" t="s">
        <v>1876</v>
      </c>
      <c r="F342" s="13">
        <v>86</v>
      </c>
      <c r="G342" s="13">
        <v>167000</v>
      </c>
      <c r="H342" s="13">
        <v>3.5</v>
      </c>
      <c r="I342" s="13">
        <f t="shared" si="5"/>
        <v>47714.285714285717</v>
      </c>
      <c r="J342" s="13">
        <v>0</v>
      </c>
      <c r="K342" s="13">
        <v>0</v>
      </c>
      <c r="L342" s="13">
        <v>0</v>
      </c>
      <c r="M342" s="13">
        <v>0</v>
      </c>
      <c r="N342" s="13">
        <v>0</v>
      </c>
      <c r="O342" s="13">
        <v>0</v>
      </c>
    </row>
    <row r="343" spans="1:15" x14ac:dyDescent="0.25">
      <c r="A343" s="13" t="s">
        <v>1968</v>
      </c>
      <c r="B343" s="13" t="s">
        <v>402</v>
      </c>
      <c r="C343" s="13">
        <v>791</v>
      </c>
      <c r="D343" s="13" t="s">
        <v>1875</v>
      </c>
      <c r="E343" s="13" t="s">
        <v>1876</v>
      </c>
      <c r="F343" s="13">
        <v>104.8</v>
      </c>
      <c r="G343" s="13">
        <v>208000</v>
      </c>
      <c r="H343" s="13">
        <v>3.5</v>
      </c>
      <c r="I343" s="13">
        <f t="shared" si="5"/>
        <v>59428.571428571428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 s="13">
        <v>0</v>
      </c>
    </row>
    <row r="344" spans="1:15" x14ac:dyDescent="0.25">
      <c r="A344" s="13" t="s">
        <v>1969</v>
      </c>
      <c r="B344" s="13" t="s">
        <v>403</v>
      </c>
      <c r="C344" s="13">
        <v>181</v>
      </c>
      <c r="D344" s="13" t="s">
        <v>1875</v>
      </c>
      <c r="E344" s="13" t="s">
        <v>1876</v>
      </c>
      <c r="F344" s="13">
        <v>47</v>
      </c>
      <c r="G344" s="13">
        <v>96900</v>
      </c>
      <c r="H344" s="13">
        <v>3.5</v>
      </c>
      <c r="I344" s="13">
        <f t="shared" si="5"/>
        <v>21466.714285714286</v>
      </c>
      <c r="J344" s="13">
        <v>6219</v>
      </c>
      <c r="K344" s="13">
        <v>0</v>
      </c>
      <c r="L344" s="13">
        <v>0</v>
      </c>
      <c r="M344" s="13">
        <v>0</v>
      </c>
      <c r="N344" s="13">
        <v>0</v>
      </c>
      <c r="O344" s="13">
        <v>0</v>
      </c>
    </row>
    <row r="345" spans="1:15" x14ac:dyDescent="0.25">
      <c r="A345" s="13" t="s">
        <v>1970</v>
      </c>
      <c r="B345" s="13" t="s">
        <v>404</v>
      </c>
      <c r="C345" s="13">
        <v>2441</v>
      </c>
      <c r="D345" s="13" t="s">
        <v>1875</v>
      </c>
      <c r="E345" s="13" t="s">
        <v>1876</v>
      </c>
      <c r="F345" s="13">
        <v>150.6</v>
      </c>
      <c r="G345" s="13">
        <v>510000</v>
      </c>
      <c r="H345" s="13">
        <v>3.5</v>
      </c>
      <c r="I345" s="13">
        <f t="shared" si="5"/>
        <v>134658.28571428571</v>
      </c>
      <c r="J345" s="13">
        <v>11056</v>
      </c>
      <c r="K345" s="13">
        <v>0</v>
      </c>
      <c r="L345" s="13">
        <v>0</v>
      </c>
      <c r="M345" s="13">
        <v>0</v>
      </c>
      <c r="N345" s="13">
        <v>0</v>
      </c>
      <c r="O345" s="13">
        <v>0</v>
      </c>
    </row>
    <row r="346" spans="1:15" x14ac:dyDescent="0.25">
      <c r="A346" s="13" t="s">
        <v>1971</v>
      </c>
      <c r="B346" s="13" t="s">
        <v>405</v>
      </c>
      <c r="C346" s="13">
        <v>5728</v>
      </c>
      <c r="D346" s="13" t="s">
        <v>1875</v>
      </c>
      <c r="E346" s="13" t="s">
        <v>1876</v>
      </c>
      <c r="F346" s="13">
        <v>416.4</v>
      </c>
      <c r="G346" s="13">
        <v>952000</v>
      </c>
      <c r="H346" s="13">
        <v>3.5</v>
      </c>
      <c r="I346" s="13">
        <f t="shared" si="5"/>
        <v>272000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 s="13">
        <v>0</v>
      </c>
    </row>
    <row r="347" spans="1:15" x14ac:dyDescent="0.25">
      <c r="A347" s="13" t="s">
        <v>1972</v>
      </c>
      <c r="B347" s="13" t="s">
        <v>406</v>
      </c>
      <c r="C347" s="13">
        <v>1102</v>
      </c>
      <c r="D347" s="13" t="s">
        <v>1875</v>
      </c>
      <c r="E347" s="13" t="s">
        <v>1876</v>
      </c>
      <c r="F347" s="13">
        <v>144.69999999999999</v>
      </c>
      <c r="G347" s="13">
        <v>354000</v>
      </c>
      <c r="H347" s="13">
        <v>3.5</v>
      </c>
      <c r="I347" s="13">
        <f t="shared" si="5"/>
        <v>90086.857142857145</v>
      </c>
      <c r="J347" s="13">
        <v>11056</v>
      </c>
      <c r="K347" s="13">
        <v>0</v>
      </c>
      <c r="L347" s="13">
        <v>0</v>
      </c>
      <c r="M347" s="13">
        <v>0</v>
      </c>
      <c r="N347" s="13">
        <v>0</v>
      </c>
      <c r="O347" s="13">
        <v>0</v>
      </c>
    </row>
    <row r="348" spans="1:15" x14ac:dyDescent="0.25">
      <c r="A348" s="13" t="s">
        <v>1973</v>
      </c>
      <c r="B348" s="13" t="s">
        <v>407</v>
      </c>
      <c r="C348" s="13">
        <v>2594</v>
      </c>
      <c r="D348" s="13" t="s">
        <v>1875</v>
      </c>
      <c r="E348" s="13" t="s">
        <v>1876</v>
      </c>
      <c r="F348" s="13">
        <v>256.2</v>
      </c>
      <c r="G348" s="13">
        <v>535000</v>
      </c>
      <c r="H348" s="13">
        <v>3.5</v>
      </c>
      <c r="I348" s="13">
        <f t="shared" si="5"/>
        <v>152857.14285714287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 s="13">
        <v>0</v>
      </c>
    </row>
    <row r="349" spans="1:15" x14ac:dyDescent="0.25">
      <c r="A349" s="13" t="s">
        <v>1974</v>
      </c>
      <c r="B349" s="13" t="s">
        <v>408</v>
      </c>
      <c r="C349" s="13">
        <v>1380</v>
      </c>
      <c r="D349" s="13" t="s">
        <v>1875</v>
      </c>
      <c r="E349" s="13" t="s">
        <v>1876</v>
      </c>
      <c r="F349" s="13">
        <v>266.5</v>
      </c>
      <c r="G349" s="13">
        <v>523000</v>
      </c>
      <c r="H349" s="13">
        <v>3.5</v>
      </c>
      <c r="I349" s="13">
        <f t="shared" si="5"/>
        <v>149428.57142857142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 s="13">
        <v>0</v>
      </c>
    </row>
    <row r="350" spans="1:15" x14ac:dyDescent="0.25">
      <c r="A350" s="13" t="s">
        <v>1975</v>
      </c>
      <c r="B350" s="13" t="s">
        <v>409</v>
      </c>
      <c r="C350" s="13">
        <v>1286</v>
      </c>
      <c r="D350" s="13" t="s">
        <v>1875</v>
      </c>
      <c r="E350" s="13" t="s">
        <v>1876</v>
      </c>
      <c r="F350" s="13">
        <v>113</v>
      </c>
      <c r="G350" s="13">
        <v>249000</v>
      </c>
      <c r="H350" s="13">
        <v>3.5</v>
      </c>
      <c r="I350" s="13">
        <f t="shared" si="5"/>
        <v>71142.857142857145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  <c r="O350" s="13">
        <v>0</v>
      </c>
    </row>
    <row r="351" spans="1:15" x14ac:dyDescent="0.25">
      <c r="A351" s="13" t="s">
        <v>1976</v>
      </c>
      <c r="B351" s="13" t="s">
        <v>410</v>
      </c>
      <c r="C351" s="13">
        <v>2939</v>
      </c>
      <c r="D351" s="13" t="s">
        <v>1875</v>
      </c>
      <c r="E351" s="13" t="s">
        <v>1876</v>
      </c>
      <c r="F351" s="13">
        <v>282.7</v>
      </c>
      <c r="G351" s="13">
        <v>604000</v>
      </c>
      <c r="H351" s="13">
        <v>3.5</v>
      </c>
      <c r="I351" s="13">
        <f t="shared" si="5"/>
        <v>172571.42857142858</v>
      </c>
      <c r="J351" s="13">
        <v>0</v>
      </c>
      <c r="K351" s="13">
        <v>0</v>
      </c>
      <c r="L351" s="13">
        <v>0</v>
      </c>
      <c r="M351" s="13">
        <v>0</v>
      </c>
      <c r="N351" s="13">
        <v>0</v>
      </c>
      <c r="O351" s="13">
        <v>0</v>
      </c>
    </row>
    <row r="352" spans="1:15" x14ac:dyDescent="0.25">
      <c r="A352" s="13" t="s">
        <v>1977</v>
      </c>
      <c r="B352" s="13" t="s">
        <v>411</v>
      </c>
      <c r="C352" s="13">
        <v>1840</v>
      </c>
      <c r="D352" s="13" t="s">
        <v>1875</v>
      </c>
      <c r="E352" s="13" t="s">
        <v>1876</v>
      </c>
      <c r="F352" s="13">
        <v>172.2</v>
      </c>
      <c r="G352" s="13">
        <v>1900000</v>
      </c>
      <c r="H352" s="13">
        <v>3.5</v>
      </c>
      <c r="I352" s="13">
        <f t="shared" si="5"/>
        <v>542857.14285714284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 s="13">
        <v>0</v>
      </c>
    </row>
    <row r="353" spans="1:15" x14ac:dyDescent="0.25">
      <c r="A353" s="13" t="s">
        <v>1978</v>
      </c>
      <c r="B353" s="13" t="s">
        <v>412</v>
      </c>
      <c r="C353" s="13">
        <v>982</v>
      </c>
      <c r="D353" s="13" t="s">
        <v>1875</v>
      </c>
      <c r="E353" s="13" t="s">
        <v>1876</v>
      </c>
      <c r="F353" s="13">
        <v>103.8</v>
      </c>
      <c r="G353" s="13">
        <v>275000</v>
      </c>
      <c r="H353" s="13">
        <v>3.5</v>
      </c>
      <c r="I353" s="13">
        <f t="shared" si="5"/>
        <v>78571.428571428565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 s="13">
        <v>0</v>
      </c>
    </row>
    <row r="354" spans="1:15" x14ac:dyDescent="0.25">
      <c r="A354" s="13" t="s">
        <v>1979</v>
      </c>
      <c r="B354" s="13" t="s">
        <v>413</v>
      </c>
      <c r="C354" s="13">
        <v>1208</v>
      </c>
      <c r="D354" s="13" t="s">
        <v>1875</v>
      </c>
      <c r="E354" s="13" t="s">
        <v>1876</v>
      </c>
      <c r="F354" s="13">
        <v>195</v>
      </c>
      <c r="G354" s="13">
        <v>451000</v>
      </c>
      <c r="H354" s="13">
        <v>3.5</v>
      </c>
      <c r="I354" s="13">
        <f t="shared" si="5"/>
        <v>117801.14285714286</v>
      </c>
      <c r="J354" s="13">
        <v>11056</v>
      </c>
      <c r="K354" s="13">
        <v>0</v>
      </c>
      <c r="L354" s="13">
        <v>0</v>
      </c>
      <c r="M354" s="13">
        <v>0</v>
      </c>
      <c r="N354" s="13">
        <v>0</v>
      </c>
      <c r="O354" s="13">
        <v>0</v>
      </c>
    </row>
    <row r="355" spans="1:15" x14ac:dyDescent="0.25">
      <c r="A355" s="13" t="s">
        <v>1980</v>
      </c>
      <c r="B355" s="13" t="s">
        <v>414</v>
      </c>
      <c r="C355" s="13">
        <v>1115</v>
      </c>
      <c r="D355" s="13" t="s">
        <v>1875</v>
      </c>
      <c r="E355" s="13" t="s">
        <v>1876</v>
      </c>
      <c r="F355" s="13">
        <v>221.2</v>
      </c>
      <c r="G355" s="13">
        <v>423000</v>
      </c>
      <c r="H355" s="13">
        <v>3.5</v>
      </c>
      <c r="I355" s="13">
        <f t="shared" si="5"/>
        <v>120857.14285714286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 s="13">
        <v>0</v>
      </c>
    </row>
    <row r="356" spans="1:15" x14ac:dyDescent="0.25">
      <c r="A356" s="13" t="s">
        <v>1981</v>
      </c>
      <c r="B356" s="13" t="s">
        <v>415</v>
      </c>
      <c r="C356" s="13">
        <v>1362</v>
      </c>
      <c r="D356" s="13" t="s">
        <v>1875</v>
      </c>
      <c r="E356" s="13" t="s">
        <v>1876</v>
      </c>
      <c r="F356" s="13">
        <v>141.30000000000001</v>
      </c>
      <c r="G356" s="13">
        <v>300000</v>
      </c>
      <c r="H356" s="13">
        <v>3.5</v>
      </c>
      <c r="I356" s="13">
        <f t="shared" si="5"/>
        <v>85714.28571428571</v>
      </c>
      <c r="J356" s="13">
        <v>0</v>
      </c>
      <c r="K356" s="13">
        <v>0</v>
      </c>
      <c r="L356" s="13">
        <v>0</v>
      </c>
      <c r="M356" s="13">
        <v>0</v>
      </c>
      <c r="N356" s="13">
        <v>0</v>
      </c>
      <c r="O356" s="13">
        <v>0</v>
      </c>
    </row>
    <row r="357" spans="1:15" x14ac:dyDescent="0.25">
      <c r="A357" s="13" t="s">
        <v>1982</v>
      </c>
      <c r="B357" s="13" t="s">
        <v>416</v>
      </c>
      <c r="C357" s="13">
        <v>1705</v>
      </c>
      <c r="D357" s="13" t="s">
        <v>1875</v>
      </c>
      <c r="E357" s="13" t="s">
        <v>1876</v>
      </c>
      <c r="F357" s="13">
        <v>157.30000000000001</v>
      </c>
      <c r="G357" s="13">
        <v>412000</v>
      </c>
      <c r="H357" s="13">
        <v>3.5</v>
      </c>
      <c r="I357" s="13">
        <f t="shared" si="5"/>
        <v>117714.28571428571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 s="13">
        <v>0</v>
      </c>
    </row>
    <row r="358" spans="1:15" x14ac:dyDescent="0.25">
      <c r="A358" s="13" t="s">
        <v>1983</v>
      </c>
      <c r="B358" s="13" t="s">
        <v>417</v>
      </c>
      <c r="C358" s="13">
        <v>2252</v>
      </c>
      <c r="D358" s="13" t="s">
        <v>1875</v>
      </c>
      <c r="E358" s="13" t="s">
        <v>1876</v>
      </c>
      <c r="F358" s="13">
        <v>301.2</v>
      </c>
      <c r="G358" s="13">
        <v>738000</v>
      </c>
      <c r="H358" s="13">
        <v>3.5</v>
      </c>
      <c r="I358" s="13">
        <f t="shared" si="5"/>
        <v>199801.14285714287</v>
      </c>
      <c r="J358" s="13">
        <v>11056</v>
      </c>
      <c r="K358" s="13">
        <v>0</v>
      </c>
      <c r="L358" s="13">
        <v>0</v>
      </c>
      <c r="M358" s="13">
        <v>0</v>
      </c>
      <c r="N358" s="13">
        <v>0</v>
      </c>
      <c r="O358" s="13">
        <v>0</v>
      </c>
    </row>
    <row r="359" spans="1:15" x14ac:dyDescent="0.25">
      <c r="A359" s="13" t="s">
        <v>1984</v>
      </c>
      <c r="B359" s="13" t="s">
        <v>418</v>
      </c>
      <c r="C359" s="13">
        <v>1655</v>
      </c>
      <c r="D359" s="13" t="s">
        <v>1875</v>
      </c>
      <c r="E359" s="13" t="s">
        <v>1876</v>
      </c>
      <c r="F359" s="13">
        <v>196.3</v>
      </c>
      <c r="G359" s="13">
        <v>403000</v>
      </c>
      <c r="H359" s="13">
        <v>3.5</v>
      </c>
      <c r="I359" s="13">
        <f t="shared" si="5"/>
        <v>115142.85714285714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 s="13">
        <v>0</v>
      </c>
    </row>
    <row r="360" spans="1:15" x14ac:dyDescent="0.25">
      <c r="A360" s="13" t="s">
        <v>1985</v>
      </c>
      <c r="B360" s="13" t="s">
        <v>419</v>
      </c>
      <c r="C360" s="13">
        <v>586</v>
      </c>
      <c r="D360" s="13" t="s">
        <v>1875</v>
      </c>
      <c r="E360" s="13" t="s">
        <v>1876</v>
      </c>
      <c r="F360" s="13">
        <v>96.9</v>
      </c>
      <c r="G360" s="13">
        <v>187000</v>
      </c>
      <c r="H360" s="13">
        <v>3.5</v>
      </c>
      <c r="I360" s="13">
        <f t="shared" si="5"/>
        <v>53428.571428571428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 s="13">
        <v>0</v>
      </c>
    </row>
    <row r="361" spans="1:15" x14ac:dyDescent="0.25">
      <c r="A361" s="13" t="s">
        <v>1986</v>
      </c>
      <c r="B361" s="13" t="s">
        <v>420</v>
      </c>
      <c r="C361" s="13">
        <v>1014</v>
      </c>
      <c r="D361" s="13" t="s">
        <v>1875</v>
      </c>
      <c r="E361" s="13" t="s">
        <v>1876</v>
      </c>
      <c r="F361" s="13">
        <v>131.69999999999999</v>
      </c>
      <c r="G361" s="13">
        <v>326000</v>
      </c>
      <c r="H361" s="13">
        <v>3.5</v>
      </c>
      <c r="I361" s="13">
        <f t="shared" si="5"/>
        <v>82086.857142857145</v>
      </c>
      <c r="J361" s="13">
        <v>11056</v>
      </c>
      <c r="K361" s="13">
        <v>0</v>
      </c>
      <c r="L361" s="13">
        <v>0</v>
      </c>
      <c r="M361" s="13">
        <v>0</v>
      </c>
      <c r="N361" s="13">
        <v>0</v>
      </c>
      <c r="O361" s="13">
        <v>0</v>
      </c>
    </row>
    <row r="362" spans="1:15" x14ac:dyDescent="0.25">
      <c r="A362" s="13" t="s">
        <v>1987</v>
      </c>
      <c r="B362" s="13" t="s">
        <v>421</v>
      </c>
      <c r="C362" s="13">
        <v>1801</v>
      </c>
      <c r="D362" s="13" t="s">
        <v>1875</v>
      </c>
      <c r="E362" s="13" t="s">
        <v>1876</v>
      </c>
      <c r="F362" s="13">
        <v>258.8</v>
      </c>
      <c r="G362" s="13">
        <v>624000</v>
      </c>
      <c r="H362" s="13">
        <v>3.5</v>
      </c>
      <c r="I362" s="13">
        <f t="shared" si="5"/>
        <v>167229.71428571429</v>
      </c>
      <c r="J362" s="13">
        <v>11056</v>
      </c>
      <c r="K362" s="13">
        <v>0</v>
      </c>
      <c r="L362" s="13">
        <v>0</v>
      </c>
      <c r="M362" s="13">
        <v>0</v>
      </c>
      <c r="N362" s="13">
        <v>0</v>
      </c>
      <c r="O362" s="13">
        <v>0</v>
      </c>
    </row>
    <row r="363" spans="1:15" x14ac:dyDescent="0.25">
      <c r="A363" s="13" t="s">
        <v>1988</v>
      </c>
      <c r="B363" s="13" t="s">
        <v>422</v>
      </c>
      <c r="C363" s="13">
        <v>407</v>
      </c>
      <c r="D363" s="13" t="s">
        <v>1875</v>
      </c>
      <c r="E363" s="13" t="s">
        <v>1876</v>
      </c>
      <c r="F363" s="13">
        <v>137.69999999999999</v>
      </c>
      <c r="G363" s="13">
        <v>255000</v>
      </c>
      <c r="H363" s="13">
        <v>3.5</v>
      </c>
      <c r="I363" s="13">
        <f t="shared" si="5"/>
        <v>72857.142857142855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 s="13">
        <v>0</v>
      </c>
    </row>
    <row r="364" spans="1:15" x14ac:dyDescent="0.25">
      <c r="A364" s="13" t="s">
        <v>1989</v>
      </c>
      <c r="B364" s="13" t="s">
        <v>423</v>
      </c>
      <c r="C364" s="13">
        <v>3603</v>
      </c>
      <c r="D364" s="13" t="s">
        <v>1875</v>
      </c>
      <c r="E364" s="13" t="s">
        <v>1876</v>
      </c>
      <c r="F364" s="13">
        <v>423.5</v>
      </c>
      <c r="G364" s="13">
        <v>1090000</v>
      </c>
      <c r="H364" s="13">
        <v>3.5</v>
      </c>
      <c r="I364" s="13">
        <f t="shared" si="5"/>
        <v>276878.57142857142</v>
      </c>
      <c r="J364" s="13">
        <v>34550</v>
      </c>
      <c r="K364" s="13">
        <v>0</v>
      </c>
      <c r="L364" s="13">
        <v>0</v>
      </c>
      <c r="M364" s="13">
        <v>0</v>
      </c>
      <c r="N364" s="13">
        <v>0</v>
      </c>
      <c r="O364" s="13">
        <v>0</v>
      </c>
    </row>
  </sheetData>
  <dataValidations count="2">
    <dataValidation type="list" allowBlank="1" showInputMessage="1" showErrorMessage="1" sqref="D2:D364" xr:uid="{318B6FD7-CE05-4B56-99BE-9DB227EBF25E}">
      <formula1>"Groundwater, Surface water, Industrial waste water, Air"</formula1>
    </dataValidation>
    <dataValidation type="list" allowBlank="1" showInputMessage="1" showErrorMessage="1" sqref="E2:E364" xr:uid="{D6B40F25-32CC-49B6-B721-CD57F5BF46BC}">
      <formula1>"R410a, R32, R290"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F7F9A-8709-4704-B622-CDE0B09A1BEB}">
  <dimension ref="A1:N476"/>
  <sheetViews>
    <sheetView topLeftCell="A335" workbookViewId="0">
      <selection activeCell="I365" sqref="I365"/>
    </sheetView>
  </sheetViews>
  <sheetFormatPr defaultRowHeight="15" x14ac:dyDescent="0.25"/>
  <cols>
    <col min="1" max="1" width="32.140625" bestFit="1" customWidth="1"/>
    <col min="2" max="2" width="14.140625" bestFit="1" customWidth="1"/>
    <col min="3" max="3" width="22.140625" bestFit="1" customWidth="1"/>
    <col min="4" max="4" width="20.140625" bestFit="1" customWidth="1"/>
    <col min="5" max="5" width="33" bestFit="1" customWidth="1"/>
    <col min="6" max="6" width="26.42578125" bestFit="1" customWidth="1"/>
    <col min="7" max="7" width="4.7109375" bestFit="1" customWidth="1"/>
    <col min="8" max="8" width="38.85546875" bestFit="1" customWidth="1"/>
    <col min="9" max="9" width="45.28515625" bestFit="1" customWidth="1"/>
    <col min="10" max="10" width="56.7109375" bestFit="1" customWidth="1"/>
    <col min="11" max="11" width="45.85546875" bestFit="1" customWidth="1"/>
    <col min="12" max="12" width="42.5703125" bestFit="1" customWidth="1"/>
    <col min="13" max="13" width="46.42578125" bestFit="1" customWidth="1"/>
    <col min="14" max="14" width="51.85546875" bestFit="1" customWidth="1"/>
  </cols>
  <sheetData>
    <row r="1" spans="1:14" s="11" customFormat="1" ht="30" x14ac:dyDescent="0.25">
      <c r="A1" s="12" t="s">
        <v>536</v>
      </c>
      <c r="B1" s="12" t="s">
        <v>537</v>
      </c>
      <c r="C1" s="12" t="s">
        <v>35</v>
      </c>
      <c r="D1" s="12" t="s">
        <v>547</v>
      </c>
      <c r="E1" s="12" t="s">
        <v>548</v>
      </c>
      <c r="F1" s="12" t="s">
        <v>539</v>
      </c>
      <c r="G1" s="12" t="s">
        <v>549</v>
      </c>
      <c r="H1" s="12" t="s">
        <v>540</v>
      </c>
      <c r="I1" s="12" t="s">
        <v>541</v>
      </c>
      <c r="J1" s="12" t="s">
        <v>542</v>
      </c>
      <c r="K1" s="12" t="s">
        <v>543</v>
      </c>
      <c r="L1" s="12" t="s">
        <v>544</v>
      </c>
      <c r="M1" s="12" t="s">
        <v>545</v>
      </c>
      <c r="N1" s="12" t="s">
        <v>546</v>
      </c>
    </row>
    <row r="2" spans="1:14" x14ac:dyDescent="0.25">
      <c r="A2" s="13" t="s">
        <v>550</v>
      </c>
      <c r="B2" s="13" t="s">
        <v>48</v>
      </c>
      <c r="C2" s="13">
        <v>14742</v>
      </c>
      <c r="D2" s="13">
        <v>342.5</v>
      </c>
      <c r="E2" s="13">
        <f>F2/G2</f>
        <v>142571.42857142858</v>
      </c>
      <c r="F2" s="13">
        <v>499000</v>
      </c>
      <c r="G2" s="13">
        <v>3.5</v>
      </c>
      <c r="H2" s="13">
        <f>(F2/G2)-SUM(I2:N2)</f>
        <v>142571.42857142858</v>
      </c>
      <c r="I2" s="13">
        <v>0</v>
      </c>
      <c r="J2" s="13">
        <v>0</v>
      </c>
      <c r="K2" s="13">
        <v>0</v>
      </c>
      <c r="L2" s="13">
        <v>0</v>
      </c>
      <c r="M2" s="13">
        <v>0</v>
      </c>
      <c r="N2" s="13">
        <v>0</v>
      </c>
    </row>
    <row r="3" spans="1:14" x14ac:dyDescent="0.25">
      <c r="A3" s="13" t="s">
        <v>551</v>
      </c>
      <c r="B3" s="13" t="s">
        <v>50</v>
      </c>
      <c r="C3" s="13">
        <v>2761</v>
      </c>
      <c r="D3" s="13">
        <v>96.8</v>
      </c>
      <c r="E3" s="13">
        <f t="shared" ref="E3:E66" si="0">F3/G3</f>
        <v>38000</v>
      </c>
      <c r="F3" s="13">
        <v>133000</v>
      </c>
      <c r="G3" s="13">
        <v>3.5</v>
      </c>
      <c r="H3" s="13">
        <f t="shared" ref="H3:H66" si="1">(F3/G3)-SUM(I3:N3)</f>
        <v>38000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</row>
    <row r="4" spans="1:14" x14ac:dyDescent="0.25">
      <c r="A4" s="13" t="s">
        <v>552</v>
      </c>
      <c r="B4" s="13" t="s">
        <v>52</v>
      </c>
      <c r="C4" s="13">
        <v>5178</v>
      </c>
      <c r="D4" s="13">
        <v>122.1</v>
      </c>
      <c r="E4" s="13">
        <f t="shared" si="0"/>
        <v>44285.714285714283</v>
      </c>
      <c r="F4" s="13">
        <v>155000</v>
      </c>
      <c r="G4" s="13">
        <v>3.5</v>
      </c>
      <c r="H4" s="13">
        <f t="shared" si="1"/>
        <v>44285.714285714283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</row>
    <row r="5" spans="1:14" x14ac:dyDescent="0.25">
      <c r="A5" s="13" t="s">
        <v>553</v>
      </c>
      <c r="B5" s="13" t="s">
        <v>53</v>
      </c>
      <c r="C5" s="13">
        <v>8816</v>
      </c>
      <c r="D5" s="13">
        <v>195.3</v>
      </c>
      <c r="E5" s="13">
        <f t="shared" si="0"/>
        <v>74000</v>
      </c>
      <c r="F5" s="13">
        <v>259000</v>
      </c>
      <c r="G5" s="13">
        <v>3.5</v>
      </c>
      <c r="H5" s="13">
        <f t="shared" si="1"/>
        <v>74000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</row>
    <row r="6" spans="1:14" x14ac:dyDescent="0.25">
      <c r="A6" s="13" t="s">
        <v>554</v>
      </c>
      <c r="B6" s="13" t="s">
        <v>56</v>
      </c>
      <c r="C6" s="13">
        <v>443</v>
      </c>
      <c r="D6" s="13">
        <v>13</v>
      </c>
      <c r="E6" s="13">
        <f t="shared" si="0"/>
        <v>4400</v>
      </c>
      <c r="F6" s="13">
        <v>15400</v>
      </c>
      <c r="G6" s="13">
        <v>3.5</v>
      </c>
      <c r="H6" s="13">
        <f t="shared" si="1"/>
        <v>4400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</row>
    <row r="7" spans="1:14" x14ac:dyDescent="0.25">
      <c r="A7" s="13" t="s">
        <v>555</v>
      </c>
      <c r="B7" s="13" t="s">
        <v>57</v>
      </c>
      <c r="C7" s="13">
        <v>367</v>
      </c>
      <c r="D7" s="13">
        <v>11.4</v>
      </c>
      <c r="E7" s="13">
        <f t="shared" si="0"/>
        <v>4542.8571428571431</v>
      </c>
      <c r="F7" s="13">
        <v>15900</v>
      </c>
      <c r="G7" s="13">
        <v>3.5</v>
      </c>
      <c r="H7" s="13">
        <f t="shared" si="1"/>
        <v>4542.8571428571431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</row>
    <row r="8" spans="1:14" x14ac:dyDescent="0.25">
      <c r="A8" s="13" t="s">
        <v>556</v>
      </c>
      <c r="B8" s="13" t="s">
        <v>59</v>
      </c>
      <c r="C8" s="13">
        <v>168</v>
      </c>
      <c r="D8" s="13">
        <v>7.6</v>
      </c>
      <c r="E8" s="13">
        <f t="shared" si="0"/>
        <v>2357.1428571428573</v>
      </c>
      <c r="F8" s="13">
        <v>8250</v>
      </c>
      <c r="G8" s="13">
        <v>3.5</v>
      </c>
      <c r="H8" s="13">
        <f t="shared" si="1"/>
        <v>2357.1428571428573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</row>
    <row r="9" spans="1:14" x14ac:dyDescent="0.25">
      <c r="A9" s="13" t="s">
        <v>557</v>
      </c>
      <c r="B9" s="13" t="s">
        <v>61</v>
      </c>
      <c r="C9" s="13">
        <v>252</v>
      </c>
      <c r="D9" s="13">
        <v>13.1</v>
      </c>
      <c r="E9" s="13">
        <f t="shared" si="0"/>
        <v>3514.2857142857142</v>
      </c>
      <c r="F9" s="13">
        <v>12300</v>
      </c>
      <c r="G9" s="13">
        <v>3.5</v>
      </c>
      <c r="H9" s="13">
        <f t="shared" si="1"/>
        <v>3514.2857142857142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</row>
    <row r="10" spans="1:14" x14ac:dyDescent="0.25">
      <c r="A10" s="13" t="s">
        <v>558</v>
      </c>
      <c r="B10" s="13" t="s">
        <v>62</v>
      </c>
      <c r="C10" s="13">
        <v>273</v>
      </c>
      <c r="D10" s="13">
        <v>7.8</v>
      </c>
      <c r="E10" s="13">
        <f t="shared" si="0"/>
        <v>2831.4285714285716</v>
      </c>
      <c r="F10" s="13">
        <v>9910</v>
      </c>
      <c r="G10" s="13">
        <v>3.5</v>
      </c>
      <c r="H10" s="13">
        <f t="shared" si="1"/>
        <v>2831.4285714285716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</row>
    <row r="11" spans="1:14" x14ac:dyDescent="0.25">
      <c r="A11" s="13" t="s">
        <v>559</v>
      </c>
      <c r="B11" s="13" t="s">
        <v>63</v>
      </c>
      <c r="C11" s="13">
        <v>804</v>
      </c>
      <c r="D11" s="13">
        <v>30.6</v>
      </c>
      <c r="E11" s="13">
        <f t="shared" si="0"/>
        <v>7257.1428571428569</v>
      </c>
      <c r="F11" s="13">
        <v>25400</v>
      </c>
      <c r="G11" s="13">
        <v>3.5</v>
      </c>
      <c r="H11" s="13">
        <f t="shared" si="1"/>
        <v>7257.1428571428569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</row>
    <row r="12" spans="1:14" x14ac:dyDescent="0.25">
      <c r="A12" s="13" t="s">
        <v>560</v>
      </c>
      <c r="B12" s="13" t="s">
        <v>64</v>
      </c>
      <c r="C12" s="13">
        <v>96</v>
      </c>
      <c r="D12" s="13">
        <v>4.5</v>
      </c>
      <c r="E12" s="13">
        <f t="shared" si="0"/>
        <v>1442.8571428571429</v>
      </c>
      <c r="F12" s="13">
        <v>5050</v>
      </c>
      <c r="G12" s="13">
        <v>3.5</v>
      </c>
      <c r="H12" s="13">
        <f t="shared" si="1"/>
        <v>1442.8571428571429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</row>
    <row r="13" spans="1:14" x14ac:dyDescent="0.25">
      <c r="A13" s="13" t="s">
        <v>561</v>
      </c>
      <c r="B13" s="13" t="s">
        <v>65</v>
      </c>
      <c r="C13" s="13">
        <v>223</v>
      </c>
      <c r="D13" s="13">
        <v>8.5</v>
      </c>
      <c r="E13" s="13">
        <f t="shared" si="0"/>
        <v>1588.5714285714287</v>
      </c>
      <c r="F13" s="13">
        <v>5560</v>
      </c>
      <c r="G13" s="13">
        <v>3.5</v>
      </c>
      <c r="H13" s="13">
        <f t="shared" si="1"/>
        <v>1588.5714285714287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</row>
    <row r="14" spans="1:14" x14ac:dyDescent="0.25">
      <c r="A14" s="13" t="s">
        <v>562</v>
      </c>
      <c r="B14" s="13" t="s">
        <v>66</v>
      </c>
      <c r="C14" s="13">
        <v>206</v>
      </c>
      <c r="D14" s="13">
        <v>9.4</v>
      </c>
      <c r="E14" s="13">
        <f t="shared" si="0"/>
        <v>2048.5714285714284</v>
      </c>
      <c r="F14" s="13">
        <v>7170</v>
      </c>
      <c r="G14" s="13">
        <v>3.5</v>
      </c>
      <c r="H14" s="13">
        <f t="shared" si="1"/>
        <v>2048.5714285714284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</row>
    <row r="15" spans="1:14" x14ac:dyDescent="0.25">
      <c r="A15" s="13" t="s">
        <v>563</v>
      </c>
      <c r="B15" s="13" t="s">
        <v>67</v>
      </c>
      <c r="C15" s="13">
        <v>284</v>
      </c>
      <c r="D15" s="13">
        <v>9.4</v>
      </c>
      <c r="E15" s="13">
        <f t="shared" si="0"/>
        <v>3000</v>
      </c>
      <c r="F15" s="13">
        <v>10500</v>
      </c>
      <c r="G15" s="13">
        <v>3.5</v>
      </c>
      <c r="H15" s="13">
        <f t="shared" si="1"/>
        <v>3000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</row>
    <row r="16" spans="1:14" x14ac:dyDescent="0.25">
      <c r="A16" s="13" t="s">
        <v>564</v>
      </c>
      <c r="B16" s="13" t="s">
        <v>68</v>
      </c>
      <c r="C16" s="13">
        <v>206</v>
      </c>
      <c r="D16" s="13">
        <v>13.3</v>
      </c>
      <c r="E16" s="13">
        <f t="shared" si="0"/>
        <v>3085.7142857142858</v>
      </c>
      <c r="F16" s="13">
        <v>10800</v>
      </c>
      <c r="G16" s="13">
        <v>3.5</v>
      </c>
      <c r="H16" s="13">
        <f t="shared" si="1"/>
        <v>3085.7142857142858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</row>
    <row r="17" spans="1:14" x14ac:dyDescent="0.25">
      <c r="A17" s="13" t="s">
        <v>565</v>
      </c>
      <c r="B17" s="13" t="s">
        <v>69</v>
      </c>
      <c r="C17" s="13">
        <v>513</v>
      </c>
      <c r="D17" s="13">
        <v>15.6</v>
      </c>
      <c r="E17" s="13">
        <f t="shared" si="0"/>
        <v>3171.4285714285716</v>
      </c>
      <c r="F17" s="13">
        <v>11100</v>
      </c>
      <c r="G17" s="13">
        <v>3.5</v>
      </c>
      <c r="H17" s="13">
        <f t="shared" si="1"/>
        <v>3171.4285714285716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</row>
    <row r="18" spans="1:14" x14ac:dyDescent="0.25">
      <c r="A18" s="13" t="s">
        <v>566</v>
      </c>
      <c r="B18" s="13" t="s">
        <v>70</v>
      </c>
      <c r="C18" s="13">
        <v>276</v>
      </c>
      <c r="D18" s="13">
        <v>10</v>
      </c>
      <c r="E18" s="13">
        <f t="shared" si="0"/>
        <v>2411.4285714285716</v>
      </c>
      <c r="F18" s="13">
        <v>8440</v>
      </c>
      <c r="G18" s="13">
        <v>3.5</v>
      </c>
      <c r="H18" s="13">
        <f t="shared" si="1"/>
        <v>2411.4285714285716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</row>
    <row r="19" spans="1:14" x14ac:dyDescent="0.25">
      <c r="A19" s="13" t="s">
        <v>567</v>
      </c>
      <c r="B19" s="13" t="s">
        <v>71</v>
      </c>
      <c r="C19" s="13">
        <v>379</v>
      </c>
      <c r="D19" s="13">
        <v>11.1</v>
      </c>
      <c r="E19" s="13">
        <f t="shared" si="0"/>
        <v>2454.2857142857142</v>
      </c>
      <c r="F19" s="13">
        <v>8590</v>
      </c>
      <c r="G19" s="13">
        <v>3.5</v>
      </c>
      <c r="H19" s="13">
        <f t="shared" si="1"/>
        <v>2454.2857142857142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</row>
    <row r="20" spans="1:14" x14ac:dyDescent="0.25">
      <c r="A20" s="13" t="s">
        <v>568</v>
      </c>
      <c r="B20" s="13" t="s">
        <v>72</v>
      </c>
      <c r="C20" s="13">
        <v>111</v>
      </c>
      <c r="D20" s="13">
        <v>6</v>
      </c>
      <c r="E20" s="13">
        <f t="shared" si="0"/>
        <v>2157.1428571428573</v>
      </c>
      <c r="F20" s="13">
        <v>7550</v>
      </c>
      <c r="G20" s="13">
        <v>3.5</v>
      </c>
      <c r="H20" s="13">
        <f t="shared" si="1"/>
        <v>2157.1428571428573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</row>
    <row r="21" spans="1:14" x14ac:dyDescent="0.25">
      <c r="A21" s="13" t="s">
        <v>569</v>
      </c>
      <c r="B21" s="13" t="s">
        <v>73</v>
      </c>
      <c r="C21" s="13">
        <v>530</v>
      </c>
      <c r="D21" s="13">
        <v>21.5</v>
      </c>
      <c r="E21" s="13">
        <f t="shared" si="0"/>
        <v>5485.7142857142853</v>
      </c>
      <c r="F21" s="13">
        <v>19200</v>
      </c>
      <c r="G21" s="13">
        <v>3.5</v>
      </c>
      <c r="H21" s="13">
        <f t="shared" si="1"/>
        <v>5485.7142857142853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</row>
    <row r="22" spans="1:14" x14ac:dyDescent="0.25">
      <c r="A22" s="13" t="s">
        <v>570</v>
      </c>
      <c r="B22" s="13" t="s">
        <v>74</v>
      </c>
      <c r="C22" s="13">
        <v>197</v>
      </c>
      <c r="D22" s="13">
        <v>8.8000000000000007</v>
      </c>
      <c r="E22" s="13">
        <f t="shared" si="0"/>
        <v>3171.4285714285716</v>
      </c>
      <c r="F22" s="13">
        <v>11100</v>
      </c>
      <c r="G22" s="13">
        <v>3.5</v>
      </c>
      <c r="H22" s="13">
        <f t="shared" si="1"/>
        <v>3171.4285714285716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</row>
    <row r="23" spans="1:14" x14ac:dyDescent="0.25">
      <c r="A23" s="13" t="s">
        <v>571</v>
      </c>
      <c r="B23" s="13" t="s">
        <v>75</v>
      </c>
      <c r="C23" s="13">
        <v>1086</v>
      </c>
      <c r="D23" s="13">
        <v>32.299999999999997</v>
      </c>
      <c r="E23" s="13">
        <f t="shared" si="0"/>
        <v>6200</v>
      </c>
      <c r="F23" s="13">
        <v>21700</v>
      </c>
      <c r="G23" s="13">
        <v>3.5</v>
      </c>
      <c r="H23" s="13">
        <f t="shared" si="1"/>
        <v>6200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</row>
    <row r="24" spans="1:14" x14ac:dyDescent="0.25">
      <c r="A24" s="13" t="s">
        <v>572</v>
      </c>
      <c r="B24" s="13" t="s">
        <v>76</v>
      </c>
      <c r="C24" s="13">
        <v>1104</v>
      </c>
      <c r="D24" s="13">
        <v>35.4</v>
      </c>
      <c r="E24" s="13">
        <f t="shared" si="0"/>
        <v>8057.1428571428569</v>
      </c>
      <c r="F24" s="13">
        <v>28200</v>
      </c>
      <c r="G24" s="13">
        <v>3.5</v>
      </c>
      <c r="H24" s="13">
        <f t="shared" si="1"/>
        <v>8057.1428571428569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</row>
    <row r="25" spans="1:14" x14ac:dyDescent="0.25">
      <c r="A25" s="13" t="s">
        <v>573</v>
      </c>
      <c r="B25" s="13" t="s">
        <v>77</v>
      </c>
      <c r="C25" s="13">
        <v>2999</v>
      </c>
      <c r="D25" s="13">
        <v>101.8</v>
      </c>
      <c r="E25" s="13">
        <f t="shared" si="0"/>
        <v>19628.571428571428</v>
      </c>
      <c r="F25" s="13">
        <v>68700</v>
      </c>
      <c r="G25" s="13">
        <v>3.5</v>
      </c>
      <c r="H25" s="13">
        <f t="shared" si="1"/>
        <v>19628.571428571428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</row>
    <row r="26" spans="1:14" x14ac:dyDescent="0.25">
      <c r="A26" s="13" t="s">
        <v>574</v>
      </c>
      <c r="B26" s="13" t="s">
        <v>78</v>
      </c>
      <c r="C26" s="13">
        <v>247</v>
      </c>
      <c r="D26" s="13">
        <v>9.3000000000000007</v>
      </c>
      <c r="E26" s="13">
        <f t="shared" si="0"/>
        <v>2317.1428571428573</v>
      </c>
      <c r="F26" s="13">
        <v>8110</v>
      </c>
      <c r="G26" s="13">
        <v>3.5</v>
      </c>
      <c r="H26" s="13">
        <f t="shared" si="1"/>
        <v>2317.1428571428573</v>
      </c>
      <c r="I26" s="13">
        <v>0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</row>
    <row r="27" spans="1:14" x14ac:dyDescent="0.25">
      <c r="A27" s="13" t="s">
        <v>575</v>
      </c>
      <c r="B27" s="13" t="s">
        <v>79</v>
      </c>
      <c r="C27" s="13">
        <v>640</v>
      </c>
      <c r="D27" s="13">
        <v>18.399999999999999</v>
      </c>
      <c r="E27" s="13">
        <f t="shared" si="0"/>
        <v>6200</v>
      </c>
      <c r="F27" s="13">
        <v>21700</v>
      </c>
      <c r="G27" s="13">
        <v>3.5</v>
      </c>
      <c r="H27" s="13">
        <f t="shared" si="1"/>
        <v>6200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</row>
    <row r="28" spans="1:14" x14ac:dyDescent="0.25">
      <c r="A28" s="13" t="s">
        <v>576</v>
      </c>
      <c r="B28" s="13" t="s">
        <v>81</v>
      </c>
      <c r="C28" s="13">
        <v>396</v>
      </c>
      <c r="D28" s="13">
        <v>16.7</v>
      </c>
      <c r="E28" s="13">
        <f t="shared" si="0"/>
        <v>4000</v>
      </c>
      <c r="F28" s="13">
        <v>14000</v>
      </c>
      <c r="G28" s="13">
        <v>3.5</v>
      </c>
      <c r="H28" s="13">
        <f t="shared" si="1"/>
        <v>4000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</row>
    <row r="29" spans="1:14" x14ac:dyDescent="0.25">
      <c r="A29" s="13" t="s">
        <v>577</v>
      </c>
      <c r="B29" s="13" t="s">
        <v>82</v>
      </c>
      <c r="C29" s="13">
        <v>472</v>
      </c>
      <c r="D29" s="13">
        <v>14.1</v>
      </c>
      <c r="E29" s="13">
        <f t="shared" si="0"/>
        <v>2785.7142857142858</v>
      </c>
      <c r="F29" s="13">
        <v>9750</v>
      </c>
      <c r="G29" s="13">
        <v>3.5</v>
      </c>
      <c r="H29" s="13">
        <f t="shared" si="1"/>
        <v>2785.7142857142858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</row>
    <row r="30" spans="1:14" x14ac:dyDescent="0.25">
      <c r="A30" s="13" t="s">
        <v>578</v>
      </c>
      <c r="B30" s="13" t="s">
        <v>83</v>
      </c>
      <c r="C30" s="13">
        <v>601</v>
      </c>
      <c r="D30" s="13">
        <v>17.100000000000001</v>
      </c>
      <c r="E30" s="13">
        <f t="shared" si="0"/>
        <v>3142.8571428571427</v>
      </c>
      <c r="F30" s="13">
        <v>11000</v>
      </c>
      <c r="G30" s="13">
        <v>3.5</v>
      </c>
      <c r="H30" s="13">
        <f t="shared" si="1"/>
        <v>3142.8571428571427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</row>
    <row r="31" spans="1:14" x14ac:dyDescent="0.25">
      <c r="A31" s="13" t="s">
        <v>579</v>
      </c>
      <c r="B31" s="13" t="s">
        <v>84</v>
      </c>
      <c r="C31" s="13">
        <v>679</v>
      </c>
      <c r="D31" s="13">
        <v>28.2</v>
      </c>
      <c r="E31" s="13">
        <f t="shared" si="0"/>
        <v>6542.8571428571431</v>
      </c>
      <c r="F31" s="13">
        <v>22900</v>
      </c>
      <c r="G31" s="13">
        <v>3.5</v>
      </c>
      <c r="H31" s="13">
        <f t="shared" si="1"/>
        <v>6542.8571428571431</v>
      </c>
      <c r="I31" s="13">
        <v>0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</row>
    <row r="32" spans="1:14" x14ac:dyDescent="0.25">
      <c r="A32" s="13" t="s">
        <v>580</v>
      </c>
      <c r="B32" s="13" t="s">
        <v>85</v>
      </c>
      <c r="C32" s="13">
        <v>249</v>
      </c>
      <c r="D32" s="13">
        <v>15</v>
      </c>
      <c r="E32" s="13">
        <f t="shared" si="0"/>
        <v>3942.8571428571427</v>
      </c>
      <c r="F32" s="13">
        <v>13800</v>
      </c>
      <c r="G32" s="13">
        <v>3.5</v>
      </c>
      <c r="H32" s="13">
        <f t="shared" si="1"/>
        <v>3942.8571428571427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</row>
    <row r="33" spans="1:14" x14ac:dyDescent="0.25">
      <c r="A33" s="13" t="s">
        <v>581</v>
      </c>
      <c r="B33" s="13" t="s">
        <v>86</v>
      </c>
      <c r="C33" s="13">
        <v>823</v>
      </c>
      <c r="D33" s="13">
        <v>28.2</v>
      </c>
      <c r="E33" s="13">
        <f t="shared" si="0"/>
        <v>5971.4285714285716</v>
      </c>
      <c r="F33" s="13">
        <v>20900</v>
      </c>
      <c r="G33" s="13">
        <v>3.5</v>
      </c>
      <c r="H33" s="13">
        <f t="shared" si="1"/>
        <v>5971.4285714285716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</row>
    <row r="34" spans="1:14" x14ac:dyDescent="0.25">
      <c r="A34" s="13" t="s">
        <v>582</v>
      </c>
      <c r="B34" s="13" t="s">
        <v>87</v>
      </c>
      <c r="C34" s="13">
        <v>89</v>
      </c>
      <c r="D34" s="13">
        <v>6.2</v>
      </c>
      <c r="E34" s="13">
        <f t="shared" si="0"/>
        <v>1654.2857142857142</v>
      </c>
      <c r="F34" s="13">
        <v>5790</v>
      </c>
      <c r="G34" s="13">
        <v>3.5</v>
      </c>
      <c r="H34" s="13">
        <f t="shared" si="1"/>
        <v>1654.2857142857142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</row>
    <row r="35" spans="1:14" x14ac:dyDescent="0.25">
      <c r="A35" s="13" t="s">
        <v>583</v>
      </c>
      <c r="B35" s="13" t="s">
        <v>88</v>
      </c>
      <c r="C35" s="13">
        <v>539</v>
      </c>
      <c r="D35" s="13">
        <v>22.9</v>
      </c>
      <c r="E35" s="13">
        <f t="shared" si="0"/>
        <v>5628.5714285714284</v>
      </c>
      <c r="F35" s="13">
        <v>19700</v>
      </c>
      <c r="G35" s="13">
        <v>3.5</v>
      </c>
      <c r="H35" s="13">
        <f t="shared" si="1"/>
        <v>5628.5714285714284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</row>
    <row r="36" spans="1:14" x14ac:dyDescent="0.25">
      <c r="A36" s="13" t="s">
        <v>584</v>
      </c>
      <c r="B36" s="13" t="s">
        <v>89</v>
      </c>
      <c r="C36" s="13">
        <v>339</v>
      </c>
      <c r="D36" s="13">
        <v>16.5</v>
      </c>
      <c r="E36" s="13">
        <f t="shared" si="0"/>
        <v>4342.8571428571431</v>
      </c>
      <c r="F36" s="13">
        <v>15200</v>
      </c>
      <c r="G36" s="13">
        <v>3.5</v>
      </c>
      <c r="H36" s="13">
        <f t="shared" si="1"/>
        <v>4342.8571428571431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</row>
    <row r="37" spans="1:14" x14ac:dyDescent="0.25">
      <c r="A37" s="13" t="s">
        <v>585</v>
      </c>
      <c r="B37" s="13" t="s">
        <v>90</v>
      </c>
      <c r="C37" s="13">
        <v>155</v>
      </c>
      <c r="D37" s="13">
        <v>10.5</v>
      </c>
      <c r="E37" s="13">
        <f t="shared" si="0"/>
        <v>2782.8571428571427</v>
      </c>
      <c r="F37" s="13">
        <v>9740</v>
      </c>
      <c r="G37" s="13">
        <v>3.5</v>
      </c>
      <c r="H37" s="13">
        <f t="shared" si="1"/>
        <v>2782.8571428571427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</row>
    <row r="38" spans="1:14" x14ac:dyDescent="0.25">
      <c r="A38" s="13" t="s">
        <v>586</v>
      </c>
      <c r="B38" s="13" t="s">
        <v>91</v>
      </c>
      <c r="C38" s="13">
        <v>1245</v>
      </c>
      <c r="D38" s="13">
        <v>37.5</v>
      </c>
      <c r="E38" s="13">
        <f t="shared" si="0"/>
        <v>6971.4285714285716</v>
      </c>
      <c r="F38" s="13">
        <v>24400</v>
      </c>
      <c r="G38" s="13">
        <v>3.5</v>
      </c>
      <c r="H38" s="13">
        <f t="shared" si="1"/>
        <v>6971.4285714285716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</row>
    <row r="39" spans="1:14" x14ac:dyDescent="0.25">
      <c r="A39" s="13" t="s">
        <v>587</v>
      </c>
      <c r="B39" s="13" t="s">
        <v>92</v>
      </c>
      <c r="C39" s="13">
        <v>349</v>
      </c>
      <c r="D39" s="13">
        <v>13</v>
      </c>
      <c r="E39" s="13">
        <f t="shared" si="0"/>
        <v>3114.2857142857142</v>
      </c>
      <c r="F39" s="13">
        <v>10900</v>
      </c>
      <c r="G39" s="13">
        <v>3.5</v>
      </c>
      <c r="H39" s="13">
        <f t="shared" si="1"/>
        <v>3114.2857142857142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</row>
    <row r="40" spans="1:14" x14ac:dyDescent="0.25">
      <c r="A40" s="13" t="s">
        <v>588</v>
      </c>
      <c r="B40" s="13" t="s">
        <v>93</v>
      </c>
      <c r="C40" s="13">
        <v>1050</v>
      </c>
      <c r="D40" s="13">
        <v>38.5</v>
      </c>
      <c r="E40" s="13">
        <f t="shared" si="0"/>
        <v>7885.7142857142853</v>
      </c>
      <c r="F40" s="13">
        <v>27600</v>
      </c>
      <c r="G40" s="13">
        <v>3.5</v>
      </c>
      <c r="H40" s="13">
        <f t="shared" si="1"/>
        <v>7885.7142857142853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</row>
    <row r="41" spans="1:14" x14ac:dyDescent="0.25">
      <c r="A41" s="13" t="s">
        <v>589</v>
      </c>
      <c r="B41" s="13" t="s">
        <v>94</v>
      </c>
      <c r="C41" s="13">
        <v>529</v>
      </c>
      <c r="D41" s="13">
        <v>20.100000000000001</v>
      </c>
      <c r="E41" s="13">
        <f t="shared" si="0"/>
        <v>4714.2857142857147</v>
      </c>
      <c r="F41" s="13">
        <v>16500</v>
      </c>
      <c r="G41" s="13">
        <v>3.5</v>
      </c>
      <c r="H41" s="13">
        <f t="shared" si="1"/>
        <v>4714.2857142857147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</row>
    <row r="42" spans="1:14" x14ac:dyDescent="0.25">
      <c r="A42" s="13" t="s">
        <v>590</v>
      </c>
      <c r="B42" s="13" t="s">
        <v>95</v>
      </c>
      <c r="C42" s="13">
        <v>116</v>
      </c>
      <c r="D42" s="13">
        <v>8.6999999999999993</v>
      </c>
      <c r="E42" s="13">
        <f t="shared" si="0"/>
        <v>2405.7142857142858</v>
      </c>
      <c r="F42" s="13">
        <v>8420</v>
      </c>
      <c r="G42" s="13">
        <v>3.5</v>
      </c>
      <c r="H42" s="13">
        <f t="shared" si="1"/>
        <v>2405.7142857142858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</row>
    <row r="43" spans="1:14" x14ac:dyDescent="0.25">
      <c r="A43" s="13" t="s">
        <v>591</v>
      </c>
      <c r="B43" s="13" t="s">
        <v>96</v>
      </c>
      <c r="C43" s="13">
        <v>293</v>
      </c>
      <c r="D43" s="13">
        <v>11.4</v>
      </c>
      <c r="E43" s="13">
        <f t="shared" si="0"/>
        <v>2537.1428571428573</v>
      </c>
      <c r="F43" s="13">
        <v>8880</v>
      </c>
      <c r="G43" s="13">
        <v>3.5</v>
      </c>
      <c r="H43" s="13">
        <f t="shared" si="1"/>
        <v>2537.1428571428573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</row>
    <row r="44" spans="1:14" x14ac:dyDescent="0.25">
      <c r="A44" s="13" t="s">
        <v>592</v>
      </c>
      <c r="B44" s="13" t="s">
        <v>97</v>
      </c>
      <c r="C44" s="13">
        <v>182</v>
      </c>
      <c r="D44" s="13">
        <v>8.6</v>
      </c>
      <c r="E44" s="13">
        <f t="shared" si="0"/>
        <v>2182.8571428571427</v>
      </c>
      <c r="F44" s="13">
        <v>7640</v>
      </c>
      <c r="G44" s="13">
        <v>3.5</v>
      </c>
      <c r="H44" s="13">
        <f t="shared" si="1"/>
        <v>2182.8571428571427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</row>
    <row r="45" spans="1:14" x14ac:dyDescent="0.25">
      <c r="A45" s="13" t="s">
        <v>593</v>
      </c>
      <c r="B45" s="13" t="s">
        <v>99</v>
      </c>
      <c r="C45" s="13">
        <v>106</v>
      </c>
      <c r="D45" s="13">
        <v>6.3</v>
      </c>
      <c r="E45" s="13">
        <f t="shared" si="0"/>
        <v>1265.7142857142858</v>
      </c>
      <c r="F45" s="13">
        <v>4430</v>
      </c>
      <c r="G45" s="13">
        <v>3.5</v>
      </c>
      <c r="H45" s="13">
        <f t="shared" si="1"/>
        <v>1265.7142857142858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</row>
    <row r="46" spans="1:14" x14ac:dyDescent="0.25">
      <c r="A46" s="13" t="s">
        <v>594</v>
      </c>
      <c r="B46" s="13" t="s">
        <v>100</v>
      </c>
      <c r="C46" s="13">
        <v>213</v>
      </c>
      <c r="D46" s="13">
        <v>9.6999999999999993</v>
      </c>
      <c r="E46" s="13">
        <f t="shared" si="0"/>
        <v>2374.2857142857142</v>
      </c>
      <c r="F46" s="13">
        <v>8310</v>
      </c>
      <c r="G46" s="13">
        <v>3.5</v>
      </c>
      <c r="H46" s="13">
        <f t="shared" si="1"/>
        <v>2374.2857142857142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</row>
    <row r="47" spans="1:14" x14ac:dyDescent="0.25">
      <c r="A47" s="13" t="s">
        <v>595</v>
      </c>
      <c r="B47" s="13" t="s">
        <v>101</v>
      </c>
      <c r="C47" s="13">
        <v>276</v>
      </c>
      <c r="D47" s="13">
        <v>9.1999999999999993</v>
      </c>
      <c r="E47" s="13">
        <f t="shared" si="0"/>
        <v>3714.2857142857142</v>
      </c>
      <c r="F47" s="13">
        <v>13000</v>
      </c>
      <c r="G47" s="13">
        <v>3.5</v>
      </c>
      <c r="H47" s="13">
        <f t="shared" si="1"/>
        <v>3714.2857142857142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</row>
    <row r="48" spans="1:14" x14ac:dyDescent="0.25">
      <c r="A48" s="13" t="s">
        <v>596</v>
      </c>
      <c r="B48" s="13" t="s">
        <v>103</v>
      </c>
      <c r="C48" s="13">
        <v>1440</v>
      </c>
      <c r="D48" s="13">
        <v>35</v>
      </c>
      <c r="E48" s="13">
        <f t="shared" si="0"/>
        <v>14485.714285714286</v>
      </c>
      <c r="F48" s="13">
        <v>50700</v>
      </c>
      <c r="G48" s="13">
        <v>3.5</v>
      </c>
      <c r="H48" s="13">
        <f t="shared" si="1"/>
        <v>14485.714285714286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</row>
    <row r="49" spans="1:14" x14ac:dyDescent="0.25">
      <c r="A49" s="13" t="s">
        <v>597</v>
      </c>
      <c r="B49" s="13" t="s">
        <v>105</v>
      </c>
      <c r="C49" s="13">
        <v>1431</v>
      </c>
      <c r="D49" s="13">
        <v>149.6</v>
      </c>
      <c r="E49" s="13">
        <f t="shared" si="0"/>
        <v>124571.42857142857</v>
      </c>
      <c r="F49" s="13">
        <v>436000</v>
      </c>
      <c r="G49" s="13">
        <v>3.5</v>
      </c>
      <c r="H49" s="13">
        <f t="shared" si="1"/>
        <v>124571.42857142857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</row>
    <row r="50" spans="1:14" x14ac:dyDescent="0.25">
      <c r="A50" s="13" t="s">
        <v>598</v>
      </c>
      <c r="B50" s="13" t="s">
        <v>106</v>
      </c>
      <c r="C50" s="13">
        <v>540</v>
      </c>
      <c r="D50" s="13">
        <v>19.5</v>
      </c>
      <c r="E50" s="13">
        <f t="shared" si="0"/>
        <v>4657.1428571428569</v>
      </c>
      <c r="F50" s="13">
        <v>16300</v>
      </c>
      <c r="G50" s="13">
        <v>3.5</v>
      </c>
      <c r="H50" s="13">
        <f t="shared" si="1"/>
        <v>4657.1428571428569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</row>
    <row r="51" spans="1:14" x14ac:dyDescent="0.25">
      <c r="A51" s="13" t="s">
        <v>599</v>
      </c>
      <c r="B51" s="13" t="s">
        <v>107</v>
      </c>
      <c r="C51" s="13">
        <v>94</v>
      </c>
      <c r="D51" s="13">
        <v>4.9000000000000004</v>
      </c>
      <c r="E51" s="13">
        <f t="shared" si="0"/>
        <v>1302.8571428571429</v>
      </c>
      <c r="F51" s="13">
        <v>4560</v>
      </c>
      <c r="G51" s="13">
        <v>3.5</v>
      </c>
      <c r="H51" s="13">
        <f t="shared" si="1"/>
        <v>1302.8571428571429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</row>
    <row r="52" spans="1:14" x14ac:dyDescent="0.25">
      <c r="A52" s="13" t="s">
        <v>600</v>
      </c>
      <c r="B52" s="13" t="s">
        <v>108</v>
      </c>
      <c r="C52" s="13">
        <v>288</v>
      </c>
      <c r="D52" s="13">
        <v>13</v>
      </c>
      <c r="E52" s="13">
        <f t="shared" si="0"/>
        <v>2600</v>
      </c>
      <c r="F52" s="13">
        <v>9100</v>
      </c>
      <c r="G52" s="13">
        <v>3.5</v>
      </c>
      <c r="H52" s="13">
        <f t="shared" si="1"/>
        <v>2600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</row>
    <row r="53" spans="1:14" x14ac:dyDescent="0.25">
      <c r="A53" s="13" t="s">
        <v>601</v>
      </c>
      <c r="B53" s="13" t="s">
        <v>109</v>
      </c>
      <c r="C53" s="13">
        <v>996</v>
      </c>
      <c r="D53" s="13">
        <v>29.1</v>
      </c>
      <c r="E53" s="13">
        <f t="shared" si="0"/>
        <v>11428.571428571429</v>
      </c>
      <c r="F53" s="13">
        <v>40000</v>
      </c>
      <c r="G53" s="13">
        <v>3.5</v>
      </c>
      <c r="H53" s="13">
        <f t="shared" si="1"/>
        <v>11428.571428571429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</row>
    <row r="54" spans="1:14" x14ac:dyDescent="0.25">
      <c r="A54" s="13" t="s">
        <v>602</v>
      </c>
      <c r="B54" s="13" t="s">
        <v>110</v>
      </c>
      <c r="C54" s="13">
        <v>95</v>
      </c>
      <c r="D54" s="13">
        <v>4.7</v>
      </c>
      <c r="E54" s="13">
        <f t="shared" si="0"/>
        <v>1057.1428571428571</v>
      </c>
      <c r="F54" s="13">
        <v>3700</v>
      </c>
      <c r="G54" s="13">
        <v>3.5</v>
      </c>
      <c r="H54" s="13">
        <f t="shared" si="1"/>
        <v>1057.1428571428571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</row>
    <row r="55" spans="1:14" x14ac:dyDescent="0.25">
      <c r="A55" s="13" t="s">
        <v>603</v>
      </c>
      <c r="B55" s="13" t="s">
        <v>111</v>
      </c>
      <c r="C55" s="13">
        <v>1832</v>
      </c>
      <c r="D55" s="13">
        <v>61.2</v>
      </c>
      <c r="E55" s="13">
        <f t="shared" si="0"/>
        <v>12742.857142857143</v>
      </c>
      <c r="F55" s="13">
        <v>44600</v>
      </c>
      <c r="G55" s="13">
        <v>3.5</v>
      </c>
      <c r="H55" s="13">
        <f t="shared" si="1"/>
        <v>12742.857142857143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</row>
    <row r="56" spans="1:14" x14ac:dyDescent="0.25">
      <c r="A56" s="13" t="s">
        <v>604</v>
      </c>
      <c r="B56" s="13" t="s">
        <v>112</v>
      </c>
      <c r="C56" s="13">
        <v>996</v>
      </c>
      <c r="D56" s="13">
        <v>28.4</v>
      </c>
      <c r="E56" s="13">
        <f t="shared" si="0"/>
        <v>6171.4285714285716</v>
      </c>
      <c r="F56" s="13">
        <v>21600</v>
      </c>
      <c r="G56" s="13">
        <v>3.5</v>
      </c>
      <c r="H56" s="13">
        <f t="shared" si="1"/>
        <v>6171.4285714285716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</row>
    <row r="57" spans="1:14" x14ac:dyDescent="0.25">
      <c r="A57" s="13" t="s">
        <v>605</v>
      </c>
      <c r="B57" s="13" t="s">
        <v>113</v>
      </c>
      <c r="C57" s="13">
        <v>572</v>
      </c>
      <c r="D57" s="13">
        <v>21.3</v>
      </c>
      <c r="E57" s="13">
        <f t="shared" si="0"/>
        <v>5342.8571428571431</v>
      </c>
      <c r="F57" s="13">
        <v>18700</v>
      </c>
      <c r="G57" s="13">
        <v>3.5</v>
      </c>
      <c r="H57" s="13">
        <f t="shared" si="1"/>
        <v>5342.8571428571431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</row>
    <row r="58" spans="1:14" x14ac:dyDescent="0.25">
      <c r="A58" s="13" t="s">
        <v>606</v>
      </c>
      <c r="B58" s="13" t="s">
        <v>114</v>
      </c>
      <c r="C58" s="13">
        <v>116</v>
      </c>
      <c r="D58" s="13">
        <v>7.3</v>
      </c>
      <c r="E58" s="13">
        <f t="shared" si="0"/>
        <v>1982.8571428571429</v>
      </c>
      <c r="F58" s="13">
        <v>6940</v>
      </c>
      <c r="G58" s="13">
        <v>3.5</v>
      </c>
      <c r="H58" s="13">
        <f t="shared" si="1"/>
        <v>1982.8571428571429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</row>
    <row r="59" spans="1:14" x14ac:dyDescent="0.25">
      <c r="A59" s="13" t="s">
        <v>607</v>
      </c>
      <c r="B59" s="13" t="s">
        <v>115</v>
      </c>
      <c r="C59" s="13">
        <v>738</v>
      </c>
      <c r="D59" s="13">
        <v>20.6</v>
      </c>
      <c r="E59" s="13">
        <f t="shared" si="0"/>
        <v>7971.4285714285716</v>
      </c>
      <c r="F59" s="13">
        <v>27900</v>
      </c>
      <c r="G59" s="13">
        <v>3.5</v>
      </c>
      <c r="H59" s="13">
        <f t="shared" si="1"/>
        <v>7971.4285714285716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</row>
    <row r="60" spans="1:14" x14ac:dyDescent="0.25">
      <c r="A60" s="13" t="s">
        <v>608</v>
      </c>
      <c r="B60" s="13" t="s">
        <v>116</v>
      </c>
      <c r="C60" s="13">
        <v>1728</v>
      </c>
      <c r="D60" s="13">
        <v>55.7</v>
      </c>
      <c r="E60" s="13">
        <f t="shared" si="0"/>
        <v>10485.714285714286</v>
      </c>
      <c r="F60" s="13">
        <v>36700</v>
      </c>
      <c r="G60" s="13">
        <v>3.5</v>
      </c>
      <c r="H60" s="13">
        <f t="shared" si="1"/>
        <v>10485.714285714286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</row>
    <row r="61" spans="1:14" x14ac:dyDescent="0.25">
      <c r="A61" s="13" t="s">
        <v>609</v>
      </c>
      <c r="B61" s="13" t="s">
        <v>117</v>
      </c>
      <c r="C61" s="13">
        <v>345</v>
      </c>
      <c r="D61" s="13">
        <v>17.5</v>
      </c>
      <c r="E61" s="13">
        <f t="shared" si="0"/>
        <v>4657.1428571428569</v>
      </c>
      <c r="F61" s="13">
        <v>16300</v>
      </c>
      <c r="G61" s="13">
        <v>3.5</v>
      </c>
      <c r="H61" s="13">
        <f t="shared" si="1"/>
        <v>4657.1428571428569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</row>
    <row r="62" spans="1:14" x14ac:dyDescent="0.25">
      <c r="A62" s="13" t="s">
        <v>610</v>
      </c>
      <c r="B62" s="13" t="s">
        <v>118</v>
      </c>
      <c r="C62" s="13">
        <v>507</v>
      </c>
      <c r="D62" s="13">
        <v>10.8</v>
      </c>
      <c r="E62" s="13">
        <f t="shared" si="0"/>
        <v>4285.7142857142853</v>
      </c>
      <c r="F62" s="13">
        <v>15000</v>
      </c>
      <c r="G62" s="13">
        <v>3.5</v>
      </c>
      <c r="H62" s="13">
        <f t="shared" si="1"/>
        <v>4285.7142857142853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</row>
    <row r="63" spans="1:14" x14ac:dyDescent="0.25">
      <c r="A63" s="13" t="s">
        <v>611</v>
      </c>
      <c r="B63" s="13" t="s">
        <v>119</v>
      </c>
      <c r="C63" s="13">
        <v>191</v>
      </c>
      <c r="D63" s="13">
        <v>7.4</v>
      </c>
      <c r="E63" s="13">
        <f t="shared" si="0"/>
        <v>2914.2857142857142</v>
      </c>
      <c r="F63" s="13">
        <v>10200</v>
      </c>
      <c r="G63" s="13">
        <v>3.5</v>
      </c>
      <c r="H63" s="13">
        <f t="shared" si="1"/>
        <v>2914.2857142857142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</row>
    <row r="64" spans="1:14" x14ac:dyDescent="0.25">
      <c r="A64" s="13" t="s">
        <v>612</v>
      </c>
      <c r="B64" s="13" t="s">
        <v>120</v>
      </c>
      <c r="C64" s="13">
        <v>231</v>
      </c>
      <c r="D64" s="13">
        <v>12.6</v>
      </c>
      <c r="E64" s="13">
        <f t="shared" si="0"/>
        <v>3000</v>
      </c>
      <c r="F64" s="13">
        <v>10500</v>
      </c>
      <c r="G64" s="13">
        <v>3.5</v>
      </c>
      <c r="H64" s="13">
        <f t="shared" si="1"/>
        <v>3000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</row>
    <row r="65" spans="1:14" x14ac:dyDescent="0.25">
      <c r="A65" s="13" t="s">
        <v>613</v>
      </c>
      <c r="B65" s="13" t="s">
        <v>121</v>
      </c>
      <c r="C65" s="13">
        <v>857</v>
      </c>
      <c r="D65" s="13">
        <v>30.7</v>
      </c>
      <c r="E65" s="13">
        <f t="shared" si="0"/>
        <v>6942.8571428571431</v>
      </c>
      <c r="F65" s="13">
        <v>24300</v>
      </c>
      <c r="G65" s="13">
        <v>3.5</v>
      </c>
      <c r="H65" s="13">
        <f t="shared" si="1"/>
        <v>6942.8571428571431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</row>
    <row r="66" spans="1:14" x14ac:dyDescent="0.25">
      <c r="A66" s="13" t="s">
        <v>614</v>
      </c>
      <c r="B66" s="13" t="s">
        <v>122</v>
      </c>
      <c r="C66" s="13">
        <v>321</v>
      </c>
      <c r="D66" s="13">
        <v>14.3</v>
      </c>
      <c r="E66" s="13">
        <f t="shared" si="0"/>
        <v>3542.8571428571427</v>
      </c>
      <c r="F66" s="13">
        <v>12400</v>
      </c>
      <c r="G66" s="13">
        <v>3.5</v>
      </c>
      <c r="H66" s="13">
        <f t="shared" si="1"/>
        <v>3542.8571428571427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</row>
    <row r="67" spans="1:14" x14ac:dyDescent="0.25">
      <c r="A67" s="13" t="s">
        <v>615</v>
      </c>
      <c r="B67" s="13" t="s">
        <v>123</v>
      </c>
      <c r="C67" s="13">
        <v>712</v>
      </c>
      <c r="D67" s="13">
        <v>28</v>
      </c>
      <c r="E67" s="13">
        <f t="shared" ref="E67:E130" si="2">F67/G67</f>
        <v>6657.1428571428569</v>
      </c>
      <c r="F67" s="13">
        <v>23300</v>
      </c>
      <c r="G67" s="13">
        <v>3.5</v>
      </c>
      <c r="H67" s="13">
        <f t="shared" ref="H67:H130" si="3">(F67/G67)-SUM(I67:N67)</f>
        <v>6657.1428571428569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</row>
    <row r="68" spans="1:14" x14ac:dyDescent="0.25">
      <c r="A68" s="13" t="s">
        <v>616</v>
      </c>
      <c r="B68" s="13" t="s">
        <v>124</v>
      </c>
      <c r="C68" s="13">
        <v>502</v>
      </c>
      <c r="D68" s="13">
        <v>16.399999999999999</v>
      </c>
      <c r="E68" s="13">
        <f t="shared" si="2"/>
        <v>3600</v>
      </c>
      <c r="F68" s="13">
        <v>12600</v>
      </c>
      <c r="G68" s="13">
        <v>3.5</v>
      </c>
      <c r="H68" s="13">
        <f t="shared" si="3"/>
        <v>3600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</row>
    <row r="69" spans="1:14" x14ac:dyDescent="0.25">
      <c r="A69" s="13" t="s">
        <v>617</v>
      </c>
      <c r="B69" s="13" t="s">
        <v>125</v>
      </c>
      <c r="C69" s="13">
        <v>850</v>
      </c>
      <c r="D69" s="13">
        <v>20.6</v>
      </c>
      <c r="E69" s="13">
        <f t="shared" si="2"/>
        <v>8457.1428571428569</v>
      </c>
      <c r="F69" s="13">
        <v>29600</v>
      </c>
      <c r="G69" s="13">
        <v>3.5</v>
      </c>
      <c r="H69" s="13">
        <f t="shared" si="3"/>
        <v>8457.1428571428569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</row>
    <row r="70" spans="1:14" x14ac:dyDescent="0.25">
      <c r="A70" s="13" t="s">
        <v>618</v>
      </c>
      <c r="B70" s="13" t="s">
        <v>126</v>
      </c>
      <c r="C70" s="13">
        <v>763</v>
      </c>
      <c r="D70" s="13">
        <v>26.4</v>
      </c>
      <c r="E70" s="13">
        <f t="shared" si="2"/>
        <v>5371.4285714285716</v>
      </c>
      <c r="F70" s="13">
        <v>18800</v>
      </c>
      <c r="G70" s="13">
        <v>3.5</v>
      </c>
      <c r="H70" s="13">
        <f t="shared" si="3"/>
        <v>5371.4285714285716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</row>
    <row r="71" spans="1:14" x14ac:dyDescent="0.25">
      <c r="A71" s="13" t="s">
        <v>619</v>
      </c>
      <c r="B71" s="13" t="s">
        <v>127</v>
      </c>
      <c r="C71" s="13">
        <v>126</v>
      </c>
      <c r="D71" s="13">
        <v>7.3</v>
      </c>
      <c r="E71" s="13">
        <f t="shared" si="2"/>
        <v>1557.1428571428571</v>
      </c>
      <c r="F71" s="13">
        <v>5450</v>
      </c>
      <c r="G71" s="13">
        <v>3.5</v>
      </c>
      <c r="H71" s="13">
        <f t="shared" si="3"/>
        <v>1557.1428571428571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</row>
    <row r="72" spans="1:14" x14ac:dyDescent="0.25">
      <c r="A72" s="13" t="s">
        <v>620</v>
      </c>
      <c r="B72" s="13" t="s">
        <v>128</v>
      </c>
      <c r="C72" s="13">
        <v>1790</v>
      </c>
      <c r="D72" s="13">
        <v>49.2</v>
      </c>
      <c r="E72" s="13">
        <f t="shared" si="2"/>
        <v>17028.571428571428</v>
      </c>
      <c r="F72" s="13">
        <v>59600</v>
      </c>
      <c r="G72" s="13">
        <v>3.5</v>
      </c>
      <c r="H72" s="13">
        <f t="shared" si="3"/>
        <v>17028.571428571428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</row>
    <row r="73" spans="1:14" x14ac:dyDescent="0.25">
      <c r="A73" s="13" t="s">
        <v>621</v>
      </c>
      <c r="B73" s="13" t="s">
        <v>129</v>
      </c>
      <c r="C73" s="13">
        <v>195</v>
      </c>
      <c r="D73" s="13">
        <v>9.5</v>
      </c>
      <c r="E73" s="13">
        <f t="shared" si="2"/>
        <v>3342.8571428571427</v>
      </c>
      <c r="F73" s="13">
        <v>11700</v>
      </c>
      <c r="G73" s="13">
        <v>3.5</v>
      </c>
      <c r="H73" s="13">
        <f t="shared" si="3"/>
        <v>3342.8571428571427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</row>
    <row r="74" spans="1:14" x14ac:dyDescent="0.25">
      <c r="A74" s="13" t="s">
        <v>622</v>
      </c>
      <c r="B74" s="13" t="s">
        <v>130</v>
      </c>
      <c r="C74" s="13">
        <v>325</v>
      </c>
      <c r="D74" s="13">
        <v>18.100000000000001</v>
      </c>
      <c r="E74" s="13">
        <f t="shared" si="2"/>
        <v>4914.2857142857147</v>
      </c>
      <c r="F74" s="13">
        <v>17200</v>
      </c>
      <c r="G74" s="13">
        <v>3.5</v>
      </c>
      <c r="H74" s="13">
        <f t="shared" si="3"/>
        <v>4914.2857142857147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</row>
    <row r="75" spans="1:14" x14ac:dyDescent="0.25">
      <c r="A75" s="13" t="s">
        <v>623</v>
      </c>
      <c r="B75" s="13" t="s">
        <v>131</v>
      </c>
      <c r="C75" s="13">
        <v>238</v>
      </c>
      <c r="D75" s="13">
        <v>9.3000000000000007</v>
      </c>
      <c r="E75" s="13">
        <f t="shared" si="2"/>
        <v>1774.2857142857142</v>
      </c>
      <c r="F75" s="13">
        <v>6210</v>
      </c>
      <c r="G75" s="13">
        <v>3.5</v>
      </c>
      <c r="H75" s="13">
        <f t="shared" si="3"/>
        <v>1774.2857142857142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</row>
    <row r="76" spans="1:14" x14ac:dyDescent="0.25">
      <c r="A76" s="13" t="s">
        <v>624</v>
      </c>
      <c r="B76" s="13" t="s">
        <v>132</v>
      </c>
      <c r="C76" s="13">
        <v>175</v>
      </c>
      <c r="D76" s="13">
        <v>6</v>
      </c>
      <c r="E76" s="13">
        <f t="shared" si="2"/>
        <v>2374.2857142857142</v>
      </c>
      <c r="F76" s="13">
        <v>8310</v>
      </c>
      <c r="G76" s="13">
        <v>3.5</v>
      </c>
      <c r="H76" s="13">
        <f t="shared" si="3"/>
        <v>2374.2857142857142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</row>
    <row r="77" spans="1:14" x14ac:dyDescent="0.25">
      <c r="A77" s="13" t="s">
        <v>625</v>
      </c>
      <c r="B77" s="13" t="s">
        <v>133</v>
      </c>
      <c r="C77" s="13">
        <v>1455</v>
      </c>
      <c r="D77" s="13">
        <v>42.6</v>
      </c>
      <c r="E77" s="13">
        <f t="shared" si="2"/>
        <v>7885.7142857142853</v>
      </c>
      <c r="F77" s="13">
        <v>27600</v>
      </c>
      <c r="G77" s="13">
        <v>3.5</v>
      </c>
      <c r="H77" s="13">
        <f t="shared" si="3"/>
        <v>7885.7142857142853</v>
      </c>
      <c r="I77" s="13">
        <v>0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</row>
    <row r="78" spans="1:14" x14ac:dyDescent="0.25">
      <c r="A78" s="13" t="s">
        <v>626</v>
      </c>
      <c r="B78" s="13" t="s">
        <v>134</v>
      </c>
      <c r="C78" s="13">
        <v>958</v>
      </c>
      <c r="D78" s="13">
        <v>29.3</v>
      </c>
      <c r="E78" s="13">
        <f t="shared" si="2"/>
        <v>11114.285714285714</v>
      </c>
      <c r="F78" s="13">
        <v>38900</v>
      </c>
      <c r="G78" s="13">
        <v>3.5</v>
      </c>
      <c r="H78" s="13">
        <f t="shared" si="3"/>
        <v>11114.285714285714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</row>
    <row r="79" spans="1:14" x14ac:dyDescent="0.25">
      <c r="A79" s="13" t="s">
        <v>627</v>
      </c>
      <c r="B79" s="13" t="s">
        <v>135</v>
      </c>
      <c r="C79" s="13">
        <v>1072</v>
      </c>
      <c r="D79" s="13">
        <v>30.2</v>
      </c>
      <c r="E79" s="13">
        <f t="shared" si="2"/>
        <v>11571.428571428571</v>
      </c>
      <c r="F79" s="13">
        <v>40500</v>
      </c>
      <c r="G79" s="13">
        <v>3.5</v>
      </c>
      <c r="H79" s="13">
        <f t="shared" si="3"/>
        <v>11571.428571428571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</row>
    <row r="80" spans="1:14" x14ac:dyDescent="0.25">
      <c r="A80" s="13" t="s">
        <v>628</v>
      </c>
      <c r="B80" s="13" t="s">
        <v>136</v>
      </c>
      <c r="C80" s="13">
        <v>254</v>
      </c>
      <c r="D80" s="13">
        <v>10</v>
      </c>
      <c r="E80" s="13">
        <f t="shared" si="2"/>
        <v>2245.7142857142858</v>
      </c>
      <c r="F80" s="13">
        <v>7860</v>
      </c>
      <c r="G80" s="13">
        <v>3.5</v>
      </c>
      <c r="H80" s="13">
        <f t="shared" si="3"/>
        <v>2245.7142857142858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</row>
    <row r="81" spans="1:14" x14ac:dyDescent="0.25">
      <c r="A81" s="13" t="s">
        <v>629</v>
      </c>
      <c r="B81" s="13" t="s">
        <v>137</v>
      </c>
      <c r="C81" s="13">
        <v>898</v>
      </c>
      <c r="D81" s="13">
        <v>26.9</v>
      </c>
      <c r="E81" s="13">
        <f t="shared" si="2"/>
        <v>10514.285714285714</v>
      </c>
      <c r="F81" s="13">
        <v>36800</v>
      </c>
      <c r="G81" s="13">
        <v>3.5</v>
      </c>
      <c r="H81" s="13">
        <f t="shared" si="3"/>
        <v>10514.285714285714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</row>
    <row r="82" spans="1:14" x14ac:dyDescent="0.25">
      <c r="A82" s="13" t="s">
        <v>630</v>
      </c>
      <c r="B82" s="13" t="s">
        <v>138</v>
      </c>
      <c r="C82" s="13">
        <v>598</v>
      </c>
      <c r="D82" s="13">
        <v>26.7</v>
      </c>
      <c r="E82" s="13">
        <f t="shared" si="2"/>
        <v>8685.7142857142862</v>
      </c>
      <c r="F82" s="13">
        <v>30400</v>
      </c>
      <c r="G82" s="13">
        <v>3.5</v>
      </c>
      <c r="H82" s="13">
        <f t="shared" si="3"/>
        <v>8685.7142857142862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</row>
    <row r="83" spans="1:14" x14ac:dyDescent="0.25">
      <c r="A83" s="13" t="s">
        <v>631</v>
      </c>
      <c r="B83" s="13" t="s">
        <v>139</v>
      </c>
      <c r="C83" s="13">
        <v>427</v>
      </c>
      <c r="D83" s="13">
        <v>15.3</v>
      </c>
      <c r="E83" s="13">
        <f t="shared" si="2"/>
        <v>3085.7142857142858</v>
      </c>
      <c r="F83" s="13">
        <v>10800</v>
      </c>
      <c r="G83" s="13">
        <v>3.5</v>
      </c>
      <c r="H83" s="13">
        <f t="shared" si="3"/>
        <v>3085.7142857142858</v>
      </c>
      <c r="I83" s="13">
        <v>0</v>
      </c>
      <c r="J83" s="13">
        <v>0</v>
      </c>
      <c r="K83" s="13">
        <v>0</v>
      </c>
      <c r="L83" s="13">
        <v>0</v>
      </c>
      <c r="M83" s="13">
        <v>0</v>
      </c>
      <c r="N83" s="13">
        <v>0</v>
      </c>
    </row>
    <row r="84" spans="1:14" x14ac:dyDescent="0.25">
      <c r="A84" s="13" t="s">
        <v>632</v>
      </c>
      <c r="B84" s="13" t="s">
        <v>140</v>
      </c>
      <c r="C84" s="13">
        <v>382</v>
      </c>
      <c r="D84" s="13">
        <v>12.3</v>
      </c>
      <c r="E84" s="13">
        <f t="shared" si="2"/>
        <v>4885.7142857142853</v>
      </c>
      <c r="F84" s="13">
        <v>17100</v>
      </c>
      <c r="G84" s="13">
        <v>3.5</v>
      </c>
      <c r="H84" s="13">
        <f t="shared" si="3"/>
        <v>4885.7142857142853</v>
      </c>
      <c r="I84" s="13">
        <v>0</v>
      </c>
      <c r="J84" s="13">
        <v>0</v>
      </c>
      <c r="K84" s="13">
        <v>0</v>
      </c>
      <c r="L84" s="13">
        <v>0</v>
      </c>
      <c r="M84" s="13">
        <v>0</v>
      </c>
      <c r="N84" s="13">
        <v>0</v>
      </c>
    </row>
    <row r="85" spans="1:14" x14ac:dyDescent="0.25">
      <c r="A85" s="13" t="s">
        <v>633</v>
      </c>
      <c r="B85" s="13" t="s">
        <v>141</v>
      </c>
      <c r="C85" s="13">
        <v>566</v>
      </c>
      <c r="D85" s="13">
        <v>24.6</v>
      </c>
      <c r="E85" s="13">
        <f t="shared" si="2"/>
        <v>6457.1428571428569</v>
      </c>
      <c r="F85" s="13">
        <v>22600</v>
      </c>
      <c r="G85" s="13">
        <v>3.5</v>
      </c>
      <c r="H85" s="13">
        <f t="shared" si="3"/>
        <v>6457.1428571428569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</row>
    <row r="86" spans="1:14" x14ac:dyDescent="0.25">
      <c r="A86" s="13" t="s">
        <v>634</v>
      </c>
      <c r="B86" s="13" t="s">
        <v>142</v>
      </c>
      <c r="C86" s="13">
        <v>651</v>
      </c>
      <c r="D86" s="13">
        <v>21.6</v>
      </c>
      <c r="E86" s="13">
        <f t="shared" si="2"/>
        <v>7000</v>
      </c>
      <c r="F86" s="13">
        <v>24500</v>
      </c>
      <c r="G86" s="13">
        <v>3.5</v>
      </c>
      <c r="H86" s="13">
        <f t="shared" si="3"/>
        <v>7000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</row>
    <row r="87" spans="1:14" x14ac:dyDescent="0.25">
      <c r="A87" s="13" t="s">
        <v>635</v>
      </c>
      <c r="B87" s="13" t="s">
        <v>143</v>
      </c>
      <c r="C87" s="13">
        <v>201</v>
      </c>
      <c r="D87" s="13">
        <v>9.8000000000000007</v>
      </c>
      <c r="E87" s="13">
        <f t="shared" si="2"/>
        <v>2202.8571428571427</v>
      </c>
      <c r="F87" s="13">
        <v>7710</v>
      </c>
      <c r="G87" s="13">
        <v>3.5</v>
      </c>
      <c r="H87" s="13">
        <f t="shared" si="3"/>
        <v>2202.8571428571427</v>
      </c>
      <c r="I87" s="13">
        <v>0</v>
      </c>
      <c r="J87" s="13">
        <v>0</v>
      </c>
      <c r="K87" s="13">
        <v>0</v>
      </c>
      <c r="L87" s="13">
        <v>0</v>
      </c>
      <c r="M87" s="13">
        <v>0</v>
      </c>
      <c r="N87" s="13">
        <v>0</v>
      </c>
    </row>
    <row r="88" spans="1:14" x14ac:dyDescent="0.25">
      <c r="A88" s="13" t="s">
        <v>636</v>
      </c>
      <c r="B88" s="13" t="s">
        <v>144</v>
      </c>
      <c r="C88" s="13">
        <v>262</v>
      </c>
      <c r="D88" s="13">
        <v>10</v>
      </c>
      <c r="E88" s="13">
        <f t="shared" si="2"/>
        <v>2125.7142857142858</v>
      </c>
      <c r="F88" s="13">
        <v>7440</v>
      </c>
      <c r="G88" s="13">
        <v>3.5</v>
      </c>
      <c r="H88" s="13">
        <f t="shared" si="3"/>
        <v>2125.7142857142858</v>
      </c>
      <c r="I88" s="13">
        <v>0</v>
      </c>
      <c r="J88" s="13">
        <v>0</v>
      </c>
      <c r="K88" s="13">
        <v>0</v>
      </c>
      <c r="L88" s="13">
        <v>0</v>
      </c>
      <c r="M88" s="13">
        <v>0</v>
      </c>
      <c r="N88" s="13">
        <v>0</v>
      </c>
    </row>
    <row r="89" spans="1:14" x14ac:dyDescent="0.25">
      <c r="A89" s="13" t="s">
        <v>637</v>
      </c>
      <c r="B89" s="13" t="s">
        <v>145</v>
      </c>
      <c r="C89" s="13">
        <v>2698</v>
      </c>
      <c r="D89" s="13">
        <v>73.7</v>
      </c>
      <c r="E89" s="13">
        <f t="shared" si="2"/>
        <v>29428.571428571428</v>
      </c>
      <c r="F89" s="13">
        <v>103000</v>
      </c>
      <c r="G89" s="13">
        <v>3.5</v>
      </c>
      <c r="H89" s="13">
        <f t="shared" si="3"/>
        <v>29428.571428571428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</row>
    <row r="90" spans="1:14" x14ac:dyDescent="0.25">
      <c r="A90" s="13" t="s">
        <v>638</v>
      </c>
      <c r="B90" s="13" t="s">
        <v>146</v>
      </c>
      <c r="C90" s="13">
        <v>502</v>
      </c>
      <c r="D90" s="13">
        <v>16.899999999999999</v>
      </c>
      <c r="E90" s="13">
        <f t="shared" si="2"/>
        <v>6857.1428571428569</v>
      </c>
      <c r="F90" s="13">
        <v>24000</v>
      </c>
      <c r="G90" s="13">
        <v>3.5</v>
      </c>
      <c r="H90" s="13">
        <f t="shared" si="3"/>
        <v>6857.1428571428569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</row>
    <row r="91" spans="1:14" x14ac:dyDescent="0.25">
      <c r="A91" s="13" t="s">
        <v>639</v>
      </c>
      <c r="B91" s="13" t="s">
        <v>147</v>
      </c>
      <c r="C91" s="13">
        <v>1594</v>
      </c>
      <c r="D91" s="13">
        <v>57.8</v>
      </c>
      <c r="E91" s="13">
        <f t="shared" si="2"/>
        <v>11714.285714285714</v>
      </c>
      <c r="F91" s="13">
        <v>41000</v>
      </c>
      <c r="G91" s="13">
        <v>3.5</v>
      </c>
      <c r="H91" s="13">
        <f t="shared" si="3"/>
        <v>11714.285714285714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</row>
    <row r="92" spans="1:14" x14ac:dyDescent="0.25">
      <c r="A92" s="13" t="s">
        <v>640</v>
      </c>
      <c r="B92" s="13" t="s">
        <v>148</v>
      </c>
      <c r="C92" s="13">
        <v>216</v>
      </c>
      <c r="D92" s="13">
        <v>22.6</v>
      </c>
      <c r="E92" s="13">
        <f t="shared" si="2"/>
        <v>19428.571428571428</v>
      </c>
      <c r="F92" s="13">
        <v>68000</v>
      </c>
      <c r="G92" s="13">
        <v>3.5</v>
      </c>
      <c r="H92" s="13">
        <f t="shared" si="3"/>
        <v>19428.571428571428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</row>
    <row r="93" spans="1:14" x14ac:dyDescent="0.25">
      <c r="A93" s="13" t="s">
        <v>641</v>
      </c>
      <c r="B93" s="13" t="s">
        <v>149</v>
      </c>
      <c r="C93" s="13">
        <v>129</v>
      </c>
      <c r="D93" s="13">
        <v>6.4</v>
      </c>
      <c r="E93" s="13">
        <f t="shared" si="2"/>
        <v>1460</v>
      </c>
      <c r="F93" s="13">
        <v>5110</v>
      </c>
      <c r="G93" s="13">
        <v>3.5</v>
      </c>
      <c r="H93" s="13">
        <f t="shared" si="3"/>
        <v>1460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</row>
    <row r="94" spans="1:14" x14ac:dyDescent="0.25">
      <c r="A94" s="13" t="s">
        <v>642</v>
      </c>
      <c r="B94" s="13" t="s">
        <v>150</v>
      </c>
      <c r="C94" s="13">
        <v>368</v>
      </c>
      <c r="D94" s="13">
        <v>19.5</v>
      </c>
      <c r="E94" s="13">
        <f t="shared" si="2"/>
        <v>4428.5714285714284</v>
      </c>
      <c r="F94" s="13">
        <v>15500</v>
      </c>
      <c r="G94" s="13">
        <v>3.5</v>
      </c>
      <c r="H94" s="13">
        <f t="shared" si="3"/>
        <v>4428.5714285714284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</row>
    <row r="95" spans="1:14" x14ac:dyDescent="0.25">
      <c r="A95" s="13" t="s">
        <v>643</v>
      </c>
      <c r="B95" s="13" t="s">
        <v>151</v>
      </c>
      <c r="C95" s="13">
        <v>142</v>
      </c>
      <c r="D95" s="13">
        <v>7.2</v>
      </c>
      <c r="E95" s="13">
        <f t="shared" si="2"/>
        <v>2234.2857142857142</v>
      </c>
      <c r="F95" s="13">
        <v>7820</v>
      </c>
      <c r="G95" s="13">
        <v>3.5</v>
      </c>
      <c r="H95" s="13">
        <f t="shared" si="3"/>
        <v>2234.2857142857142</v>
      </c>
      <c r="I95" s="13">
        <v>0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</row>
    <row r="96" spans="1:14" x14ac:dyDescent="0.25">
      <c r="A96" s="13" t="s">
        <v>644</v>
      </c>
      <c r="B96" s="13" t="s">
        <v>152</v>
      </c>
      <c r="C96" s="13">
        <v>1292</v>
      </c>
      <c r="D96" s="13">
        <v>48.4</v>
      </c>
      <c r="E96" s="13">
        <f t="shared" si="2"/>
        <v>10028.571428571429</v>
      </c>
      <c r="F96" s="13">
        <v>35100</v>
      </c>
      <c r="G96" s="13">
        <v>3.5</v>
      </c>
      <c r="H96" s="13">
        <f t="shared" si="3"/>
        <v>10028.571428571429</v>
      </c>
      <c r="I96" s="13">
        <v>0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</row>
    <row r="97" spans="1:14" x14ac:dyDescent="0.25">
      <c r="A97" s="13" t="s">
        <v>645</v>
      </c>
      <c r="B97" s="13" t="s">
        <v>153</v>
      </c>
      <c r="C97" s="13">
        <v>1719</v>
      </c>
      <c r="D97" s="13">
        <v>59.7</v>
      </c>
      <c r="E97" s="13">
        <f t="shared" si="2"/>
        <v>11342.857142857143</v>
      </c>
      <c r="F97" s="13">
        <v>39700</v>
      </c>
      <c r="G97" s="13">
        <v>3.5</v>
      </c>
      <c r="H97" s="13">
        <f t="shared" si="3"/>
        <v>11342.857142857143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</row>
    <row r="98" spans="1:14" x14ac:dyDescent="0.25">
      <c r="A98" s="13" t="s">
        <v>646</v>
      </c>
      <c r="B98" s="13" t="s">
        <v>154</v>
      </c>
      <c r="C98" s="13">
        <v>1704</v>
      </c>
      <c r="D98" s="13">
        <v>43.4</v>
      </c>
      <c r="E98" s="13">
        <f t="shared" si="2"/>
        <v>15514.285714285714</v>
      </c>
      <c r="F98" s="13">
        <v>54300</v>
      </c>
      <c r="G98" s="13">
        <v>3.5</v>
      </c>
      <c r="H98" s="13">
        <f t="shared" si="3"/>
        <v>15514.285714285714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</row>
    <row r="99" spans="1:14" x14ac:dyDescent="0.25">
      <c r="A99" s="13" t="s">
        <v>647</v>
      </c>
      <c r="B99" s="13" t="s">
        <v>155</v>
      </c>
      <c r="C99" s="13">
        <v>3061</v>
      </c>
      <c r="D99" s="13">
        <v>81.599999999999994</v>
      </c>
      <c r="E99" s="13">
        <f t="shared" si="2"/>
        <v>32857.142857142855</v>
      </c>
      <c r="F99" s="13">
        <v>115000</v>
      </c>
      <c r="G99" s="13">
        <v>3.5</v>
      </c>
      <c r="H99" s="13">
        <f t="shared" si="3"/>
        <v>32857.142857142855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</row>
    <row r="100" spans="1:14" x14ac:dyDescent="0.25">
      <c r="A100" s="13" t="s">
        <v>648</v>
      </c>
      <c r="B100" s="13" t="s">
        <v>156</v>
      </c>
      <c r="C100" s="13">
        <v>3519</v>
      </c>
      <c r="D100" s="13">
        <v>73.099999999999994</v>
      </c>
      <c r="E100" s="13">
        <f t="shared" si="2"/>
        <v>27714.285714285714</v>
      </c>
      <c r="F100" s="13">
        <v>97000</v>
      </c>
      <c r="G100" s="13">
        <v>3.5</v>
      </c>
      <c r="H100" s="13">
        <f t="shared" si="3"/>
        <v>27714.285714285714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</row>
    <row r="101" spans="1:14" x14ac:dyDescent="0.25">
      <c r="A101" s="13" t="s">
        <v>649</v>
      </c>
      <c r="B101" s="13" t="s">
        <v>157</v>
      </c>
      <c r="C101" s="13">
        <v>648</v>
      </c>
      <c r="D101" s="13">
        <v>20</v>
      </c>
      <c r="E101" s="13">
        <f t="shared" si="2"/>
        <v>8171.4285714285716</v>
      </c>
      <c r="F101" s="13">
        <v>28600</v>
      </c>
      <c r="G101" s="13">
        <v>3.5</v>
      </c>
      <c r="H101" s="13">
        <f t="shared" si="3"/>
        <v>8171.4285714285716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</row>
    <row r="102" spans="1:14" x14ac:dyDescent="0.25">
      <c r="A102" s="13" t="s">
        <v>650</v>
      </c>
      <c r="B102" s="13" t="s">
        <v>158</v>
      </c>
      <c r="C102" s="13">
        <v>698</v>
      </c>
      <c r="D102" s="13">
        <v>62.9</v>
      </c>
      <c r="E102" s="13">
        <f t="shared" si="2"/>
        <v>61142.857142857145</v>
      </c>
      <c r="F102" s="13">
        <v>214000</v>
      </c>
      <c r="G102" s="13">
        <v>3.5</v>
      </c>
      <c r="H102" s="13">
        <f t="shared" si="3"/>
        <v>61142.857142857145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</row>
    <row r="103" spans="1:14" x14ac:dyDescent="0.25">
      <c r="A103" s="13" t="s">
        <v>651</v>
      </c>
      <c r="B103" s="13" t="s">
        <v>159</v>
      </c>
      <c r="C103" s="13">
        <v>343</v>
      </c>
      <c r="D103" s="13">
        <v>14.9</v>
      </c>
      <c r="E103" s="13">
        <f t="shared" si="2"/>
        <v>3200</v>
      </c>
      <c r="F103" s="13">
        <v>11200</v>
      </c>
      <c r="G103" s="13">
        <v>3.5</v>
      </c>
      <c r="H103" s="13">
        <f t="shared" si="3"/>
        <v>3200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</row>
    <row r="104" spans="1:14" x14ac:dyDescent="0.25">
      <c r="A104" s="13" t="s">
        <v>652</v>
      </c>
      <c r="B104" s="13" t="s">
        <v>160</v>
      </c>
      <c r="C104" s="13">
        <v>516</v>
      </c>
      <c r="D104" s="13">
        <v>18.399999999999999</v>
      </c>
      <c r="E104" s="13">
        <f t="shared" si="2"/>
        <v>3828.5714285714284</v>
      </c>
      <c r="F104" s="13">
        <v>13400</v>
      </c>
      <c r="G104" s="13">
        <v>3.5</v>
      </c>
      <c r="H104" s="13">
        <f t="shared" si="3"/>
        <v>3828.5714285714284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</row>
    <row r="105" spans="1:14" x14ac:dyDescent="0.25">
      <c r="A105" s="13" t="s">
        <v>653</v>
      </c>
      <c r="B105" s="13" t="s">
        <v>161</v>
      </c>
      <c r="C105" s="13">
        <v>662</v>
      </c>
      <c r="D105" s="13">
        <v>22</v>
      </c>
      <c r="E105" s="13">
        <f t="shared" si="2"/>
        <v>8571.4285714285706</v>
      </c>
      <c r="F105" s="13">
        <v>30000</v>
      </c>
      <c r="G105" s="13">
        <v>3.5</v>
      </c>
      <c r="H105" s="13">
        <f t="shared" si="3"/>
        <v>8571.4285714285706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</row>
    <row r="106" spans="1:14" x14ac:dyDescent="0.25">
      <c r="A106" s="13" t="s">
        <v>654</v>
      </c>
      <c r="B106" s="13" t="s">
        <v>162</v>
      </c>
      <c r="C106" s="13">
        <v>704</v>
      </c>
      <c r="D106" s="13">
        <v>24.2</v>
      </c>
      <c r="E106" s="13">
        <f t="shared" si="2"/>
        <v>4828.5714285714284</v>
      </c>
      <c r="F106" s="13">
        <v>16900</v>
      </c>
      <c r="G106" s="13">
        <v>3.5</v>
      </c>
      <c r="H106" s="13">
        <f t="shared" si="3"/>
        <v>4828.5714285714284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</row>
    <row r="107" spans="1:14" x14ac:dyDescent="0.25">
      <c r="A107" s="13" t="s">
        <v>655</v>
      </c>
      <c r="B107" s="13" t="s">
        <v>163</v>
      </c>
      <c r="C107" s="13">
        <v>1101</v>
      </c>
      <c r="D107" s="13">
        <v>25.4</v>
      </c>
      <c r="E107" s="13">
        <f t="shared" si="2"/>
        <v>9771.4285714285706</v>
      </c>
      <c r="F107" s="13">
        <v>34200</v>
      </c>
      <c r="G107" s="13">
        <v>3.5</v>
      </c>
      <c r="H107" s="13">
        <f t="shared" si="3"/>
        <v>9771.4285714285706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</row>
    <row r="108" spans="1:14" x14ac:dyDescent="0.25">
      <c r="A108" s="13" t="s">
        <v>656</v>
      </c>
      <c r="B108" s="13" t="s">
        <v>164</v>
      </c>
      <c r="C108" s="13">
        <v>376</v>
      </c>
      <c r="D108" s="13">
        <v>20.399999999999999</v>
      </c>
      <c r="E108" s="13">
        <f t="shared" si="2"/>
        <v>5514.2857142857147</v>
      </c>
      <c r="F108" s="13">
        <v>19300</v>
      </c>
      <c r="G108" s="13">
        <v>3.5</v>
      </c>
      <c r="H108" s="13">
        <f t="shared" si="3"/>
        <v>5514.2857142857147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</row>
    <row r="109" spans="1:14" x14ac:dyDescent="0.25">
      <c r="A109" s="13" t="s">
        <v>657</v>
      </c>
      <c r="B109" s="13" t="s">
        <v>165</v>
      </c>
      <c r="C109" s="13">
        <v>1039</v>
      </c>
      <c r="D109" s="13">
        <v>36.200000000000003</v>
      </c>
      <c r="E109" s="13">
        <f t="shared" si="2"/>
        <v>7085.7142857142853</v>
      </c>
      <c r="F109" s="13">
        <v>24800</v>
      </c>
      <c r="G109" s="13">
        <v>3.5</v>
      </c>
      <c r="H109" s="13">
        <f t="shared" si="3"/>
        <v>7085.7142857142853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</row>
    <row r="110" spans="1:14" x14ac:dyDescent="0.25">
      <c r="A110" s="13" t="s">
        <v>658</v>
      </c>
      <c r="B110" s="13" t="s">
        <v>166</v>
      </c>
      <c r="C110" s="13">
        <v>195</v>
      </c>
      <c r="D110" s="13">
        <v>19.600000000000001</v>
      </c>
      <c r="E110" s="13">
        <f t="shared" si="2"/>
        <v>17857.142857142859</v>
      </c>
      <c r="F110" s="13">
        <v>62500</v>
      </c>
      <c r="G110" s="13">
        <v>3.5</v>
      </c>
      <c r="H110" s="13">
        <f t="shared" si="3"/>
        <v>17857.142857142859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</row>
    <row r="111" spans="1:14" x14ac:dyDescent="0.25">
      <c r="A111" s="13" t="s">
        <v>659</v>
      </c>
      <c r="B111" s="13" t="s">
        <v>167</v>
      </c>
      <c r="C111" s="13">
        <v>4137</v>
      </c>
      <c r="D111" s="13">
        <v>110</v>
      </c>
      <c r="E111" s="13">
        <f t="shared" si="2"/>
        <v>45142.857142857145</v>
      </c>
      <c r="F111" s="13">
        <v>158000</v>
      </c>
      <c r="G111" s="13">
        <v>3.5</v>
      </c>
      <c r="H111" s="13">
        <f t="shared" si="3"/>
        <v>45142.857142857145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</row>
    <row r="112" spans="1:14" x14ac:dyDescent="0.25">
      <c r="A112" s="13" t="s">
        <v>660</v>
      </c>
      <c r="B112" s="13" t="s">
        <v>168</v>
      </c>
      <c r="C112" s="13">
        <v>4487</v>
      </c>
      <c r="D112" s="13">
        <v>117.9</v>
      </c>
      <c r="E112" s="13">
        <f t="shared" si="2"/>
        <v>48000</v>
      </c>
      <c r="F112" s="13">
        <v>168000</v>
      </c>
      <c r="G112" s="13">
        <v>3.5</v>
      </c>
      <c r="H112" s="13">
        <f t="shared" si="3"/>
        <v>48000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</row>
    <row r="113" spans="1:14" x14ac:dyDescent="0.25">
      <c r="A113" s="13" t="s">
        <v>661</v>
      </c>
      <c r="B113" s="13" t="s">
        <v>169</v>
      </c>
      <c r="C113" s="13">
        <v>912</v>
      </c>
      <c r="D113" s="13">
        <v>29.8</v>
      </c>
      <c r="E113" s="13">
        <f t="shared" si="2"/>
        <v>12028.571428571429</v>
      </c>
      <c r="F113" s="13">
        <v>42100</v>
      </c>
      <c r="G113" s="13">
        <v>3.5</v>
      </c>
      <c r="H113" s="13">
        <f t="shared" si="3"/>
        <v>12028.571428571429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</row>
    <row r="114" spans="1:14" x14ac:dyDescent="0.25">
      <c r="A114" s="13" t="s">
        <v>662</v>
      </c>
      <c r="B114" s="13" t="s">
        <v>170</v>
      </c>
      <c r="C114" s="13">
        <v>2052</v>
      </c>
      <c r="D114" s="13">
        <v>192</v>
      </c>
      <c r="E114" s="13">
        <f t="shared" si="2"/>
        <v>181714.28571428571</v>
      </c>
      <c r="F114" s="13">
        <v>636000</v>
      </c>
      <c r="G114" s="13">
        <v>3.5</v>
      </c>
      <c r="H114" s="13">
        <f t="shared" si="3"/>
        <v>181714.28571428571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</row>
    <row r="115" spans="1:14" x14ac:dyDescent="0.25">
      <c r="A115" s="13" t="s">
        <v>663</v>
      </c>
      <c r="B115" s="13" t="s">
        <v>171</v>
      </c>
      <c r="C115" s="13">
        <v>375</v>
      </c>
      <c r="D115" s="13">
        <v>22.1</v>
      </c>
      <c r="E115" s="13">
        <f t="shared" si="2"/>
        <v>5857.1428571428569</v>
      </c>
      <c r="F115" s="13">
        <v>20500</v>
      </c>
      <c r="G115" s="13">
        <v>3.5</v>
      </c>
      <c r="H115" s="13">
        <f t="shared" si="3"/>
        <v>5857.1428571428569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</row>
    <row r="116" spans="1:14" x14ac:dyDescent="0.25">
      <c r="A116" s="13" t="s">
        <v>664</v>
      </c>
      <c r="B116" s="13" t="s">
        <v>172</v>
      </c>
      <c r="C116" s="13">
        <v>147</v>
      </c>
      <c r="D116" s="13">
        <v>9.4</v>
      </c>
      <c r="E116" s="13">
        <f t="shared" si="2"/>
        <v>2148.5714285714284</v>
      </c>
      <c r="F116" s="13">
        <v>7520</v>
      </c>
      <c r="G116" s="13">
        <v>3.5</v>
      </c>
      <c r="H116" s="13">
        <f t="shared" si="3"/>
        <v>2148.5714285714284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</row>
    <row r="117" spans="1:14" x14ac:dyDescent="0.25">
      <c r="A117" s="13" t="s">
        <v>665</v>
      </c>
      <c r="B117" s="13" t="s">
        <v>173</v>
      </c>
      <c r="C117" s="13">
        <v>2428</v>
      </c>
      <c r="D117" s="13">
        <v>88</v>
      </c>
      <c r="E117" s="13">
        <f t="shared" si="2"/>
        <v>20428.571428571428</v>
      </c>
      <c r="F117" s="13">
        <v>71500</v>
      </c>
      <c r="G117" s="13">
        <v>3.5</v>
      </c>
      <c r="H117" s="13">
        <f t="shared" si="3"/>
        <v>20428.571428571428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</row>
    <row r="118" spans="1:14" x14ac:dyDescent="0.25">
      <c r="A118" s="13" t="s">
        <v>666</v>
      </c>
      <c r="B118" s="13" t="s">
        <v>174</v>
      </c>
      <c r="C118" s="13">
        <v>1045</v>
      </c>
      <c r="D118" s="13">
        <v>33.4</v>
      </c>
      <c r="E118" s="13">
        <f t="shared" si="2"/>
        <v>6628.5714285714284</v>
      </c>
      <c r="F118" s="13">
        <v>23200</v>
      </c>
      <c r="G118" s="13">
        <v>3.5</v>
      </c>
      <c r="H118" s="13">
        <f t="shared" si="3"/>
        <v>6628.5714285714284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</row>
    <row r="119" spans="1:14" x14ac:dyDescent="0.25">
      <c r="A119" s="13" t="s">
        <v>667</v>
      </c>
      <c r="B119" s="13" t="s">
        <v>175</v>
      </c>
      <c r="C119" s="13">
        <v>1119</v>
      </c>
      <c r="D119" s="13">
        <v>46.3</v>
      </c>
      <c r="E119" s="13">
        <f t="shared" si="2"/>
        <v>11342.857142857143</v>
      </c>
      <c r="F119" s="13">
        <v>39700</v>
      </c>
      <c r="G119" s="13">
        <v>3.5</v>
      </c>
      <c r="H119" s="13">
        <f t="shared" si="3"/>
        <v>11342.857142857143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</row>
    <row r="120" spans="1:14" x14ac:dyDescent="0.25">
      <c r="A120" s="13" t="s">
        <v>668</v>
      </c>
      <c r="B120" s="13" t="s">
        <v>176</v>
      </c>
      <c r="C120" s="13">
        <v>514</v>
      </c>
      <c r="D120" s="13">
        <v>25.5</v>
      </c>
      <c r="E120" s="13">
        <f t="shared" si="2"/>
        <v>6771.4285714285716</v>
      </c>
      <c r="F120" s="13">
        <v>23700</v>
      </c>
      <c r="G120" s="13">
        <v>3.5</v>
      </c>
      <c r="H120" s="13">
        <f t="shared" si="3"/>
        <v>6771.4285714285716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</row>
    <row r="121" spans="1:14" x14ac:dyDescent="0.25">
      <c r="A121" s="13" t="s">
        <v>669</v>
      </c>
      <c r="B121" s="13" t="s">
        <v>177</v>
      </c>
      <c r="C121" s="13">
        <v>286</v>
      </c>
      <c r="D121" s="13">
        <v>11.2</v>
      </c>
      <c r="E121" s="13">
        <f t="shared" si="2"/>
        <v>3714.2857142857142</v>
      </c>
      <c r="F121" s="13">
        <v>13000</v>
      </c>
      <c r="G121" s="13">
        <v>3.5</v>
      </c>
      <c r="H121" s="13">
        <f t="shared" si="3"/>
        <v>3714.2857142857142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</row>
    <row r="122" spans="1:14" x14ac:dyDescent="0.25">
      <c r="A122" s="13" t="s">
        <v>670</v>
      </c>
      <c r="B122" s="13" t="s">
        <v>178</v>
      </c>
      <c r="C122" s="13">
        <v>2806</v>
      </c>
      <c r="D122" s="13">
        <v>93.2</v>
      </c>
      <c r="E122" s="13">
        <f t="shared" si="2"/>
        <v>21514.285714285714</v>
      </c>
      <c r="F122" s="13">
        <v>75300</v>
      </c>
      <c r="G122" s="13">
        <v>3.5</v>
      </c>
      <c r="H122" s="13">
        <f t="shared" si="3"/>
        <v>21514.285714285714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</row>
    <row r="123" spans="1:14" x14ac:dyDescent="0.25">
      <c r="A123" s="13" t="s">
        <v>671</v>
      </c>
      <c r="B123" s="13" t="s">
        <v>179</v>
      </c>
      <c r="C123" s="13">
        <v>1470</v>
      </c>
      <c r="D123" s="13">
        <v>60.1</v>
      </c>
      <c r="E123" s="13">
        <f t="shared" si="2"/>
        <v>14885.714285714286</v>
      </c>
      <c r="F123" s="13">
        <v>52100</v>
      </c>
      <c r="G123" s="13">
        <v>3.5</v>
      </c>
      <c r="H123" s="13">
        <f t="shared" si="3"/>
        <v>14885.714285714286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</row>
    <row r="124" spans="1:14" x14ac:dyDescent="0.25">
      <c r="A124" s="13" t="s">
        <v>672</v>
      </c>
      <c r="B124" s="13" t="s">
        <v>180</v>
      </c>
      <c r="C124" s="13">
        <v>2039</v>
      </c>
      <c r="D124" s="13">
        <v>48.7</v>
      </c>
      <c r="E124" s="13">
        <f t="shared" si="2"/>
        <v>18200</v>
      </c>
      <c r="F124" s="13">
        <v>63700</v>
      </c>
      <c r="G124" s="13">
        <v>3.5</v>
      </c>
      <c r="H124" s="13">
        <f t="shared" si="3"/>
        <v>18200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</row>
    <row r="125" spans="1:14" x14ac:dyDescent="0.25">
      <c r="A125" s="13" t="s">
        <v>673</v>
      </c>
      <c r="B125" s="13" t="s">
        <v>181</v>
      </c>
      <c r="C125" s="13">
        <v>2856</v>
      </c>
      <c r="D125" s="13">
        <v>105</v>
      </c>
      <c r="E125" s="13">
        <f t="shared" si="2"/>
        <v>20828.571428571428</v>
      </c>
      <c r="F125" s="13">
        <v>72900</v>
      </c>
      <c r="G125" s="13">
        <v>3.5</v>
      </c>
      <c r="H125" s="13">
        <f t="shared" si="3"/>
        <v>20828.571428571428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</row>
    <row r="126" spans="1:14" x14ac:dyDescent="0.25">
      <c r="A126" s="13" t="s">
        <v>674</v>
      </c>
      <c r="B126" s="13" t="s">
        <v>182</v>
      </c>
      <c r="C126" s="13">
        <v>4511</v>
      </c>
      <c r="D126" s="13">
        <v>107</v>
      </c>
      <c r="E126" s="13">
        <f t="shared" si="2"/>
        <v>38857.142857142855</v>
      </c>
      <c r="F126" s="13">
        <v>136000</v>
      </c>
      <c r="G126" s="13">
        <v>3.5</v>
      </c>
      <c r="H126" s="13">
        <f t="shared" si="3"/>
        <v>38857.142857142855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</row>
    <row r="127" spans="1:14" x14ac:dyDescent="0.25">
      <c r="A127" s="13" t="s">
        <v>675</v>
      </c>
      <c r="B127" s="13" t="s">
        <v>183</v>
      </c>
      <c r="C127" s="13">
        <v>1548</v>
      </c>
      <c r="D127" s="13">
        <v>51.3</v>
      </c>
      <c r="E127" s="13">
        <f t="shared" si="2"/>
        <v>9971.4285714285706</v>
      </c>
      <c r="F127" s="13">
        <v>34900</v>
      </c>
      <c r="G127" s="13">
        <v>3.5</v>
      </c>
      <c r="H127" s="13">
        <f t="shared" si="3"/>
        <v>9971.4285714285706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</row>
    <row r="128" spans="1:14" x14ac:dyDescent="0.25">
      <c r="A128" s="13" t="s">
        <v>676</v>
      </c>
      <c r="B128" s="13" t="s">
        <v>184</v>
      </c>
      <c r="C128" s="13">
        <v>1163</v>
      </c>
      <c r="D128" s="13">
        <v>38.9</v>
      </c>
      <c r="E128" s="13">
        <f t="shared" si="2"/>
        <v>9314.2857142857138</v>
      </c>
      <c r="F128" s="13">
        <v>32600</v>
      </c>
      <c r="G128" s="13">
        <v>3.5</v>
      </c>
      <c r="H128" s="13">
        <f t="shared" si="3"/>
        <v>9314.2857142857138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</row>
    <row r="129" spans="1:14" x14ac:dyDescent="0.25">
      <c r="A129" s="13" t="s">
        <v>677</v>
      </c>
      <c r="B129" s="13" t="s">
        <v>185</v>
      </c>
      <c r="C129" s="13">
        <v>3049</v>
      </c>
      <c r="D129" s="13">
        <v>90</v>
      </c>
      <c r="E129" s="13">
        <f t="shared" si="2"/>
        <v>17685.714285714286</v>
      </c>
      <c r="F129" s="13">
        <v>61900</v>
      </c>
      <c r="G129" s="13">
        <v>3.5</v>
      </c>
      <c r="H129" s="13">
        <f t="shared" si="3"/>
        <v>17685.714285714286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</row>
    <row r="130" spans="1:14" x14ac:dyDescent="0.25">
      <c r="A130" s="13" t="s">
        <v>678</v>
      </c>
      <c r="B130" s="13" t="s">
        <v>186</v>
      </c>
      <c r="C130" s="13">
        <v>9968</v>
      </c>
      <c r="D130" s="13">
        <v>293.5</v>
      </c>
      <c r="E130" s="13">
        <f t="shared" si="2"/>
        <v>61714.285714285717</v>
      </c>
      <c r="F130" s="13">
        <v>216000</v>
      </c>
      <c r="G130" s="13">
        <v>3.5</v>
      </c>
      <c r="H130" s="13">
        <f t="shared" si="3"/>
        <v>61714.285714285717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</row>
    <row r="131" spans="1:14" x14ac:dyDescent="0.25">
      <c r="A131" s="13" t="s">
        <v>679</v>
      </c>
      <c r="B131" s="13" t="s">
        <v>187</v>
      </c>
      <c r="C131" s="13">
        <v>2596</v>
      </c>
      <c r="D131" s="13">
        <v>64.7</v>
      </c>
      <c r="E131" s="13">
        <f t="shared" ref="E131:E194" si="4">F131/G131</f>
        <v>26457.142857142859</v>
      </c>
      <c r="F131" s="13">
        <v>92600</v>
      </c>
      <c r="G131" s="13">
        <v>3.5</v>
      </c>
      <c r="H131" s="13">
        <f t="shared" ref="H131:H194" si="5">(F131/G131)-SUM(I131:N131)</f>
        <v>26457.142857142859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</row>
    <row r="132" spans="1:14" x14ac:dyDescent="0.25">
      <c r="A132" s="13" t="s">
        <v>680</v>
      </c>
      <c r="B132" s="13" t="s">
        <v>188</v>
      </c>
      <c r="C132" s="13">
        <v>2233</v>
      </c>
      <c r="D132" s="13">
        <v>82.1</v>
      </c>
      <c r="E132" s="13">
        <f t="shared" si="4"/>
        <v>18057.142857142859</v>
      </c>
      <c r="F132" s="13">
        <v>63200</v>
      </c>
      <c r="G132" s="13">
        <v>3.5</v>
      </c>
      <c r="H132" s="13">
        <f t="shared" si="5"/>
        <v>18057.142857142859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</row>
    <row r="133" spans="1:14" x14ac:dyDescent="0.25">
      <c r="A133" s="13" t="s">
        <v>681</v>
      </c>
      <c r="B133" s="13" t="s">
        <v>189</v>
      </c>
      <c r="C133" s="13">
        <v>4696</v>
      </c>
      <c r="D133" s="13">
        <v>153.5</v>
      </c>
      <c r="E133" s="13">
        <f t="shared" si="4"/>
        <v>32857.142857142855</v>
      </c>
      <c r="F133" s="13">
        <v>115000</v>
      </c>
      <c r="G133" s="13">
        <v>3.5</v>
      </c>
      <c r="H133" s="13">
        <f t="shared" si="5"/>
        <v>32857.142857142855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</row>
    <row r="134" spans="1:14" x14ac:dyDescent="0.25">
      <c r="A134" s="13" t="s">
        <v>682</v>
      </c>
      <c r="B134" s="13" t="s">
        <v>190</v>
      </c>
      <c r="C134" s="13">
        <v>1516</v>
      </c>
      <c r="D134" s="13">
        <v>59.3</v>
      </c>
      <c r="E134" s="13">
        <f t="shared" si="4"/>
        <v>14000</v>
      </c>
      <c r="F134" s="13">
        <v>49000</v>
      </c>
      <c r="G134" s="13">
        <v>3.5</v>
      </c>
      <c r="H134" s="13">
        <f t="shared" si="5"/>
        <v>14000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</row>
    <row r="135" spans="1:14" x14ac:dyDescent="0.25">
      <c r="A135" s="13" t="s">
        <v>683</v>
      </c>
      <c r="B135" s="13" t="s">
        <v>191</v>
      </c>
      <c r="C135" s="13">
        <v>6694</v>
      </c>
      <c r="D135" s="13">
        <v>161.80000000000001</v>
      </c>
      <c r="E135" s="13">
        <f t="shared" si="4"/>
        <v>64857.142857142855</v>
      </c>
      <c r="F135" s="13">
        <v>227000</v>
      </c>
      <c r="G135" s="13">
        <v>3.5</v>
      </c>
      <c r="H135" s="13">
        <f t="shared" si="5"/>
        <v>64857.142857142855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</row>
    <row r="136" spans="1:14" x14ac:dyDescent="0.25">
      <c r="A136" s="13" t="s">
        <v>684</v>
      </c>
      <c r="B136" s="13" t="s">
        <v>192</v>
      </c>
      <c r="C136" s="13">
        <v>2034</v>
      </c>
      <c r="D136" s="13">
        <v>64.599999999999994</v>
      </c>
      <c r="E136" s="13">
        <f t="shared" si="4"/>
        <v>25142.857142857141</v>
      </c>
      <c r="F136" s="13">
        <v>88000</v>
      </c>
      <c r="G136" s="13">
        <v>3.5</v>
      </c>
      <c r="H136" s="13">
        <f t="shared" si="5"/>
        <v>25142.857142857141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</row>
    <row r="137" spans="1:14" x14ac:dyDescent="0.25">
      <c r="A137" s="13" t="s">
        <v>685</v>
      </c>
      <c r="B137" s="13" t="s">
        <v>193</v>
      </c>
      <c r="C137" s="13">
        <v>381</v>
      </c>
      <c r="D137" s="13">
        <v>15.9</v>
      </c>
      <c r="E137" s="13">
        <f t="shared" si="4"/>
        <v>3285.7142857142858</v>
      </c>
      <c r="F137" s="13">
        <v>11500</v>
      </c>
      <c r="G137" s="13">
        <v>3.5</v>
      </c>
      <c r="H137" s="13">
        <f t="shared" si="5"/>
        <v>3285.7142857142858</v>
      </c>
      <c r="I137" s="13">
        <v>0</v>
      </c>
      <c r="J137" s="13">
        <v>0</v>
      </c>
      <c r="K137" s="13">
        <v>0</v>
      </c>
      <c r="L137" s="13">
        <v>0</v>
      </c>
      <c r="M137" s="13">
        <v>0</v>
      </c>
      <c r="N137" s="13">
        <v>0</v>
      </c>
    </row>
    <row r="138" spans="1:14" x14ac:dyDescent="0.25">
      <c r="A138" s="13" t="s">
        <v>686</v>
      </c>
      <c r="B138" s="13" t="s">
        <v>194</v>
      </c>
      <c r="C138" s="13">
        <v>206</v>
      </c>
      <c r="D138" s="13">
        <v>7.9</v>
      </c>
      <c r="E138" s="13">
        <f t="shared" si="4"/>
        <v>1985.7142857142858</v>
      </c>
      <c r="F138" s="13">
        <v>6950</v>
      </c>
      <c r="G138" s="13">
        <v>3.5</v>
      </c>
      <c r="H138" s="13">
        <f t="shared" si="5"/>
        <v>1985.7142857142858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</row>
    <row r="139" spans="1:14" x14ac:dyDescent="0.25">
      <c r="A139" s="13" t="s">
        <v>687</v>
      </c>
      <c r="B139" s="13" t="s">
        <v>195</v>
      </c>
      <c r="C139" s="13">
        <v>498</v>
      </c>
      <c r="D139" s="13">
        <v>50.4</v>
      </c>
      <c r="E139" s="13">
        <f t="shared" si="4"/>
        <v>43428.571428571428</v>
      </c>
      <c r="F139" s="13">
        <v>152000</v>
      </c>
      <c r="G139" s="13">
        <v>3.5</v>
      </c>
      <c r="H139" s="13">
        <f t="shared" si="5"/>
        <v>43428.571428571428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</row>
    <row r="140" spans="1:14" x14ac:dyDescent="0.25">
      <c r="A140" s="13" t="s">
        <v>688</v>
      </c>
      <c r="B140" s="13" t="s">
        <v>196</v>
      </c>
      <c r="C140" s="13">
        <v>324</v>
      </c>
      <c r="D140" s="13">
        <v>11</v>
      </c>
      <c r="E140" s="13">
        <f t="shared" si="4"/>
        <v>4028.5714285714284</v>
      </c>
      <c r="F140" s="13">
        <v>14100</v>
      </c>
      <c r="G140" s="13">
        <v>3.5</v>
      </c>
      <c r="H140" s="13">
        <f t="shared" si="5"/>
        <v>4028.5714285714284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</row>
    <row r="141" spans="1:14" x14ac:dyDescent="0.25">
      <c r="A141" s="13" t="s">
        <v>689</v>
      </c>
      <c r="B141" s="13" t="s">
        <v>197</v>
      </c>
      <c r="C141" s="13">
        <v>342</v>
      </c>
      <c r="D141" s="13">
        <v>11.6</v>
      </c>
      <c r="E141" s="13">
        <f t="shared" si="4"/>
        <v>4428.5714285714284</v>
      </c>
      <c r="F141" s="13">
        <v>15500</v>
      </c>
      <c r="G141" s="13">
        <v>3.5</v>
      </c>
      <c r="H141" s="13">
        <f t="shared" si="5"/>
        <v>4428.5714285714284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</row>
    <row r="142" spans="1:14" x14ac:dyDescent="0.25">
      <c r="A142" s="13" t="s">
        <v>690</v>
      </c>
      <c r="B142" s="13" t="s">
        <v>198</v>
      </c>
      <c r="C142" s="13">
        <v>475</v>
      </c>
      <c r="D142" s="13">
        <v>18.7</v>
      </c>
      <c r="E142" s="13">
        <f t="shared" si="4"/>
        <v>4514.2857142857147</v>
      </c>
      <c r="F142" s="13">
        <v>15800</v>
      </c>
      <c r="G142" s="13">
        <v>3.5</v>
      </c>
      <c r="H142" s="13">
        <f t="shared" si="5"/>
        <v>4514.2857142857147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</row>
    <row r="143" spans="1:14" x14ac:dyDescent="0.25">
      <c r="A143" s="13" t="s">
        <v>691</v>
      </c>
      <c r="B143" s="13" t="s">
        <v>199</v>
      </c>
      <c r="C143" s="13">
        <v>112</v>
      </c>
      <c r="D143" s="13">
        <v>7.3</v>
      </c>
      <c r="E143" s="13">
        <f t="shared" si="4"/>
        <v>2002.8571428571429</v>
      </c>
      <c r="F143" s="13">
        <v>7010</v>
      </c>
      <c r="G143" s="13">
        <v>3.5</v>
      </c>
      <c r="H143" s="13">
        <f t="shared" si="5"/>
        <v>2002.8571428571429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</row>
    <row r="144" spans="1:14" x14ac:dyDescent="0.25">
      <c r="A144" s="13" t="s">
        <v>692</v>
      </c>
      <c r="B144" s="13" t="s">
        <v>200</v>
      </c>
      <c r="C144" s="13">
        <v>432</v>
      </c>
      <c r="D144" s="13">
        <v>17.600000000000001</v>
      </c>
      <c r="E144" s="13">
        <f t="shared" si="4"/>
        <v>4285.7142857142853</v>
      </c>
      <c r="F144" s="13">
        <v>15000</v>
      </c>
      <c r="G144" s="13">
        <v>3.5</v>
      </c>
      <c r="H144" s="13">
        <f t="shared" si="5"/>
        <v>4285.7142857142853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</row>
    <row r="145" spans="1:14" x14ac:dyDescent="0.25">
      <c r="A145" s="13" t="s">
        <v>693</v>
      </c>
      <c r="B145" s="13" t="s">
        <v>201</v>
      </c>
      <c r="C145" s="13">
        <v>147</v>
      </c>
      <c r="D145" s="13">
        <v>6.8</v>
      </c>
      <c r="E145" s="13">
        <f t="shared" si="4"/>
        <v>1694.2857142857142</v>
      </c>
      <c r="F145" s="13">
        <v>5930</v>
      </c>
      <c r="G145" s="13">
        <v>3.5</v>
      </c>
      <c r="H145" s="13">
        <f t="shared" si="5"/>
        <v>1694.2857142857142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</row>
    <row r="146" spans="1:14" x14ac:dyDescent="0.25">
      <c r="A146" s="13" t="s">
        <v>694</v>
      </c>
      <c r="B146" s="13" t="s">
        <v>202</v>
      </c>
      <c r="C146" s="13">
        <v>208</v>
      </c>
      <c r="D146" s="13">
        <v>8.6</v>
      </c>
      <c r="E146" s="13">
        <f t="shared" si="4"/>
        <v>1802.8571428571429</v>
      </c>
      <c r="F146" s="13">
        <v>6310</v>
      </c>
      <c r="G146" s="13">
        <v>3.5</v>
      </c>
      <c r="H146" s="13">
        <f t="shared" si="5"/>
        <v>1802.8571428571429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</row>
    <row r="147" spans="1:14" x14ac:dyDescent="0.25">
      <c r="A147" s="13" t="s">
        <v>695</v>
      </c>
      <c r="B147" s="13" t="s">
        <v>203</v>
      </c>
      <c r="C147" s="13">
        <v>552</v>
      </c>
      <c r="D147" s="13">
        <v>16.399999999999999</v>
      </c>
      <c r="E147" s="13">
        <f t="shared" si="4"/>
        <v>6600</v>
      </c>
      <c r="F147" s="13">
        <v>23100</v>
      </c>
      <c r="G147" s="13">
        <v>3.5</v>
      </c>
      <c r="H147" s="13">
        <f t="shared" si="5"/>
        <v>6600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</row>
    <row r="148" spans="1:14" x14ac:dyDescent="0.25">
      <c r="A148" s="13" t="s">
        <v>696</v>
      </c>
      <c r="B148" s="13" t="s">
        <v>204</v>
      </c>
      <c r="C148" s="13">
        <v>556</v>
      </c>
      <c r="D148" s="13">
        <v>20.399999999999999</v>
      </c>
      <c r="E148" s="13">
        <f t="shared" si="4"/>
        <v>5028.5714285714284</v>
      </c>
      <c r="F148" s="13">
        <v>17600</v>
      </c>
      <c r="G148" s="13">
        <v>3.5</v>
      </c>
      <c r="H148" s="13">
        <f t="shared" si="5"/>
        <v>5028.5714285714284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</row>
    <row r="149" spans="1:14" x14ac:dyDescent="0.25">
      <c r="A149" s="13" t="s">
        <v>697</v>
      </c>
      <c r="B149" s="13" t="s">
        <v>205</v>
      </c>
      <c r="C149" s="13">
        <v>318</v>
      </c>
      <c r="D149" s="13">
        <v>11.7</v>
      </c>
      <c r="E149" s="13">
        <f t="shared" si="4"/>
        <v>4142.8571428571431</v>
      </c>
      <c r="F149" s="13">
        <v>14500</v>
      </c>
      <c r="G149" s="13">
        <v>3.5</v>
      </c>
      <c r="H149" s="13">
        <f t="shared" si="5"/>
        <v>4142.8571428571431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</row>
    <row r="150" spans="1:14" x14ac:dyDescent="0.25">
      <c r="A150" s="13" t="s">
        <v>698</v>
      </c>
      <c r="B150" s="13" t="s">
        <v>206</v>
      </c>
      <c r="C150" s="13">
        <v>91</v>
      </c>
      <c r="D150" s="13">
        <v>4.0999999999999996</v>
      </c>
      <c r="E150" s="13">
        <f t="shared" si="4"/>
        <v>1520</v>
      </c>
      <c r="F150" s="13">
        <v>5320</v>
      </c>
      <c r="G150" s="13">
        <v>3.5</v>
      </c>
      <c r="H150" s="13">
        <f t="shared" si="5"/>
        <v>1520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</row>
    <row r="151" spans="1:14" x14ac:dyDescent="0.25">
      <c r="A151" s="13" t="s">
        <v>699</v>
      </c>
      <c r="B151" s="13" t="s">
        <v>207</v>
      </c>
      <c r="C151" s="13">
        <v>266</v>
      </c>
      <c r="D151" s="13">
        <v>7.1</v>
      </c>
      <c r="E151" s="13">
        <f t="shared" si="4"/>
        <v>2971.4285714285716</v>
      </c>
      <c r="F151" s="13">
        <v>10400</v>
      </c>
      <c r="G151" s="13">
        <v>3.5</v>
      </c>
      <c r="H151" s="13">
        <f t="shared" si="5"/>
        <v>2971.4285714285716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</row>
    <row r="152" spans="1:14" x14ac:dyDescent="0.25">
      <c r="A152" s="13" t="s">
        <v>700</v>
      </c>
      <c r="B152" s="13" t="s">
        <v>208</v>
      </c>
      <c r="C152" s="13">
        <v>584</v>
      </c>
      <c r="D152" s="13">
        <v>19.2</v>
      </c>
      <c r="E152" s="13">
        <f t="shared" si="4"/>
        <v>3800</v>
      </c>
      <c r="F152" s="13">
        <v>13300</v>
      </c>
      <c r="G152" s="13">
        <v>3.5</v>
      </c>
      <c r="H152" s="13">
        <f t="shared" si="5"/>
        <v>3800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</row>
    <row r="153" spans="1:14" x14ac:dyDescent="0.25">
      <c r="A153" s="13" t="s">
        <v>701</v>
      </c>
      <c r="B153" s="13" t="s">
        <v>209</v>
      </c>
      <c r="C153" s="13">
        <v>223</v>
      </c>
      <c r="D153" s="13">
        <v>7.7</v>
      </c>
      <c r="E153" s="13">
        <f t="shared" si="4"/>
        <v>3028.5714285714284</v>
      </c>
      <c r="F153" s="13">
        <v>10600</v>
      </c>
      <c r="G153" s="13">
        <v>3.5</v>
      </c>
      <c r="H153" s="13">
        <f t="shared" si="5"/>
        <v>3028.5714285714284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</row>
    <row r="154" spans="1:14" x14ac:dyDescent="0.25">
      <c r="A154" s="13" t="s">
        <v>702</v>
      </c>
      <c r="B154" s="13" t="s">
        <v>210</v>
      </c>
      <c r="C154" s="13">
        <v>127</v>
      </c>
      <c r="D154" s="13">
        <v>4.8</v>
      </c>
      <c r="E154" s="13">
        <f t="shared" si="4"/>
        <v>1785.7142857142858</v>
      </c>
      <c r="F154" s="13">
        <v>6250</v>
      </c>
      <c r="G154" s="13">
        <v>3.5</v>
      </c>
      <c r="H154" s="13">
        <f t="shared" si="5"/>
        <v>1785.7142857142858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</row>
    <row r="155" spans="1:14" x14ac:dyDescent="0.25">
      <c r="A155" s="13" t="s">
        <v>703</v>
      </c>
      <c r="B155" s="13" t="s">
        <v>211</v>
      </c>
      <c r="C155" s="13">
        <v>850</v>
      </c>
      <c r="D155" s="13">
        <v>29.1</v>
      </c>
      <c r="E155" s="13">
        <f t="shared" si="4"/>
        <v>7085.7142857142853</v>
      </c>
      <c r="F155" s="13">
        <v>24800</v>
      </c>
      <c r="G155" s="13">
        <v>3.5</v>
      </c>
      <c r="H155" s="13">
        <f t="shared" si="5"/>
        <v>7085.7142857142853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</row>
    <row r="156" spans="1:14" x14ac:dyDescent="0.25">
      <c r="A156" s="13" t="s">
        <v>704</v>
      </c>
      <c r="B156" s="13" t="s">
        <v>212</v>
      </c>
      <c r="C156" s="13">
        <v>412</v>
      </c>
      <c r="D156" s="13">
        <v>13.6</v>
      </c>
      <c r="E156" s="13">
        <f t="shared" si="4"/>
        <v>2660</v>
      </c>
      <c r="F156" s="13">
        <v>9310</v>
      </c>
      <c r="G156" s="13">
        <v>3.5</v>
      </c>
      <c r="H156" s="13">
        <f t="shared" si="5"/>
        <v>2660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</row>
    <row r="157" spans="1:14" x14ac:dyDescent="0.25">
      <c r="A157" s="13" t="s">
        <v>705</v>
      </c>
      <c r="B157" s="13" t="s">
        <v>213</v>
      </c>
      <c r="C157" s="13">
        <v>1279</v>
      </c>
      <c r="D157" s="13">
        <v>39.4</v>
      </c>
      <c r="E157" s="13">
        <f t="shared" si="4"/>
        <v>7714.2857142857147</v>
      </c>
      <c r="F157" s="13">
        <v>27000</v>
      </c>
      <c r="G157" s="13">
        <v>3.5</v>
      </c>
      <c r="H157" s="13">
        <f t="shared" si="5"/>
        <v>7714.2857142857147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</row>
    <row r="158" spans="1:14" x14ac:dyDescent="0.25">
      <c r="A158" s="13" t="s">
        <v>706</v>
      </c>
      <c r="B158" s="13" t="s">
        <v>214</v>
      </c>
      <c r="C158" s="13">
        <v>1109</v>
      </c>
      <c r="D158" s="13">
        <v>39.1</v>
      </c>
      <c r="E158" s="13">
        <f t="shared" si="4"/>
        <v>7228.5714285714284</v>
      </c>
      <c r="F158" s="13">
        <v>25300</v>
      </c>
      <c r="G158" s="13">
        <v>3.5</v>
      </c>
      <c r="H158" s="13">
        <f t="shared" si="5"/>
        <v>7228.5714285714284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</row>
    <row r="159" spans="1:14" x14ac:dyDescent="0.25">
      <c r="A159" s="13" t="s">
        <v>707</v>
      </c>
      <c r="B159" s="13" t="s">
        <v>215</v>
      </c>
      <c r="C159" s="13">
        <v>993</v>
      </c>
      <c r="D159" s="13">
        <v>30.4</v>
      </c>
      <c r="E159" s="13">
        <f t="shared" si="4"/>
        <v>6685.7142857142853</v>
      </c>
      <c r="F159" s="13">
        <v>23400</v>
      </c>
      <c r="G159" s="13">
        <v>3.5</v>
      </c>
      <c r="H159" s="13">
        <f t="shared" si="5"/>
        <v>6685.7142857142853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</row>
    <row r="160" spans="1:14" x14ac:dyDescent="0.25">
      <c r="A160" s="13" t="s">
        <v>708</v>
      </c>
      <c r="B160" s="13" t="s">
        <v>216</v>
      </c>
      <c r="C160" s="13">
        <v>336</v>
      </c>
      <c r="D160" s="13">
        <v>13.3</v>
      </c>
      <c r="E160" s="13">
        <f t="shared" si="4"/>
        <v>3142.8571428571427</v>
      </c>
      <c r="F160" s="13">
        <v>11000</v>
      </c>
      <c r="G160" s="13">
        <v>3.5</v>
      </c>
      <c r="H160" s="13">
        <f t="shared" si="5"/>
        <v>3142.8571428571427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</row>
    <row r="161" spans="1:14" x14ac:dyDescent="0.25">
      <c r="A161" s="13" t="s">
        <v>709</v>
      </c>
      <c r="B161" s="13" t="s">
        <v>217</v>
      </c>
      <c r="C161" s="13">
        <v>97</v>
      </c>
      <c r="D161" s="13">
        <v>5.7</v>
      </c>
      <c r="E161" s="13">
        <f t="shared" si="4"/>
        <v>1505.7142857142858</v>
      </c>
      <c r="F161" s="13">
        <v>5270</v>
      </c>
      <c r="G161" s="13">
        <v>3.5</v>
      </c>
      <c r="H161" s="13">
        <f t="shared" si="5"/>
        <v>1505.7142857142858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</row>
    <row r="162" spans="1:14" x14ac:dyDescent="0.25">
      <c r="A162" s="13" t="s">
        <v>710</v>
      </c>
      <c r="B162" s="13" t="s">
        <v>218</v>
      </c>
      <c r="C162" s="13">
        <v>1413</v>
      </c>
      <c r="D162" s="13">
        <v>48.7</v>
      </c>
      <c r="E162" s="13">
        <f t="shared" si="4"/>
        <v>9371.4285714285706</v>
      </c>
      <c r="F162" s="13">
        <v>32800</v>
      </c>
      <c r="G162" s="13">
        <v>3.5</v>
      </c>
      <c r="H162" s="13">
        <f t="shared" si="5"/>
        <v>9371.4285714285706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</row>
    <row r="163" spans="1:14" x14ac:dyDescent="0.25">
      <c r="A163" s="13" t="s">
        <v>711</v>
      </c>
      <c r="B163" s="13" t="s">
        <v>219</v>
      </c>
      <c r="C163" s="13">
        <v>418</v>
      </c>
      <c r="D163" s="13">
        <v>12.4</v>
      </c>
      <c r="E163" s="13">
        <f t="shared" si="4"/>
        <v>2691.4285714285716</v>
      </c>
      <c r="F163" s="13">
        <v>9420</v>
      </c>
      <c r="G163" s="13">
        <v>3.5</v>
      </c>
      <c r="H163" s="13">
        <f t="shared" si="5"/>
        <v>2691.4285714285716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</row>
    <row r="164" spans="1:14" x14ac:dyDescent="0.25">
      <c r="A164" s="13" t="s">
        <v>712</v>
      </c>
      <c r="B164" s="13" t="s">
        <v>220</v>
      </c>
      <c r="C164" s="13">
        <v>412</v>
      </c>
      <c r="D164" s="13">
        <v>35.700000000000003</v>
      </c>
      <c r="E164" s="13">
        <f t="shared" si="4"/>
        <v>35714.285714285717</v>
      </c>
      <c r="F164" s="13">
        <v>125000</v>
      </c>
      <c r="G164" s="13">
        <v>3.5</v>
      </c>
      <c r="H164" s="13">
        <f t="shared" si="5"/>
        <v>35714.285714285717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</row>
    <row r="165" spans="1:14" x14ac:dyDescent="0.25">
      <c r="A165" s="13" t="s">
        <v>713</v>
      </c>
      <c r="B165" s="13" t="s">
        <v>221</v>
      </c>
      <c r="C165" s="13">
        <v>133</v>
      </c>
      <c r="D165" s="13">
        <v>5.2</v>
      </c>
      <c r="E165" s="13">
        <f t="shared" si="4"/>
        <v>1117.1428571428571</v>
      </c>
      <c r="F165" s="13">
        <v>3910</v>
      </c>
      <c r="G165" s="13">
        <v>3.5</v>
      </c>
      <c r="H165" s="13">
        <f t="shared" si="5"/>
        <v>1117.1428571428571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</row>
    <row r="166" spans="1:14" x14ac:dyDescent="0.25">
      <c r="A166" s="13" t="s">
        <v>714</v>
      </c>
      <c r="B166" s="13" t="s">
        <v>222</v>
      </c>
      <c r="C166" s="13">
        <v>155</v>
      </c>
      <c r="D166" s="13">
        <v>5.8</v>
      </c>
      <c r="E166" s="13">
        <f t="shared" si="4"/>
        <v>2240</v>
      </c>
      <c r="F166" s="13">
        <v>7840</v>
      </c>
      <c r="G166" s="13">
        <v>3.5</v>
      </c>
      <c r="H166" s="13">
        <f t="shared" si="5"/>
        <v>2240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</row>
    <row r="167" spans="1:14" x14ac:dyDescent="0.25">
      <c r="A167" s="13" t="s">
        <v>715</v>
      </c>
      <c r="B167" s="13" t="s">
        <v>223</v>
      </c>
      <c r="C167" s="13">
        <v>550</v>
      </c>
      <c r="D167" s="13">
        <v>16.3</v>
      </c>
      <c r="E167" s="13">
        <f t="shared" si="4"/>
        <v>3085.7142857142858</v>
      </c>
      <c r="F167" s="13">
        <v>10800</v>
      </c>
      <c r="G167" s="13">
        <v>3.5</v>
      </c>
      <c r="H167" s="13">
        <f t="shared" si="5"/>
        <v>3085.7142857142858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</row>
    <row r="168" spans="1:14" x14ac:dyDescent="0.25">
      <c r="A168" s="13" t="s">
        <v>716</v>
      </c>
      <c r="B168" s="13" t="s">
        <v>224</v>
      </c>
      <c r="C168" s="13">
        <v>644</v>
      </c>
      <c r="D168" s="13">
        <v>15.8</v>
      </c>
      <c r="E168" s="13">
        <f t="shared" si="4"/>
        <v>6685.7142857142853</v>
      </c>
      <c r="F168" s="13">
        <v>23400</v>
      </c>
      <c r="G168" s="13">
        <v>3.5</v>
      </c>
      <c r="H168" s="13">
        <f t="shared" si="5"/>
        <v>6685.7142857142853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</row>
    <row r="169" spans="1:14" x14ac:dyDescent="0.25">
      <c r="A169" s="13" t="s">
        <v>717</v>
      </c>
      <c r="B169" s="13" t="s">
        <v>225</v>
      </c>
      <c r="C169" s="13">
        <v>471</v>
      </c>
      <c r="D169" s="13">
        <v>17.7</v>
      </c>
      <c r="E169" s="13">
        <f t="shared" si="4"/>
        <v>4314.2857142857147</v>
      </c>
      <c r="F169" s="13">
        <v>15100</v>
      </c>
      <c r="G169" s="13">
        <v>3.5</v>
      </c>
      <c r="H169" s="13">
        <f t="shared" si="5"/>
        <v>4314.2857142857147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</row>
    <row r="170" spans="1:14" x14ac:dyDescent="0.25">
      <c r="A170" s="13" t="s">
        <v>718</v>
      </c>
      <c r="B170" s="13" t="s">
        <v>226</v>
      </c>
      <c r="C170" s="13">
        <v>212</v>
      </c>
      <c r="D170" s="13">
        <v>7.2</v>
      </c>
      <c r="E170" s="13">
        <f t="shared" si="4"/>
        <v>1454.2857142857142</v>
      </c>
      <c r="F170" s="13">
        <v>5090</v>
      </c>
      <c r="G170" s="13">
        <v>3.5</v>
      </c>
      <c r="H170" s="13">
        <f t="shared" si="5"/>
        <v>1454.2857142857142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</row>
    <row r="171" spans="1:14" x14ac:dyDescent="0.25">
      <c r="A171" s="13" t="s">
        <v>719</v>
      </c>
      <c r="B171" s="13" t="s">
        <v>227</v>
      </c>
      <c r="C171" s="13">
        <v>228</v>
      </c>
      <c r="D171" s="13">
        <v>6.5</v>
      </c>
      <c r="E171" s="13">
        <f t="shared" si="4"/>
        <v>2577.1428571428573</v>
      </c>
      <c r="F171" s="13">
        <v>9020</v>
      </c>
      <c r="G171" s="13">
        <v>3.5</v>
      </c>
      <c r="H171" s="13">
        <f t="shared" si="5"/>
        <v>2577.1428571428573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</row>
    <row r="172" spans="1:14" x14ac:dyDescent="0.25">
      <c r="A172" s="13" t="s">
        <v>720</v>
      </c>
      <c r="B172" s="13" t="s">
        <v>228</v>
      </c>
      <c r="C172" s="13">
        <v>140</v>
      </c>
      <c r="D172" s="13">
        <v>6.7</v>
      </c>
      <c r="E172" s="13">
        <f t="shared" si="4"/>
        <v>2431.4285714285716</v>
      </c>
      <c r="F172" s="13">
        <v>8510</v>
      </c>
      <c r="G172" s="13">
        <v>3.5</v>
      </c>
      <c r="H172" s="13">
        <f t="shared" si="5"/>
        <v>2431.4285714285716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</row>
    <row r="173" spans="1:14" x14ac:dyDescent="0.25">
      <c r="A173" s="13" t="s">
        <v>721</v>
      </c>
      <c r="B173" s="13" t="s">
        <v>229</v>
      </c>
      <c r="C173" s="13">
        <v>101</v>
      </c>
      <c r="D173" s="13">
        <v>4.8</v>
      </c>
      <c r="E173" s="13">
        <f t="shared" si="4"/>
        <v>1560</v>
      </c>
      <c r="F173" s="13">
        <v>5460</v>
      </c>
      <c r="G173" s="13">
        <v>3.5</v>
      </c>
      <c r="H173" s="13">
        <f t="shared" si="5"/>
        <v>1560</v>
      </c>
      <c r="I173" s="13">
        <v>0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</row>
    <row r="174" spans="1:14" x14ac:dyDescent="0.25">
      <c r="A174" s="13" t="s">
        <v>722</v>
      </c>
      <c r="B174" s="13" t="s">
        <v>230</v>
      </c>
      <c r="C174" s="13">
        <v>270</v>
      </c>
      <c r="D174" s="13">
        <v>10.3</v>
      </c>
      <c r="E174" s="13">
        <f t="shared" si="4"/>
        <v>2477.1428571428573</v>
      </c>
      <c r="F174" s="13">
        <v>8670</v>
      </c>
      <c r="G174" s="13">
        <v>3.5</v>
      </c>
      <c r="H174" s="13">
        <f t="shared" si="5"/>
        <v>2477.1428571428573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</row>
    <row r="175" spans="1:14" x14ac:dyDescent="0.25">
      <c r="A175" s="13" t="s">
        <v>723</v>
      </c>
      <c r="B175" s="13" t="s">
        <v>231</v>
      </c>
      <c r="C175" s="13">
        <v>438</v>
      </c>
      <c r="D175" s="13">
        <v>15</v>
      </c>
      <c r="E175" s="13">
        <f t="shared" si="4"/>
        <v>3628.5714285714284</v>
      </c>
      <c r="F175" s="13">
        <v>12700</v>
      </c>
      <c r="G175" s="13">
        <v>3.5</v>
      </c>
      <c r="H175" s="13">
        <f t="shared" si="5"/>
        <v>3628.5714285714284</v>
      </c>
      <c r="I175" s="13">
        <v>0</v>
      </c>
      <c r="J175" s="13">
        <v>0</v>
      </c>
      <c r="K175" s="13">
        <v>0</v>
      </c>
      <c r="L175" s="13">
        <v>0</v>
      </c>
      <c r="M175" s="13">
        <v>0</v>
      </c>
      <c r="N175" s="13">
        <v>0</v>
      </c>
    </row>
    <row r="176" spans="1:14" x14ac:dyDescent="0.25">
      <c r="A176" s="13" t="s">
        <v>724</v>
      </c>
      <c r="B176" s="13" t="s">
        <v>232</v>
      </c>
      <c r="C176" s="13">
        <v>191</v>
      </c>
      <c r="D176" s="13">
        <v>4.5</v>
      </c>
      <c r="E176" s="13">
        <f t="shared" si="4"/>
        <v>1825.7142857142858</v>
      </c>
      <c r="F176" s="13">
        <v>6390</v>
      </c>
      <c r="G176" s="13">
        <v>3.5</v>
      </c>
      <c r="H176" s="13">
        <f t="shared" si="5"/>
        <v>1825.7142857142858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</row>
    <row r="177" spans="1:14" x14ac:dyDescent="0.25">
      <c r="A177" s="13" t="s">
        <v>725</v>
      </c>
      <c r="B177" s="13" t="s">
        <v>233</v>
      </c>
      <c r="C177" s="13">
        <v>169</v>
      </c>
      <c r="D177" s="13">
        <v>5.7</v>
      </c>
      <c r="E177" s="13">
        <f t="shared" si="4"/>
        <v>1997.1428571428571</v>
      </c>
      <c r="F177" s="13">
        <v>6990</v>
      </c>
      <c r="G177" s="13">
        <v>3.5</v>
      </c>
      <c r="H177" s="13">
        <f t="shared" si="5"/>
        <v>1997.1428571428571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</row>
    <row r="178" spans="1:14" x14ac:dyDescent="0.25">
      <c r="A178" s="13" t="s">
        <v>726</v>
      </c>
      <c r="B178" s="13" t="s">
        <v>234</v>
      </c>
      <c r="C178" s="13">
        <v>216</v>
      </c>
      <c r="D178" s="13">
        <v>11.1</v>
      </c>
      <c r="E178" s="13">
        <f t="shared" si="4"/>
        <v>2728.5714285714284</v>
      </c>
      <c r="F178" s="13">
        <v>9550</v>
      </c>
      <c r="G178" s="13">
        <v>3.5</v>
      </c>
      <c r="H178" s="13">
        <f t="shared" si="5"/>
        <v>2728.5714285714284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</row>
    <row r="179" spans="1:14" x14ac:dyDescent="0.25">
      <c r="A179" s="13" t="s">
        <v>727</v>
      </c>
      <c r="B179" s="13" t="s">
        <v>235</v>
      </c>
      <c r="C179" s="13">
        <v>194</v>
      </c>
      <c r="D179" s="13">
        <v>10.7</v>
      </c>
      <c r="E179" s="13">
        <f t="shared" si="4"/>
        <v>2351.4285714285716</v>
      </c>
      <c r="F179" s="13">
        <v>8230</v>
      </c>
      <c r="G179" s="13">
        <v>3.5</v>
      </c>
      <c r="H179" s="13">
        <f t="shared" si="5"/>
        <v>2351.4285714285716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</row>
    <row r="180" spans="1:14" x14ac:dyDescent="0.25">
      <c r="A180" s="13" t="s">
        <v>728</v>
      </c>
      <c r="B180" s="13" t="s">
        <v>236</v>
      </c>
      <c r="C180" s="13">
        <v>115</v>
      </c>
      <c r="D180" s="13">
        <v>5.8</v>
      </c>
      <c r="E180" s="13">
        <f t="shared" si="4"/>
        <v>1562.8571428571429</v>
      </c>
      <c r="F180" s="13">
        <v>5470</v>
      </c>
      <c r="G180" s="13">
        <v>3.5</v>
      </c>
      <c r="H180" s="13">
        <f t="shared" si="5"/>
        <v>1562.8571428571429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</row>
    <row r="181" spans="1:14" x14ac:dyDescent="0.25">
      <c r="A181" s="13" t="s">
        <v>729</v>
      </c>
      <c r="B181" s="13" t="s">
        <v>237</v>
      </c>
      <c r="C181" s="13">
        <v>349</v>
      </c>
      <c r="D181" s="13">
        <v>13.6</v>
      </c>
      <c r="E181" s="13">
        <f t="shared" si="4"/>
        <v>2728.5714285714284</v>
      </c>
      <c r="F181" s="13">
        <v>9550</v>
      </c>
      <c r="G181" s="13">
        <v>3.5</v>
      </c>
      <c r="H181" s="13">
        <f t="shared" si="5"/>
        <v>2728.5714285714284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</row>
    <row r="182" spans="1:14" x14ac:dyDescent="0.25">
      <c r="A182" s="13" t="s">
        <v>730</v>
      </c>
      <c r="B182" s="13" t="s">
        <v>238</v>
      </c>
      <c r="C182" s="13">
        <v>550</v>
      </c>
      <c r="D182" s="13">
        <v>20.7</v>
      </c>
      <c r="E182" s="13">
        <f t="shared" si="4"/>
        <v>4457.1428571428569</v>
      </c>
      <c r="F182" s="13">
        <v>15600</v>
      </c>
      <c r="G182" s="13">
        <v>3.5</v>
      </c>
      <c r="H182" s="13">
        <f t="shared" si="5"/>
        <v>4457.1428571428569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</row>
    <row r="183" spans="1:14" x14ac:dyDescent="0.25">
      <c r="A183" s="13" t="s">
        <v>731</v>
      </c>
      <c r="B183" s="13" t="s">
        <v>239</v>
      </c>
      <c r="C183" s="13">
        <v>684</v>
      </c>
      <c r="D183" s="13">
        <v>19.8</v>
      </c>
      <c r="E183" s="13">
        <f t="shared" si="4"/>
        <v>7485.7142857142853</v>
      </c>
      <c r="F183" s="13">
        <v>26200</v>
      </c>
      <c r="G183" s="13">
        <v>3.5</v>
      </c>
      <c r="H183" s="13">
        <f t="shared" si="5"/>
        <v>7485.7142857142853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</row>
    <row r="184" spans="1:14" x14ac:dyDescent="0.25">
      <c r="A184" s="13" t="s">
        <v>732</v>
      </c>
      <c r="B184" s="13" t="s">
        <v>240</v>
      </c>
      <c r="C184" s="13">
        <v>78</v>
      </c>
      <c r="D184" s="13">
        <v>4</v>
      </c>
      <c r="E184" s="13">
        <f t="shared" si="4"/>
        <v>1048.5714285714287</v>
      </c>
      <c r="F184" s="13">
        <v>3670</v>
      </c>
      <c r="G184" s="13">
        <v>3.5</v>
      </c>
      <c r="H184" s="13">
        <f t="shared" si="5"/>
        <v>1048.5714285714287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</row>
    <row r="185" spans="1:14" x14ac:dyDescent="0.25">
      <c r="A185" s="13" t="s">
        <v>733</v>
      </c>
      <c r="B185" s="13" t="s">
        <v>241</v>
      </c>
      <c r="C185" s="13">
        <v>1599</v>
      </c>
      <c r="D185" s="13">
        <v>54.5</v>
      </c>
      <c r="E185" s="13">
        <f t="shared" si="4"/>
        <v>10828.571428571429</v>
      </c>
      <c r="F185" s="13">
        <v>37900</v>
      </c>
      <c r="G185" s="13">
        <v>3.5</v>
      </c>
      <c r="H185" s="13">
        <f t="shared" si="5"/>
        <v>10828.571428571429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</row>
    <row r="186" spans="1:14" x14ac:dyDescent="0.25">
      <c r="A186" s="13" t="s">
        <v>734</v>
      </c>
      <c r="B186" s="13" t="s">
        <v>242</v>
      </c>
      <c r="C186" s="13">
        <v>329</v>
      </c>
      <c r="D186" s="13">
        <v>13.3</v>
      </c>
      <c r="E186" s="13">
        <f t="shared" si="4"/>
        <v>3142.8571428571427</v>
      </c>
      <c r="F186" s="13">
        <v>11000</v>
      </c>
      <c r="G186" s="13">
        <v>3.5</v>
      </c>
      <c r="H186" s="13">
        <f t="shared" si="5"/>
        <v>3142.8571428571427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</row>
    <row r="187" spans="1:14" x14ac:dyDescent="0.25">
      <c r="A187" s="13" t="s">
        <v>735</v>
      </c>
      <c r="B187" s="13" t="s">
        <v>243</v>
      </c>
      <c r="C187" s="13">
        <v>517</v>
      </c>
      <c r="D187" s="13">
        <v>17</v>
      </c>
      <c r="E187" s="13">
        <f t="shared" si="4"/>
        <v>3457.1428571428573</v>
      </c>
      <c r="F187" s="13">
        <v>12100</v>
      </c>
      <c r="G187" s="13">
        <v>3.5</v>
      </c>
      <c r="H187" s="13">
        <f t="shared" si="5"/>
        <v>3457.1428571428573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</row>
    <row r="188" spans="1:14" x14ac:dyDescent="0.25">
      <c r="A188" s="13" t="s">
        <v>736</v>
      </c>
      <c r="B188" s="13" t="s">
        <v>244</v>
      </c>
      <c r="C188" s="13">
        <v>230</v>
      </c>
      <c r="D188" s="13">
        <v>6.3</v>
      </c>
      <c r="E188" s="13">
        <f t="shared" si="4"/>
        <v>2214.2857142857142</v>
      </c>
      <c r="F188" s="13">
        <v>7750</v>
      </c>
      <c r="G188" s="13">
        <v>3.5</v>
      </c>
      <c r="H188" s="13">
        <f t="shared" si="5"/>
        <v>2214.2857142857142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</row>
    <row r="189" spans="1:14" x14ac:dyDescent="0.25">
      <c r="A189" s="13" t="s">
        <v>737</v>
      </c>
      <c r="B189" s="13" t="s">
        <v>245</v>
      </c>
      <c r="C189" s="13">
        <v>250</v>
      </c>
      <c r="D189" s="13">
        <v>5.4</v>
      </c>
      <c r="E189" s="13">
        <f t="shared" si="4"/>
        <v>2405.7142857142858</v>
      </c>
      <c r="F189" s="13">
        <v>8420</v>
      </c>
      <c r="G189" s="13">
        <v>3.5</v>
      </c>
      <c r="H189" s="13">
        <f t="shared" si="5"/>
        <v>2405.7142857142858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</row>
    <row r="190" spans="1:14" x14ac:dyDescent="0.25">
      <c r="A190" s="13" t="s">
        <v>738</v>
      </c>
      <c r="B190" s="13" t="s">
        <v>246</v>
      </c>
      <c r="C190" s="13">
        <v>205</v>
      </c>
      <c r="D190" s="13">
        <v>10.1</v>
      </c>
      <c r="E190" s="13">
        <f t="shared" si="4"/>
        <v>2751.4285714285716</v>
      </c>
      <c r="F190" s="13">
        <v>9630</v>
      </c>
      <c r="G190" s="13">
        <v>3.5</v>
      </c>
      <c r="H190" s="13">
        <f t="shared" si="5"/>
        <v>2751.4285714285716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</row>
    <row r="191" spans="1:14" x14ac:dyDescent="0.25">
      <c r="A191" s="13" t="s">
        <v>739</v>
      </c>
      <c r="B191" s="13" t="s">
        <v>247</v>
      </c>
      <c r="C191" s="13">
        <v>511</v>
      </c>
      <c r="D191" s="13">
        <v>20.7</v>
      </c>
      <c r="E191" s="13">
        <f t="shared" si="4"/>
        <v>5428.5714285714284</v>
      </c>
      <c r="F191" s="13">
        <v>19000</v>
      </c>
      <c r="G191" s="13">
        <v>3.5</v>
      </c>
      <c r="H191" s="13">
        <f t="shared" si="5"/>
        <v>5428.5714285714284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</row>
    <row r="192" spans="1:14" x14ac:dyDescent="0.25">
      <c r="A192" s="13" t="s">
        <v>740</v>
      </c>
      <c r="B192" s="13" t="s">
        <v>248</v>
      </c>
      <c r="C192" s="13">
        <v>83</v>
      </c>
      <c r="D192" s="13">
        <v>4.5</v>
      </c>
      <c r="E192" s="13">
        <f t="shared" si="4"/>
        <v>1225.7142857142858</v>
      </c>
      <c r="F192" s="13">
        <v>4290</v>
      </c>
      <c r="G192" s="13">
        <v>3.5</v>
      </c>
      <c r="H192" s="13">
        <f t="shared" si="5"/>
        <v>1225.7142857142858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</row>
    <row r="193" spans="1:14" x14ac:dyDescent="0.25">
      <c r="A193" s="13" t="s">
        <v>741</v>
      </c>
      <c r="B193" s="13" t="s">
        <v>249</v>
      </c>
      <c r="C193" s="13">
        <v>839</v>
      </c>
      <c r="D193" s="13">
        <v>26</v>
      </c>
      <c r="E193" s="13">
        <f t="shared" si="4"/>
        <v>4800</v>
      </c>
      <c r="F193" s="13">
        <v>16800</v>
      </c>
      <c r="G193" s="13">
        <v>3.5</v>
      </c>
      <c r="H193" s="13">
        <f t="shared" si="5"/>
        <v>4800</v>
      </c>
      <c r="I193" s="13">
        <v>0</v>
      </c>
      <c r="J193" s="13">
        <v>0</v>
      </c>
      <c r="K193" s="13">
        <v>0</v>
      </c>
      <c r="L193" s="13">
        <v>0</v>
      </c>
      <c r="M193" s="13">
        <v>0</v>
      </c>
      <c r="N193" s="13">
        <v>0</v>
      </c>
    </row>
    <row r="194" spans="1:14" x14ac:dyDescent="0.25">
      <c r="A194" s="13" t="s">
        <v>742</v>
      </c>
      <c r="B194" s="13" t="s">
        <v>250</v>
      </c>
      <c r="C194" s="13">
        <v>592</v>
      </c>
      <c r="D194" s="13">
        <v>14.8</v>
      </c>
      <c r="E194" s="13">
        <f t="shared" si="4"/>
        <v>5771.4285714285716</v>
      </c>
      <c r="F194" s="13">
        <v>20200</v>
      </c>
      <c r="G194" s="13">
        <v>3.5</v>
      </c>
      <c r="H194" s="13">
        <f t="shared" si="5"/>
        <v>5771.4285714285716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</row>
    <row r="195" spans="1:14" x14ac:dyDescent="0.25">
      <c r="A195" s="13" t="s">
        <v>743</v>
      </c>
      <c r="B195" s="13" t="s">
        <v>251</v>
      </c>
      <c r="C195" s="13">
        <v>1097</v>
      </c>
      <c r="D195" s="13">
        <v>34.9</v>
      </c>
      <c r="E195" s="13">
        <f t="shared" ref="E195:E258" si="6">F195/G195</f>
        <v>7800</v>
      </c>
      <c r="F195" s="13">
        <v>27300</v>
      </c>
      <c r="G195" s="13">
        <v>3.5</v>
      </c>
      <c r="H195" s="13">
        <f t="shared" ref="H195:H258" si="7">(F195/G195)-SUM(I195:N195)</f>
        <v>7800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</row>
    <row r="196" spans="1:14" x14ac:dyDescent="0.25">
      <c r="A196" s="13" t="s">
        <v>744</v>
      </c>
      <c r="B196" s="13" t="s">
        <v>252</v>
      </c>
      <c r="C196" s="13">
        <v>251</v>
      </c>
      <c r="D196" s="13">
        <v>7</v>
      </c>
      <c r="E196" s="13">
        <f t="shared" si="6"/>
        <v>1328.5714285714287</v>
      </c>
      <c r="F196" s="13">
        <v>4650</v>
      </c>
      <c r="G196" s="13">
        <v>3.5</v>
      </c>
      <c r="H196" s="13">
        <f t="shared" si="7"/>
        <v>1328.5714285714287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</row>
    <row r="197" spans="1:14" x14ac:dyDescent="0.25">
      <c r="A197" s="13" t="s">
        <v>745</v>
      </c>
      <c r="B197" s="13" t="s">
        <v>253</v>
      </c>
      <c r="C197" s="13">
        <v>202</v>
      </c>
      <c r="D197" s="13">
        <v>7</v>
      </c>
      <c r="E197" s="13">
        <f t="shared" si="6"/>
        <v>2700</v>
      </c>
      <c r="F197" s="13">
        <v>9450</v>
      </c>
      <c r="G197" s="13">
        <v>3.5</v>
      </c>
      <c r="H197" s="13">
        <f t="shared" si="7"/>
        <v>2700</v>
      </c>
      <c r="I197" s="13">
        <v>0</v>
      </c>
      <c r="J197" s="13">
        <v>0</v>
      </c>
      <c r="K197" s="13">
        <v>0</v>
      </c>
      <c r="L197" s="13">
        <v>0</v>
      </c>
      <c r="M197" s="13">
        <v>0</v>
      </c>
      <c r="N197" s="13">
        <v>0</v>
      </c>
    </row>
    <row r="198" spans="1:14" x14ac:dyDescent="0.25">
      <c r="A198" s="13" t="s">
        <v>746</v>
      </c>
      <c r="B198" s="13" t="s">
        <v>254</v>
      </c>
      <c r="C198" s="13">
        <v>193</v>
      </c>
      <c r="D198" s="13">
        <v>8.4</v>
      </c>
      <c r="E198" s="13">
        <f t="shared" si="6"/>
        <v>1960</v>
      </c>
      <c r="F198" s="13">
        <v>6860</v>
      </c>
      <c r="G198" s="13">
        <v>3.5</v>
      </c>
      <c r="H198" s="13">
        <f t="shared" si="7"/>
        <v>1960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</row>
    <row r="199" spans="1:14" x14ac:dyDescent="0.25">
      <c r="A199" s="13" t="s">
        <v>747</v>
      </c>
      <c r="B199" s="13" t="s">
        <v>255</v>
      </c>
      <c r="C199" s="13">
        <v>133</v>
      </c>
      <c r="D199" s="13">
        <v>5.4</v>
      </c>
      <c r="E199" s="13">
        <f t="shared" si="6"/>
        <v>1457.1428571428571</v>
      </c>
      <c r="F199" s="13">
        <v>5100</v>
      </c>
      <c r="G199" s="13">
        <v>3.5</v>
      </c>
      <c r="H199" s="13">
        <f t="shared" si="7"/>
        <v>1457.1428571428571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</row>
    <row r="200" spans="1:14" x14ac:dyDescent="0.25">
      <c r="A200" s="13" t="s">
        <v>748</v>
      </c>
      <c r="B200" s="13" t="s">
        <v>256</v>
      </c>
      <c r="C200" s="13">
        <v>1191</v>
      </c>
      <c r="D200" s="13">
        <v>42.2</v>
      </c>
      <c r="E200" s="13">
        <f t="shared" si="6"/>
        <v>8342.8571428571431</v>
      </c>
      <c r="F200" s="13">
        <v>29200</v>
      </c>
      <c r="G200" s="13">
        <v>3.5</v>
      </c>
      <c r="H200" s="13">
        <f t="shared" si="7"/>
        <v>8342.8571428571431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</row>
    <row r="201" spans="1:14" x14ac:dyDescent="0.25">
      <c r="A201" s="13" t="s">
        <v>749</v>
      </c>
      <c r="B201" s="13" t="s">
        <v>257</v>
      </c>
      <c r="C201" s="13">
        <v>203</v>
      </c>
      <c r="D201" s="13">
        <v>8.8000000000000007</v>
      </c>
      <c r="E201" s="13">
        <f t="shared" si="6"/>
        <v>2248.5714285714284</v>
      </c>
      <c r="F201" s="13">
        <v>7870</v>
      </c>
      <c r="G201" s="13">
        <v>3.5</v>
      </c>
      <c r="H201" s="13">
        <f t="shared" si="7"/>
        <v>2248.5714285714284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</row>
    <row r="202" spans="1:14" x14ac:dyDescent="0.25">
      <c r="A202" s="13" t="s">
        <v>750</v>
      </c>
      <c r="B202" s="13" t="s">
        <v>258</v>
      </c>
      <c r="C202" s="13">
        <v>146</v>
      </c>
      <c r="D202" s="13">
        <v>5.6</v>
      </c>
      <c r="E202" s="13">
        <f t="shared" si="6"/>
        <v>1351.4285714285713</v>
      </c>
      <c r="F202" s="13">
        <v>4730</v>
      </c>
      <c r="G202" s="13">
        <v>3.5</v>
      </c>
      <c r="H202" s="13">
        <f t="shared" si="7"/>
        <v>1351.4285714285713</v>
      </c>
      <c r="I202" s="13">
        <v>0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</row>
    <row r="203" spans="1:14" x14ac:dyDescent="0.25">
      <c r="A203" s="13" t="s">
        <v>751</v>
      </c>
      <c r="B203" s="13" t="s">
        <v>259</v>
      </c>
      <c r="C203" s="13">
        <v>722</v>
      </c>
      <c r="D203" s="13">
        <v>23</v>
      </c>
      <c r="E203" s="13">
        <f t="shared" si="6"/>
        <v>5542.8571428571431</v>
      </c>
      <c r="F203" s="13">
        <v>19400</v>
      </c>
      <c r="G203" s="13">
        <v>3.5</v>
      </c>
      <c r="H203" s="13">
        <f t="shared" si="7"/>
        <v>5542.8571428571431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</row>
    <row r="204" spans="1:14" x14ac:dyDescent="0.25">
      <c r="A204" s="13" t="s">
        <v>752</v>
      </c>
      <c r="B204" s="13" t="s">
        <v>260</v>
      </c>
      <c r="C204" s="13">
        <v>83</v>
      </c>
      <c r="D204" s="13">
        <v>3.8</v>
      </c>
      <c r="E204" s="13">
        <f t="shared" si="6"/>
        <v>1428.5714285714287</v>
      </c>
      <c r="F204" s="13">
        <v>5000</v>
      </c>
      <c r="G204" s="13">
        <v>3.5</v>
      </c>
      <c r="H204" s="13">
        <f t="shared" si="7"/>
        <v>1428.5714285714287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</row>
    <row r="205" spans="1:14" x14ac:dyDescent="0.25">
      <c r="A205" s="13" t="s">
        <v>753</v>
      </c>
      <c r="B205" s="13" t="s">
        <v>261</v>
      </c>
      <c r="C205" s="13">
        <v>778</v>
      </c>
      <c r="D205" s="13">
        <v>30.4</v>
      </c>
      <c r="E205" s="13">
        <f t="shared" si="6"/>
        <v>7457.1428571428569</v>
      </c>
      <c r="F205" s="13">
        <v>26100</v>
      </c>
      <c r="G205" s="13">
        <v>3.5</v>
      </c>
      <c r="H205" s="13">
        <f t="shared" si="7"/>
        <v>7457.1428571428569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</row>
    <row r="206" spans="1:14" x14ac:dyDescent="0.25">
      <c r="A206" s="13" t="s">
        <v>754</v>
      </c>
      <c r="B206" s="13" t="s">
        <v>262</v>
      </c>
      <c r="C206" s="13">
        <v>255</v>
      </c>
      <c r="D206" s="13">
        <v>12</v>
      </c>
      <c r="E206" s="13">
        <f t="shared" si="6"/>
        <v>2562.8571428571427</v>
      </c>
      <c r="F206" s="13">
        <v>8970</v>
      </c>
      <c r="G206" s="13">
        <v>3.5</v>
      </c>
      <c r="H206" s="13">
        <f t="shared" si="7"/>
        <v>2562.8571428571427</v>
      </c>
      <c r="I206" s="13">
        <v>0</v>
      </c>
      <c r="J206" s="13">
        <v>0</v>
      </c>
      <c r="K206" s="13">
        <v>0</v>
      </c>
      <c r="L206" s="13">
        <v>0</v>
      </c>
      <c r="M206" s="13">
        <v>0</v>
      </c>
      <c r="N206" s="13">
        <v>0</v>
      </c>
    </row>
    <row r="207" spans="1:14" x14ac:dyDescent="0.25">
      <c r="A207" s="13" t="s">
        <v>755</v>
      </c>
      <c r="B207" s="13" t="s">
        <v>263</v>
      </c>
      <c r="C207" s="13">
        <v>101</v>
      </c>
      <c r="D207" s="13">
        <v>5.4</v>
      </c>
      <c r="E207" s="13">
        <f t="shared" si="6"/>
        <v>1214.2857142857142</v>
      </c>
      <c r="F207" s="13">
        <v>4250</v>
      </c>
      <c r="G207" s="13">
        <v>3.5</v>
      </c>
      <c r="H207" s="13">
        <f t="shared" si="7"/>
        <v>1214.2857142857142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</row>
    <row r="208" spans="1:14" x14ac:dyDescent="0.25">
      <c r="A208" s="13" t="s">
        <v>756</v>
      </c>
      <c r="B208" s="13" t="s">
        <v>264</v>
      </c>
      <c r="C208" s="13">
        <v>164</v>
      </c>
      <c r="D208" s="13">
        <v>7.2</v>
      </c>
      <c r="E208" s="13">
        <f t="shared" si="6"/>
        <v>1845.7142857142858</v>
      </c>
      <c r="F208" s="13">
        <v>6460</v>
      </c>
      <c r="G208" s="13">
        <v>3.5</v>
      </c>
      <c r="H208" s="13">
        <f t="shared" si="7"/>
        <v>1845.7142857142858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</row>
    <row r="209" spans="1:14" x14ac:dyDescent="0.25">
      <c r="A209" s="13" t="s">
        <v>757</v>
      </c>
      <c r="B209" s="13" t="s">
        <v>265</v>
      </c>
      <c r="C209" s="13">
        <v>404</v>
      </c>
      <c r="D209" s="13">
        <v>15.4</v>
      </c>
      <c r="E209" s="13">
        <f t="shared" si="6"/>
        <v>3228.5714285714284</v>
      </c>
      <c r="F209" s="13">
        <v>11300</v>
      </c>
      <c r="G209" s="13">
        <v>3.5</v>
      </c>
      <c r="H209" s="13">
        <f t="shared" si="7"/>
        <v>3228.5714285714284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</row>
    <row r="210" spans="1:14" x14ac:dyDescent="0.25">
      <c r="A210" s="13" t="s">
        <v>758</v>
      </c>
      <c r="B210" s="13" t="s">
        <v>266</v>
      </c>
      <c r="C210" s="13">
        <v>942</v>
      </c>
      <c r="D210" s="13">
        <v>24.6</v>
      </c>
      <c r="E210" s="13">
        <f t="shared" si="6"/>
        <v>8885.7142857142862</v>
      </c>
      <c r="F210" s="13">
        <v>31100</v>
      </c>
      <c r="G210" s="13">
        <v>3.5</v>
      </c>
      <c r="H210" s="13">
        <f t="shared" si="7"/>
        <v>8885.7142857142862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</row>
    <row r="211" spans="1:14" x14ac:dyDescent="0.25">
      <c r="A211" s="13" t="s">
        <v>759</v>
      </c>
      <c r="B211" s="13" t="s">
        <v>267</v>
      </c>
      <c r="C211" s="13">
        <v>295</v>
      </c>
      <c r="D211" s="13">
        <v>11.6</v>
      </c>
      <c r="E211" s="13">
        <f t="shared" si="6"/>
        <v>2697.1428571428573</v>
      </c>
      <c r="F211" s="13">
        <v>9440</v>
      </c>
      <c r="G211" s="13">
        <v>3.5</v>
      </c>
      <c r="H211" s="13">
        <f t="shared" si="7"/>
        <v>2697.1428571428573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</row>
    <row r="212" spans="1:14" x14ac:dyDescent="0.25">
      <c r="A212" s="13" t="s">
        <v>760</v>
      </c>
      <c r="B212" s="13" t="s">
        <v>268</v>
      </c>
      <c r="C212" s="13">
        <v>1000</v>
      </c>
      <c r="D212" s="13">
        <v>34</v>
      </c>
      <c r="E212" s="13">
        <f t="shared" si="6"/>
        <v>7057.1428571428569</v>
      </c>
      <c r="F212" s="13">
        <v>24700</v>
      </c>
      <c r="G212" s="13">
        <v>3.5</v>
      </c>
      <c r="H212" s="13">
        <f t="shared" si="7"/>
        <v>7057.1428571428569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</row>
    <row r="213" spans="1:14" x14ac:dyDescent="0.25">
      <c r="A213" s="13" t="s">
        <v>761</v>
      </c>
      <c r="B213" s="13" t="s">
        <v>269</v>
      </c>
      <c r="C213" s="13">
        <v>889</v>
      </c>
      <c r="D213" s="13">
        <v>24.7</v>
      </c>
      <c r="E213" s="13">
        <f t="shared" si="6"/>
        <v>9828.5714285714294</v>
      </c>
      <c r="F213" s="13">
        <v>34400</v>
      </c>
      <c r="G213" s="13">
        <v>3.5</v>
      </c>
      <c r="H213" s="13">
        <f t="shared" si="7"/>
        <v>9828.5714285714294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</row>
    <row r="214" spans="1:14" x14ac:dyDescent="0.25">
      <c r="A214" s="13" t="s">
        <v>762</v>
      </c>
      <c r="B214" s="13" t="s">
        <v>270</v>
      </c>
      <c r="C214" s="13">
        <v>173</v>
      </c>
      <c r="D214" s="13">
        <v>9.5</v>
      </c>
      <c r="E214" s="13">
        <f t="shared" si="6"/>
        <v>2602.8571428571427</v>
      </c>
      <c r="F214" s="13">
        <v>9110</v>
      </c>
      <c r="G214" s="13">
        <v>3.5</v>
      </c>
      <c r="H214" s="13">
        <f t="shared" si="7"/>
        <v>2602.8571428571427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</row>
    <row r="215" spans="1:14" x14ac:dyDescent="0.25">
      <c r="A215" s="13" t="s">
        <v>763</v>
      </c>
      <c r="B215" s="13" t="s">
        <v>271</v>
      </c>
      <c r="C215" s="13">
        <v>835</v>
      </c>
      <c r="D215" s="13">
        <v>19.5</v>
      </c>
      <c r="E215" s="13">
        <f t="shared" si="6"/>
        <v>7171.4285714285716</v>
      </c>
      <c r="F215" s="13">
        <v>25100</v>
      </c>
      <c r="G215" s="13">
        <v>3.5</v>
      </c>
      <c r="H215" s="13">
        <f t="shared" si="7"/>
        <v>7171.4285714285716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</row>
    <row r="216" spans="1:14" x14ac:dyDescent="0.25">
      <c r="A216" s="13" t="s">
        <v>764</v>
      </c>
      <c r="B216" s="13" t="s">
        <v>272</v>
      </c>
      <c r="C216" s="13">
        <v>116</v>
      </c>
      <c r="D216" s="13">
        <v>5.7</v>
      </c>
      <c r="E216" s="13">
        <f t="shared" si="6"/>
        <v>1237.1428571428571</v>
      </c>
      <c r="F216" s="13">
        <v>4330</v>
      </c>
      <c r="G216" s="13">
        <v>3.5</v>
      </c>
      <c r="H216" s="13">
        <f t="shared" si="7"/>
        <v>1237.1428571428571</v>
      </c>
      <c r="I216" s="13">
        <v>0</v>
      </c>
      <c r="J216" s="13">
        <v>0</v>
      </c>
      <c r="K216" s="13">
        <v>0</v>
      </c>
      <c r="L216" s="13">
        <v>0</v>
      </c>
      <c r="M216" s="13">
        <v>0</v>
      </c>
      <c r="N216" s="13">
        <v>0</v>
      </c>
    </row>
    <row r="217" spans="1:14" x14ac:dyDescent="0.25">
      <c r="A217" s="13" t="s">
        <v>765</v>
      </c>
      <c r="B217" s="13" t="s">
        <v>273</v>
      </c>
      <c r="C217" s="13">
        <v>1212</v>
      </c>
      <c r="D217" s="13">
        <v>32.200000000000003</v>
      </c>
      <c r="E217" s="13">
        <f t="shared" si="6"/>
        <v>10885.714285714286</v>
      </c>
      <c r="F217" s="13">
        <v>38100</v>
      </c>
      <c r="G217" s="13">
        <v>3.5</v>
      </c>
      <c r="H217" s="13">
        <f t="shared" si="7"/>
        <v>10885.714285714286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</row>
    <row r="218" spans="1:14" x14ac:dyDescent="0.25">
      <c r="A218" s="13" t="s">
        <v>766</v>
      </c>
      <c r="B218" s="13" t="s">
        <v>274</v>
      </c>
      <c r="C218" s="13">
        <v>599</v>
      </c>
      <c r="D218" s="13">
        <v>15.2</v>
      </c>
      <c r="E218" s="13">
        <f t="shared" si="6"/>
        <v>5914.2857142857147</v>
      </c>
      <c r="F218" s="13">
        <v>20700</v>
      </c>
      <c r="G218" s="13">
        <v>3.5</v>
      </c>
      <c r="H218" s="13">
        <f t="shared" si="7"/>
        <v>5914.2857142857147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</row>
    <row r="219" spans="1:14" x14ac:dyDescent="0.25">
      <c r="A219" s="13" t="s">
        <v>767</v>
      </c>
      <c r="B219" s="13" t="s">
        <v>275</v>
      </c>
      <c r="C219" s="13">
        <v>159</v>
      </c>
      <c r="D219" s="13">
        <v>7.7</v>
      </c>
      <c r="E219" s="13">
        <f t="shared" si="6"/>
        <v>1777.1428571428571</v>
      </c>
      <c r="F219" s="13">
        <v>6220</v>
      </c>
      <c r="G219" s="13">
        <v>3.5</v>
      </c>
      <c r="H219" s="13">
        <f t="shared" si="7"/>
        <v>1777.1428571428571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</row>
    <row r="220" spans="1:14" x14ac:dyDescent="0.25">
      <c r="A220" s="13" t="s">
        <v>768</v>
      </c>
      <c r="B220" s="13" t="s">
        <v>276</v>
      </c>
      <c r="C220" s="13">
        <v>358</v>
      </c>
      <c r="D220" s="13">
        <v>15.1</v>
      </c>
      <c r="E220" s="13">
        <f t="shared" si="6"/>
        <v>3142.8571428571427</v>
      </c>
      <c r="F220" s="13">
        <v>11000</v>
      </c>
      <c r="G220" s="13">
        <v>3.5</v>
      </c>
      <c r="H220" s="13">
        <f t="shared" si="7"/>
        <v>3142.8571428571427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</row>
    <row r="221" spans="1:14" x14ac:dyDescent="0.25">
      <c r="A221" s="13" t="s">
        <v>769</v>
      </c>
      <c r="B221" s="13" t="s">
        <v>277</v>
      </c>
      <c r="C221" s="13">
        <v>1218</v>
      </c>
      <c r="D221" s="13">
        <v>42.9</v>
      </c>
      <c r="E221" s="13">
        <f t="shared" si="6"/>
        <v>8371.4285714285706</v>
      </c>
      <c r="F221" s="13">
        <v>29300</v>
      </c>
      <c r="G221" s="13">
        <v>3.5</v>
      </c>
      <c r="H221" s="13">
        <f t="shared" si="7"/>
        <v>8371.4285714285706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</row>
    <row r="222" spans="1:14" x14ac:dyDescent="0.25">
      <c r="A222" s="13" t="s">
        <v>770</v>
      </c>
      <c r="B222" s="13" t="s">
        <v>278</v>
      </c>
      <c r="C222" s="13">
        <v>466</v>
      </c>
      <c r="D222" s="13">
        <v>16.600000000000001</v>
      </c>
      <c r="E222" s="13">
        <f t="shared" si="6"/>
        <v>3628.5714285714284</v>
      </c>
      <c r="F222" s="13">
        <v>12700</v>
      </c>
      <c r="G222" s="13">
        <v>3.5</v>
      </c>
      <c r="H222" s="13">
        <f t="shared" si="7"/>
        <v>3628.5714285714284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</row>
    <row r="223" spans="1:14" x14ac:dyDescent="0.25">
      <c r="A223" s="13" t="s">
        <v>771</v>
      </c>
      <c r="B223" s="13" t="s">
        <v>279</v>
      </c>
      <c r="C223" s="13">
        <v>253</v>
      </c>
      <c r="D223" s="13">
        <v>12.5</v>
      </c>
      <c r="E223" s="13">
        <f t="shared" si="6"/>
        <v>3285.7142857142858</v>
      </c>
      <c r="F223" s="13">
        <v>11500</v>
      </c>
      <c r="G223" s="13">
        <v>3.5</v>
      </c>
      <c r="H223" s="13">
        <f t="shared" si="7"/>
        <v>3285.7142857142858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</row>
    <row r="224" spans="1:14" x14ac:dyDescent="0.25">
      <c r="A224" s="13" t="s">
        <v>772</v>
      </c>
      <c r="B224" s="13" t="s">
        <v>280</v>
      </c>
      <c r="C224" s="13">
        <v>845</v>
      </c>
      <c r="D224" s="13">
        <v>24.8</v>
      </c>
      <c r="E224" s="13">
        <f t="shared" si="6"/>
        <v>5400</v>
      </c>
      <c r="F224" s="13">
        <v>18900</v>
      </c>
      <c r="G224" s="13">
        <v>3.5</v>
      </c>
      <c r="H224" s="13">
        <f t="shared" si="7"/>
        <v>5400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</row>
    <row r="225" spans="1:14" x14ac:dyDescent="0.25">
      <c r="A225" s="13" t="s">
        <v>773</v>
      </c>
      <c r="B225" s="13" t="s">
        <v>281</v>
      </c>
      <c r="C225" s="13">
        <v>609</v>
      </c>
      <c r="D225" s="13">
        <v>25</v>
      </c>
      <c r="E225" s="13">
        <f t="shared" si="6"/>
        <v>5742.8571428571431</v>
      </c>
      <c r="F225" s="13">
        <v>20100</v>
      </c>
      <c r="G225" s="13">
        <v>3.5</v>
      </c>
      <c r="H225" s="13">
        <f t="shared" si="7"/>
        <v>5742.8571428571431</v>
      </c>
      <c r="I225" s="13">
        <v>0</v>
      </c>
      <c r="J225" s="13">
        <v>0</v>
      </c>
      <c r="K225" s="13">
        <v>0</v>
      </c>
      <c r="L225" s="13">
        <v>0</v>
      </c>
      <c r="M225" s="13">
        <v>0</v>
      </c>
      <c r="N225" s="13">
        <v>0</v>
      </c>
    </row>
    <row r="226" spans="1:14" x14ac:dyDescent="0.25">
      <c r="A226" s="13" t="s">
        <v>774</v>
      </c>
      <c r="B226" s="13" t="s">
        <v>282</v>
      </c>
      <c r="C226" s="13">
        <v>244</v>
      </c>
      <c r="D226" s="13">
        <v>10</v>
      </c>
      <c r="E226" s="13">
        <f t="shared" si="6"/>
        <v>2354.2857142857142</v>
      </c>
      <c r="F226" s="13">
        <v>8240</v>
      </c>
      <c r="G226" s="13">
        <v>3.5</v>
      </c>
      <c r="H226" s="13">
        <f t="shared" si="7"/>
        <v>2354.2857142857142</v>
      </c>
      <c r="I226" s="13">
        <v>0</v>
      </c>
      <c r="J226" s="13">
        <v>0</v>
      </c>
      <c r="K226" s="13">
        <v>0</v>
      </c>
      <c r="L226" s="13">
        <v>0</v>
      </c>
      <c r="M226" s="13">
        <v>0</v>
      </c>
      <c r="N226" s="13">
        <v>0</v>
      </c>
    </row>
    <row r="227" spans="1:14" x14ac:dyDescent="0.25">
      <c r="A227" s="13" t="s">
        <v>775</v>
      </c>
      <c r="B227" s="13" t="s">
        <v>283</v>
      </c>
      <c r="C227" s="13">
        <v>114</v>
      </c>
      <c r="D227" s="13">
        <v>5.0999999999999996</v>
      </c>
      <c r="E227" s="13">
        <f t="shared" si="6"/>
        <v>1862.8571428571429</v>
      </c>
      <c r="F227" s="13">
        <v>6520</v>
      </c>
      <c r="G227" s="13">
        <v>3.5</v>
      </c>
      <c r="H227" s="13">
        <f t="shared" si="7"/>
        <v>1862.8571428571429</v>
      </c>
      <c r="I227" s="13">
        <v>0</v>
      </c>
      <c r="J227" s="13">
        <v>0</v>
      </c>
      <c r="K227" s="13">
        <v>0</v>
      </c>
      <c r="L227" s="13">
        <v>0</v>
      </c>
      <c r="M227" s="13">
        <v>0</v>
      </c>
      <c r="N227" s="13">
        <v>0</v>
      </c>
    </row>
    <row r="228" spans="1:14" x14ac:dyDescent="0.25">
      <c r="A228" s="13" t="s">
        <v>776</v>
      </c>
      <c r="B228" s="13" t="s">
        <v>284</v>
      </c>
      <c r="C228" s="13">
        <v>500</v>
      </c>
      <c r="D228" s="13">
        <v>13.9</v>
      </c>
      <c r="E228" s="13">
        <f t="shared" si="6"/>
        <v>5571.4285714285716</v>
      </c>
      <c r="F228" s="13">
        <v>19500</v>
      </c>
      <c r="G228" s="13">
        <v>3.5</v>
      </c>
      <c r="H228" s="13">
        <f t="shared" si="7"/>
        <v>5571.4285714285716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</row>
    <row r="229" spans="1:14" x14ac:dyDescent="0.25">
      <c r="A229" s="13" t="s">
        <v>777</v>
      </c>
      <c r="B229" s="13" t="s">
        <v>285</v>
      </c>
      <c r="C229" s="13">
        <v>215</v>
      </c>
      <c r="D229" s="13">
        <v>7.4</v>
      </c>
      <c r="E229" s="13">
        <f t="shared" si="6"/>
        <v>2625.7142857142858</v>
      </c>
      <c r="F229" s="13">
        <v>9190</v>
      </c>
      <c r="G229" s="13">
        <v>3.5</v>
      </c>
      <c r="H229" s="13">
        <f t="shared" si="7"/>
        <v>2625.7142857142858</v>
      </c>
      <c r="I229" s="13">
        <v>0</v>
      </c>
      <c r="J229" s="13">
        <v>0</v>
      </c>
      <c r="K229" s="13">
        <v>0</v>
      </c>
      <c r="L229" s="13">
        <v>0</v>
      </c>
      <c r="M229" s="13">
        <v>0</v>
      </c>
      <c r="N229" s="13">
        <v>0</v>
      </c>
    </row>
    <row r="230" spans="1:14" x14ac:dyDescent="0.25">
      <c r="A230" s="13" t="s">
        <v>778</v>
      </c>
      <c r="B230" s="13" t="s">
        <v>286</v>
      </c>
      <c r="C230" s="13">
        <v>672</v>
      </c>
      <c r="D230" s="13">
        <v>25.1</v>
      </c>
      <c r="E230" s="13">
        <f t="shared" si="6"/>
        <v>6428.5714285714284</v>
      </c>
      <c r="F230" s="13">
        <v>22500</v>
      </c>
      <c r="G230" s="13">
        <v>3.5</v>
      </c>
      <c r="H230" s="13">
        <f t="shared" si="7"/>
        <v>6428.5714285714284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</row>
    <row r="231" spans="1:14" x14ac:dyDescent="0.25">
      <c r="A231" s="13" t="s">
        <v>779</v>
      </c>
      <c r="B231" s="13" t="s">
        <v>287</v>
      </c>
      <c r="C231" s="13">
        <v>330</v>
      </c>
      <c r="D231" s="13">
        <v>10.9</v>
      </c>
      <c r="E231" s="13">
        <f t="shared" si="6"/>
        <v>3571.4285714285716</v>
      </c>
      <c r="F231" s="13">
        <v>12500</v>
      </c>
      <c r="G231" s="13">
        <v>3.5</v>
      </c>
      <c r="H231" s="13">
        <f t="shared" si="7"/>
        <v>3571.4285714285716</v>
      </c>
      <c r="I231" s="13">
        <v>0</v>
      </c>
      <c r="J231" s="13">
        <v>0</v>
      </c>
      <c r="K231" s="13">
        <v>0</v>
      </c>
      <c r="L231" s="13">
        <v>0</v>
      </c>
      <c r="M231" s="13">
        <v>0</v>
      </c>
      <c r="N231" s="13">
        <v>0</v>
      </c>
    </row>
    <row r="232" spans="1:14" x14ac:dyDescent="0.25">
      <c r="A232" s="13" t="s">
        <v>780</v>
      </c>
      <c r="B232" s="13" t="s">
        <v>288</v>
      </c>
      <c r="C232" s="13">
        <v>324</v>
      </c>
      <c r="D232" s="13">
        <v>16.3</v>
      </c>
      <c r="E232" s="13">
        <f t="shared" si="6"/>
        <v>4400</v>
      </c>
      <c r="F232" s="13">
        <v>15400</v>
      </c>
      <c r="G232" s="13">
        <v>3.5</v>
      </c>
      <c r="H232" s="13">
        <f t="shared" si="7"/>
        <v>4400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</row>
    <row r="233" spans="1:14" x14ac:dyDescent="0.25">
      <c r="A233" s="13" t="s">
        <v>781</v>
      </c>
      <c r="B233" s="13" t="s">
        <v>289</v>
      </c>
      <c r="C233" s="13">
        <v>96</v>
      </c>
      <c r="D233" s="13">
        <v>6.6</v>
      </c>
      <c r="E233" s="13">
        <f t="shared" si="6"/>
        <v>1782.8571428571429</v>
      </c>
      <c r="F233" s="13">
        <v>6240</v>
      </c>
      <c r="G233" s="13">
        <v>3.5</v>
      </c>
      <c r="H233" s="13">
        <f t="shared" si="7"/>
        <v>1782.8571428571429</v>
      </c>
      <c r="I233" s="13">
        <v>0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</row>
    <row r="234" spans="1:14" x14ac:dyDescent="0.25">
      <c r="A234" s="13" t="s">
        <v>782</v>
      </c>
      <c r="B234" s="13" t="s">
        <v>290</v>
      </c>
      <c r="C234" s="13">
        <v>361</v>
      </c>
      <c r="D234" s="13">
        <v>14.1</v>
      </c>
      <c r="E234" s="13">
        <f t="shared" si="6"/>
        <v>3371.4285714285716</v>
      </c>
      <c r="F234" s="13">
        <v>11800</v>
      </c>
      <c r="G234" s="13">
        <v>3.5</v>
      </c>
      <c r="H234" s="13">
        <f t="shared" si="7"/>
        <v>3371.4285714285716</v>
      </c>
      <c r="I234" s="13">
        <v>0</v>
      </c>
      <c r="J234" s="13">
        <v>0</v>
      </c>
      <c r="K234" s="13">
        <v>0</v>
      </c>
      <c r="L234" s="13">
        <v>0</v>
      </c>
      <c r="M234" s="13">
        <v>0</v>
      </c>
      <c r="N234" s="13">
        <v>0</v>
      </c>
    </row>
    <row r="235" spans="1:14" x14ac:dyDescent="0.25">
      <c r="A235" s="13" t="s">
        <v>783</v>
      </c>
      <c r="B235" s="13" t="s">
        <v>291</v>
      </c>
      <c r="C235" s="13">
        <v>677</v>
      </c>
      <c r="D235" s="13">
        <v>18.3</v>
      </c>
      <c r="E235" s="13">
        <f t="shared" si="6"/>
        <v>7371.4285714285716</v>
      </c>
      <c r="F235" s="13">
        <v>25800</v>
      </c>
      <c r="G235" s="13">
        <v>3.5</v>
      </c>
      <c r="H235" s="13">
        <f t="shared" si="7"/>
        <v>7371.4285714285716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</row>
    <row r="236" spans="1:14" x14ac:dyDescent="0.25">
      <c r="A236" s="13" t="s">
        <v>784</v>
      </c>
      <c r="B236" s="13" t="s">
        <v>292</v>
      </c>
      <c r="C236" s="13">
        <v>256</v>
      </c>
      <c r="D236" s="13">
        <v>9.1999999999999993</v>
      </c>
      <c r="E236" s="13">
        <f t="shared" si="6"/>
        <v>2191.4285714285716</v>
      </c>
      <c r="F236" s="13">
        <v>7670</v>
      </c>
      <c r="G236" s="13">
        <v>3.5</v>
      </c>
      <c r="H236" s="13">
        <f t="shared" si="7"/>
        <v>2191.4285714285716</v>
      </c>
      <c r="I236" s="13">
        <v>0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</row>
    <row r="237" spans="1:14" x14ac:dyDescent="0.25">
      <c r="A237" s="13" t="s">
        <v>785</v>
      </c>
      <c r="B237" s="13" t="s">
        <v>293</v>
      </c>
      <c r="C237" s="13">
        <v>100</v>
      </c>
      <c r="D237" s="13">
        <v>5.5</v>
      </c>
      <c r="E237" s="13">
        <f t="shared" si="6"/>
        <v>1465.7142857142858</v>
      </c>
      <c r="F237" s="13">
        <v>5130</v>
      </c>
      <c r="G237" s="13">
        <v>3.5</v>
      </c>
      <c r="H237" s="13">
        <f t="shared" si="7"/>
        <v>1465.7142857142858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</row>
    <row r="238" spans="1:14" x14ac:dyDescent="0.25">
      <c r="A238" s="13" t="s">
        <v>786</v>
      </c>
      <c r="B238" s="13" t="s">
        <v>294</v>
      </c>
      <c r="C238" s="13">
        <v>375</v>
      </c>
      <c r="D238" s="13">
        <v>13</v>
      </c>
      <c r="E238" s="13">
        <f t="shared" si="6"/>
        <v>5171.4285714285716</v>
      </c>
      <c r="F238" s="13">
        <v>18100</v>
      </c>
      <c r="G238" s="13">
        <v>3.5</v>
      </c>
      <c r="H238" s="13">
        <f t="shared" si="7"/>
        <v>5171.4285714285716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</row>
    <row r="239" spans="1:14" x14ac:dyDescent="0.25">
      <c r="A239" s="13" t="s">
        <v>787</v>
      </c>
      <c r="B239" s="13" t="s">
        <v>295</v>
      </c>
      <c r="C239" s="13">
        <v>588</v>
      </c>
      <c r="D239" s="13">
        <v>22.6</v>
      </c>
      <c r="E239" s="13">
        <f t="shared" si="6"/>
        <v>5400</v>
      </c>
      <c r="F239" s="13">
        <v>18900</v>
      </c>
      <c r="G239" s="13">
        <v>3.5</v>
      </c>
      <c r="H239" s="13">
        <f t="shared" si="7"/>
        <v>5400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</row>
    <row r="240" spans="1:14" x14ac:dyDescent="0.25">
      <c r="A240" s="13" t="s">
        <v>788</v>
      </c>
      <c r="B240" s="13" t="s">
        <v>296</v>
      </c>
      <c r="C240" s="13">
        <v>87</v>
      </c>
      <c r="D240" s="13">
        <v>5</v>
      </c>
      <c r="E240" s="13">
        <f t="shared" si="6"/>
        <v>1360</v>
      </c>
      <c r="F240" s="13">
        <v>4760</v>
      </c>
      <c r="G240" s="13">
        <v>3.5</v>
      </c>
      <c r="H240" s="13">
        <f t="shared" si="7"/>
        <v>1360</v>
      </c>
      <c r="I240" s="13">
        <v>0</v>
      </c>
      <c r="J240" s="13">
        <v>0</v>
      </c>
      <c r="K240" s="13">
        <v>0</v>
      </c>
      <c r="L240" s="13">
        <v>0</v>
      </c>
      <c r="M240" s="13">
        <v>0</v>
      </c>
      <c r="N240" s="13">
        <v>0</v>
      </c>
    </row>
    <row r="241" spans="1:14" x14ac:dyDescent="0.25">
      <c r="A241" s="13" t="s">
        <v>789</v>
      </c>
      <c r="B241" s="13" t="s">
        <v>297</v>
      </c>
      <c r="C241" s="13">
        <v>183</v>
      </c>
      <c r="D241" s="13">
        <v>5.2</v>
      </c>
      <c r="E241" s="13">
        <f t="shared" si="6"/>
        <v>1914.2857142857142</v>
      </c>
      <c r="F241" s="13">
        <v>6700</v>
      </c>
      <c r="G241" s="13">
        <v>3.5</v>
      </c>
      <c r="H241" s="13">
        <f t="shared" si="7"/>
        <v>1914.2857142857142</v>
      </c>
      <c r="I241" s="13">
        <v>0</v>
      </c>
      <c r="J241" s="13">
        <v>0</v>
      </c>
      <c r="K241" s="13">
        <v>0</v>
      </c>
      <c r="L241" s="13">
        <v>0</v>
      </c>
      <c r="M241" s="13">
        <v>0</v>
      </c>
      <c r="N241" s="13">
        <v>0</v>
      </c>
    </row>
    <row r="242" spans="1:14" x14ac:dyDescent="0.25">
      <c r="A242" s="13" t="s">
        <v>790</v>
      </c>
      <c r="B242" s="13" t="s">
        <v>298</v>
      </c>
      <c r="C242" s="13">
        <v>511</v>
      </c>
      <c r="D242" s="13">
        <v>15.5</v>
      </c>
      <c r="E242" s="13">
        <f t="shared" si="6"/>
        <v>3171.4285714285716</v>
      </c>
      <c r="F242" s="13">
        <v>11100</v>
      </c>
      <c r="G242" s="13">
        <v>3.5</v>
      </c>
      <c r="H242" s="13">
        <f t="shared" si="7"/>
        <v>3171.4285714285716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</row>
    <row r="243" spans="1:14" x14ac:dyDescent="0.25">
      <c r="A243" s="13" t="s">
        <v>791</v>
      </c>
      <c r="B243" s="13" t="s">
        <v>299</v>
      </c>
      <c r="C243" s="13">
        <v>176</v>
      </c>
      <c r="D243" s="13">
        <v>5.9</v>
      </c>
      <c r="E243" s="13">
        <f t="shared" si="6"/>
        <v>2245.7142857142858</v>
      </c>
      <c r="F243" s="13">
        <v>7860</v>
      </c>
      <c r="G243" s="13">
        <v>3.5</v>
      </c>
      <c r="H243" s="13">
        <f t="shared" si="7"/>
        <v>2245.7142857142858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</row>
    <row r="244" spans="1:14" x14ac:dyDescent="0.25">
      <c r="A244" s="13" t="s">
        <v>792</v>
      </c>
      <c r="B244" s="13" t="s">
        <v>300</v>
      </c>
      <c r="C244" s="13">
        <v>236</v>
      </c>
      <c r="D244" s="13">
        <v>10.199999999999999</v>
      </c>
      <c r="E244" s="13">
        <f t="shared" si="6"/>
        <v>2334.2857142857142</v>
      </c>
      <c r="F244" s="13">
        <v>8170</v>
      </c>
      <c r="G244" s="13">
        <v>3.5</v>
      </c>
      <c r="H244" s="13">
        <f t="shared" si="7"/>
        <v>2334.2857142857142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</row>
    <row r="245" spans="1:14" x14ac:dyDescent="0.25">
      <c r="A245" s="13" t="s">
        <v>793</v>
      </c>
      <c r="B245" s="13" t="s">
        <v>301</v>
      </c>
      <c r="C245" s="13">
        <v>275</v>
      </c>
      <c r="D245" s="13">
        <v>15.2</v>
      </c>
      <c r="E245" s="13">
        <f t="shared" si="6"/>
        <v>4085.7142857142858</v>
      </c>
      <c r="F245" s="13">
        <v>14300</v>
      </c>
      <c r="G245" s="13">
        <v>3.5</v>
      </c>
      <c r="H245" s="13">
        <f t="shared" si="7"/>
        <v>4085.7142857142858</v>
      </c>
      <c r="I245" s="13">
        <v>0</v>
      </c>
      <c r="J245" s="13">
        <v>0</v>
      </c>
      <c r="K245" s="13">
        <v>0</v>
      </c>
      <c r="L245" s="13">
        <v>0</v>
      </c>
      <c r="M245" s="13">
        <v>0</v>
      </c>
      <c r="N245" s="13">
        <v>0</v>
      </c>
    </row>
    <row r="246" spans="1:14" x14ac:dyDescent="0.25">
      <c r="A246" s="13" t="s">
        <v>794</v>
      </c>
      <c r="B246" s="13" t="s">
        <v>302</v>
      </c>
      <c r="C246" s="13">
        <v>113</v>
      </c>
      <c r="D246" s="13">
        <v>5.5</v>
      </c>
      <c r="E246" s="13">
        <f t="shared" si="6"/>
        <v>1320</v>
      </c>
      <c r="F246" s="13">
        <v>4620</v>
      </c>
      <c r="G246" s="13">
        <v>3.5</v>
      </c>
      <c r="H246" s="13">
        <f t="shared" si="7"/>
        <v>1320</v>
      </c>
      <c r="I246" s="13">
        <v>0</v>
      </c>
      <c r="J246" s="13">
        <v>0</v>
      </c>
      <c r="K246" s="13">
        <v>0</v>
      </c>
      <c r="L246" s="13">
        <v>0</v>
      </c>
      <c r="M246" s="13">
        <v>0</v>
      </c>
      <c r="N246" s="13">
        <v>0</v>
      </c>
    </row>
    <row r="247" spans="1:14" x14ac:dyDescent="0.25">
      <c r="A247" s="13" t="s">
        <v>795</v>
      </c>
      <c r="B247" s="13" t="s">
        <v>303</v>
      </c>
      <c r="C247" s="13">
        <v>426</v>
      </c>
      <c r="D247" s="13">
        <v>13.7</v>
      </c>
      <c r="E247" s="13">
        <f t="shared" si="6"/>
        <v>2942.8571428571427</v>
      </c>
      <c r="F247" s="13">
        <v>10300</v>
      </c>
      <c r="G247" s="13">
        <v>3.5</v>
      </c>
      <c r="H247" s="13">
        <f t="shared" si="7"/>
        <v>2942.8571428571427</v>
      </c>
      <c r="I247" s="13">
        <v>0</v>
      </c>
      <c r="J247" s="13">
        <v>0</v>
      </c>
      <c r="K247" s="13">
        <v>0</v>
      </c>
      <c r="L247" s="13">
        <v>0</v>
      </c>
      <c r="M247" s="13">
        <v>0</v>
      </c>
      <c r="N247" s="13">
        <v>0</v>
      </c>
    </row>
    <row r="248" spans="1:14" x14ac:dyDescent="0.25">
      <c r="A248" s="13" t="s">
        <v>796</v>
      </c>
      <c r="B248" s="13" t="s">
        <v>304</v>
      </c>
      <c r="C248" s="13">
        <v>398</v>
      </c>
      <c r="D248" s="13">
        <v>13.2</v>
      </c>
      <c r="E248" s="13">
        <f t="shared" si="6"/>
        <v>2600</v>
      </c>
      <c r="F248" s="13">
        <v>9100</v>
      </c>
      <c r="G248" s="13">
        <v>3.5</v>
      </c>
      <c r="H248" s="13">
        <f t="shared" si="7"/>
        <v>2600</v>
      </c>
      <c r="I248" s="13">
        <v>0</v>
      </c>
      <c r="J248" s="13">
        <v>0</v>
      </c>
      <c r="K248" s="13">
        <v>0</v>
      </c>
      <c r="L248" s="13">
        <v>0</v>
      </c>
      <c r="M248" s="13">
        <v>0</v>
      </c>
      <c r="N248" s="13">
        <v>0</v>
      </c>
    </row>
    <row r="249" spans="1:14" x14ac:dyDescent="0.25">
      <c r="A249" s="13" t="s">
        <v>797</v>
      </c>
      <c r="B249" s="13" t="s">
        <v>305</v>
      </c>
      <c r="C249" s="13">
        <v>516</v>
      </c>
      <c r="D249" s="13">
        <v>13</v>
      </c>
      <c r="E249" s="13">
        <f t="shared" si="6"/>
        <v>5457.1428571428569</v>
      </c>
      <c r="F249" s="13">
        <v>19100</v>
      </c>
      <c r="G249" s="13">
        <v>3.5</v>
      </c>
      <c r="H249" s="13">
        <f t="shared" si="7"/>
        <v>5457.1428571428569</v>
      </c>
      <c r="I249" s="13">
        <v>0</v>
      </c>
      <c r="J249" s="13">
        <v>0</v>
      </c>
      <c r="K249" s="13">
        <v>0</v>
      </c>
      <c r="L249" s="13">
        <v>0</v>
      </c>
      <c r="M249" s="13">
        <v>0</v>
      </c>
      <c r="N249" s="13">
        <v>0</v>
      </c>
    </row>
    <row r="250" spans="1:14" x14ac:dyDescent="0.25">
      <c r="A250" s="13" t="s">
        <v>798</v>
      </c>
      <c r="B250" s="13" t="s">
        <v>306</v>
      </c>
      <c r="C250" s="13">
        <v>136</v>
      </c>
      <c r="D250" s="13">
        <v>6.4</v>
      </c>
      <c r="E250" s="13">
        <f t="shared" si="6"/>
        <v>1431.4285714285713</v>
      </c>
      <c r="F250" s="13">
        <v>5010</v>
      </c>
      <c r="G250" s="13">
        <v>3.5</v>
      </c>
      <c r="H250" s="13">
        <f t="shared" si="7"/>
        <v>1431.4285714285713</v>
      </c>
      <c r="I250" s="13">
        <v>0</v>
      </c>
      <c r="J250" s="13">
        <v>0</v>
      </c>
      <c r="K250" s="13">
        <v>0</v>
      </c>
      <c r="L250" s="13">
        <v>0</v>
      </c>
      <c r="M250" s="13">
        <v>0</v>
      </c>
      <c r="N250" s="13">
        <v>0</v>
      </c>
    </row>
    <row r="251" spans="1:14" x14ac:dyDescent="0.25">
      <c r="A251" s="13" t="s">
        <v>799</v>
      </c>
      <c r="B251" s="13" t="s">
        <v>307</v>
      </c>
      <c r="C251" s="13">
        <v>89</v>
      </c>
      <c r="D251" s="13">
        <v>2.6</v>
      </c>
      <c r="E251" s="13">
        <f t="shared" si="6"/>
        <v>1100</v>
      </c>
      <c r="F251" s="13">
        <v>3850</v>
      </c>
      <c r="G251" s="13">
        <v>3.5</v>
      </c>
      <c r="H251" s="13">
        <f t="shared" si="7"/>
        <v>1100</v>
      </c>
      <c r="I251" s="13">
        <v>0</v>
      </c>
      <c r="J251" s="13">
        <v>0</v>
      </c>
      <c r="K251" s="13">
        <v>0</v>
      </c>
      <c r="L251" s="13">
        <v>0</v>
      </c>
      <c r="M251" s="13">
        <v>0</v>
      </c>
      <c r="N251" s="13">
        <v>0</v>
      </c>
    </row>
    <row r="252" spans="1:14" x14ac:dyDescent="0.25">
      <c r="A252" s="13" t="s">
        <v>800</v>
      </c>
      <c r="B252" s="13" t="s">
        <v>308</v>
      </c>
      <c r="C252" s="13">
        <v>331</v>
      </c>
      <c r="D252" s="13">
        <v>9.4</v>
      </c>
      <c r="E252" s="13">
        <f t="shared" si="6"/>
        <v>3742.8571428571427</v>
      </c>
      <c r="F252" s="13">
        <v>13100</v>
      </c>
      <c r="G252" s="13">
        <v>3.5</v>
      </c>
      <c r="H252" s="13">
        <f t="shared" si="7"/>
        <v>3742.8571428571427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</row>
    <row r="253" spans="1:14" x14ac:dyDescent="0.25">
      <c r="A253" s="13" t="s">
        <v>801</v>
      </c>
      <c r="B253" s="13" t="s">
        <v>309</v>
      </c>
      <c r="C253" s="13">
        <v>2582</v>
      </c>
      <c r="D253" s="13">
        <v>80.400000000000006</v>
      </c>
      <c r="E253" s="13">
        <f t="shared" si="6"/>
        <v>15257.142857142857</v>
      </c>
      <c r="F253" s="13">
        <v>53400</v>
      </c>
      <c r="G253" s="13">
        <v>3.5</v>
      </c>
      <c r="H253" s="13">
        <f t="shared" si="7"/>
        <v>15257.142857142857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</row>
    <row r="254" spans="1:14" x14ac:dyDescent="0.25">
      <c r="A254" s="13" t="s">
        <v>802</v>
      </c>
      <c r="B254" s="13" t="s">
        <v>311</v>
      </c>
      <c r="C254" s="13">
        <v>748</v>
      </c>
      <c r="D254" s="13">
        <v>24.4</v>
      </c>
      <c r="E254" s="13">
        <f t="shared" si="6"/>
        <v>10142.857142857143</v>
      </c>
      <c r="F254" s="13">
        <v>35500</v>
      </c>
      <c r="G254" s="13">
        <v>3.5</v>
      </c>
      <c r="H254" s="13">
        <f t="shared" si="7"/>
        <v>10142.857142857143</v>
      </c>
      <c r="I254" s="13">
        <v>0</v>
      </c>
      <c r="J254" s="13">
        <v>0</v>
      </c>
      <c r="K254" s="13">
        <v>0</v>
      </c>
      <c r="L254" s="13">
        <v>0</v>
      </c>
      <c r="M254" s="13">
        <v>0</v>
      </c>
      <c r="N254" s="13">
        <v>0</v>
      </c>
    </row>
    <row r="255" spans="1:14" x14ac:dyDescent="0.25">
      <c r="A255" s="13" t="s">
        <v>803</v>
      </c>
      <c r="B255" s="13" t="s">
        <v>312</v>
      </c>
      <c r="C255" s="13">
        <v>682</v>
      </c>
      <c r="D255" s="13">
        <v>66.8</v>
      </c>
      <c r="E255" s="13">
        <f t="shared" si="6"/>
        <v>58571.428571428572</v>
      </c>
      <c r="F255" s="13">
        <v>205000</v>
      </c>
      <c r="G255" s="13">
        <v>3.5</v>
      </c>
      <c r="H255" s="13">
        <f t="shared" si="7"/>
        <v>58571.428571428572</v>
      </c>
      <c r="I255" s="13">
        <v>0</v>
      </c>
      <c r="J255" s="13">
        <v>0</v>
      </c>
      <c r="K255" s="13">
        <v>0</v>
      </c>
      <c r="L255" s="13">
        <v>0</v>
      </c>
      <c r="M255" s="13">
        <v>0</v>
      </c>
      <c r="N255" s="13">
        <v>0</v>
      </c>
    </row>
    <row r="256" spans="1:14" x14ac:dyDescent="0.25">
      <c r="A256" s="13" t="s">
        <v>804</v>
      </c>
      <c r="B256" s="13" t="s">
        <v>313</v>
      </c>
      <c r="C256" s="13">
        <v>1167</v>
      </c>
      <c r="D256" s="13">
        <v>43.9</v>
      </c>
      <c r="E256" s="13">
        <f t="shared" si="6"/>
        <v>10257.142857142857</v>
      </c>
      <c r="F256" s="13">
        <v>35900</v>
      </c>
      <c r="G256" s="13">
        <v>3.5</v>
      </c>
      <c r="H256" s="13">
        <f t="shared" si="7"/>
        <v>10257.142857142857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</row>
    <row r="257" spans="1:14" x14ac:dyDescent="0.25">
      <c r="A257" s="13" t="s">
        <v>805</v>
      </c>
      <c r="B257" s="13" t="s">
        <v>314</v>
      </c>
      <c r="C257" s="13">
        <v>618</v>
      </c>
      <c r="D257" s="13">
        <v>22.4</v>
      </c>
      <c r="E257" s="13">
        <f t="shared" si="6"/>
        <v>7342.8571428571431</v>
      </c>
      <c r="F257" s="13">
        <v>25700</v>
      </c>
      <c r="G257" s="13">
        <v>3.5</v>
      </c>
      <c r="H257" s="13">
        <f t="shared" si="7"/>
        <v>7342.8571428571431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</row>
    <row r="258" spans="1:14" x14ac:dyDescent="0.25">
      <c r="A258" s="13" t="s">
        <v>806</v>
      </c>
      <c r="B258" s="13" t="s">
        <v>315</v>
      </c>
      <c r="C258" s="13">
        <v>781</v>
      </c>
      <c r="D258" s="13">
        <v>27.9</v>
      </c>
      <c r="E258" s="13">
        <f t="shared" si="6"/>
        <v>5628.5714285714284</v>
      </c>
      <c r="F258" s="13">
        <v>19700</v>
      </c>
      <c r="G258" s="13">
        <v>3.5</v>
      </c>
      <c r="H258" s="13">
        <f t="shared" si="7"/>
        <v>5628.5714285714284</v>
      </c>
      <c r="I258" s="13">
        <v>0</v>
      </c>
      <c r="J258" s="13">
        <v>0</v>
      </c>
      <c r="K258" s="13">
        <v>0</v>
      </c>
      <c r="L258" s="13">
        <v>0</v>
      </c>
      <c r="M258" s="13">
        <v>0</v>
      </c>
      <c r="N258" s="13">
        <v>0</v>
      </c>
    </row>
    <row r="259" spans="1:14" x14ac:dyDescent="0.25">
      <c r="A259" s="13" t="s">
        <v>807</v>
      </c>
      <c r="B259" s="13" t="s">
        <v>316</v>
      </c>
      <c r="C259" s="13">
        <v>1073</v>
      </c>
      <c r="D259" s="13">
        <v>34.1</v>
      </c>
      <c r="E259" s="13">
        <f t="shared" ref="E259:E322" si="8">F259/G259</f>
        <v>6714.2857142857147</v>
      </c>
      <c r="F259" s="13">
        <v>23500</v>
      </c>
      <c r="G259" s="13">
        <v>3.5</v>
      </c>
      <c r="H259" s="13">
        <f t="shared" ref="H259:H322" si="9">(F259/G259)-SUM(I259:N259)</f>
        <v>6714.2857142857147</v>
      </c>
      <c r="I259" s="13">
        <v>0</v>
      </c>
      <c r="J259" s="13">
        <v>0</v>
      </c>
      <c r="K259" s="13">
        <v>0</v>
      </c>
      <c r="L259" s="13">
        <v>0</v>
      </c>
      <c r="M259" s="13">
        <v>0</v>
      </c>
      <c r="N259" s="13">
        <v>0</v>
      </c>
    </row>
    <row r="260" spans="1:14" x14ac:dyDescent="0.25">
      <c r="A260" s="13" t="s">
        <v>808</v>
      </c>
      <c r="B260" s="13" t="s">
        <v>317</v>
      </c>
      <c r="C260" s="13">
        <v>2116</v>
      </c>
      <c r="D260" s="13">
        <v>69.7</v>
      </c>
      <c r="E260" s="13">
        <f t="shared" si="8"/>
        <v>14257.142857142857</v>
      </c>
      <c r="F260" s="13">
        <v>49900</v>
      </c>
      <c r="G260" s="13">
        <v>3.5</v>
      </c>
      <c r="H260" s="13">
        <f t="shared" si="9"/>
        <v>14257.142857142857</v>
      </c>
      <c r="I260" s="13">
        <v>0</v>
      </c>
      <c r="J260" s="13">
        <v>0</v>
      </c>
      <c r="K260" s="13">
        <v>0</v>
      </c>
      <c r="L260" s="13">
        <v>0</v>
      </c>
      <c r="M260" s="13">
        <v>0</v>
      </c>
      <c r="N260" s="13">
        <v>0</v>
      </c>
    </row>
    <row r="261" spans="1:14" x14ac:dyDescent="0.25">
      <c r="A261" s="13" t="s">
        <v>809</v>
      </c>
      <c r="B261" s="13" t="s">
        <v>318</v>
      </c>
      <c r="C261" s="13">
        <v>1063</v>
      </c>
      <c r="D261" s="13">
        <v>29.8</v>
      </c>
      <c r="E261" s="13">
        <f t="shared" si="8"/>
        <v>6628.5714285714284</v>
      </c>
      <c r="F261" s="13">
        <v>23200</v>
      </c>
      <c r="G261" s="13">
        <v>3.5</v>
      </c>
      <c r="H261" s="13">
        <f t="shared" si="9"/>
        <v>6628.5714285714284</v>
      </c>
      <c r="I261" s="13">
        <v>0</v>
      </c>
      <c r="J261" s="13">
        <v>0</v>
      </c>
      <c r="K261" s="13">
        <v>0</v>
      </c>
      <c r="L261" s="13">
        <v>0</v>
      </c>
      <c r="M261" s="13">
        <v>0</v>
      </c>
      <c r="N261" s="13">
        <v>0</v>
      </c>
    </row>
    <row r="262" spans="1:14" x14ac:dyDescent="0.25">
      <c r="A262" s="13" t="s">
        <v>810</v>
      </c>
      <c r="B262" s="13" t="s">
        <v>319</v>
      </c>
      <c r="C262" s="13">
        <v>165</v>
      </c>
      <c r="D262" s="13">
        <v>7.7</v>
      </c>
      <c r="E262" s="13">
        <f t="shared" si="8"/>
        <v>1720</v>
      </c>
      <c r="F262" s="13">
        <v>6020</v>
      </c>
      <c r="G262" s="13">
        <v>3.5</v>
      </c>
      <c r="H262" s="13">
        <f t="shared" si="9"/>
        <v>1720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</row>
    <row r="263" spans="1:14" x14ac:dyDescent="0.25">
      <c r="A263" s="13" t="s">
        <v>811</v>
      </c>
      <c r="B263" s="13" t="s">
        <v>320</v>
      </c>
      <c r="C263" s="13">
        <v>129</v>
      </c>
      <c r="D263" s="13">
        <v>7.2</v>
      </c>
      <c r="E263" s="13">
        <f t="shared" si="8"/>
        <v>1794.2857142857142</v>
      </c>
      <c r="F263" s="13">
        <v>6280</v>
      </c>
      <c r="G263" s="13">
        <v>3.5</v>
      </c>
      <c r="H263" s="13">
        <f t="shared" si="9"/>
        <v>1794.2857142857142</v>
      </c>
      <c r="I263" s="13">
        <v>0</v>
      </c>
      <c r="J263" s="13">
        <v>0</v>
      </c>
      <c r="K263" s="13">
        <v>0</v>
      </c>
      <c r="L263" s="13">
        <v>0</v>
      </c>
      <c r="M263" s="13">
        <v>0</v>
      </c>
      <c r="N263" s="13">
        <v>0</v>
      </c>
    </row>
    <row r="264" spans="1:14" x14ac:dyDescent="0.25">
      <c r="A264" s="13" t="s">
        <v>812</v>
      </c>
      <c r="B264" s="13" t="s">
        <v>321</v>
      </c>
      <c r="C264" s="13">
        <v>80</v>
      </c>
      <c r="D264" s="13">
        <v>4.8</v>
      </c>
      <c r="E264" s="13">
        <f t="shared" si="8"/>
        <v>1325.7142857142858</v>
      </c>
      <c r="F264" s="13">
        <v>4640</v>
      </c>
      <c r="G264" s="13">
        <v>3.5</v>
      </c>
      <c r="H264" s="13">
        <f t="shared" si="9"/>
        <v>1325.7142857142858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</row>
    <row r="265" spans="1:14" x14ac:dyDescent="0.25">
      <c r="A265" s="13" t="s">
        <v>813</v>
      </c>
      <c r="B265" s="13" t="s">
        <v>322</v>
      </c>
      <c r="C265" s="13">
        <v>1071</v>
      </c>
      <c r="D265" s="13">
        <v>38.4</v>
      </c>
      <c r="E265" s="13">
        <f t="shared" si="8"/>
        <v>8028.5714285714284</v>
      </c>
      <c r="F265" s="13">
        <v>28100</v>
      </c>
      <c r="G265" s="13">
        <v>3.5</v>
      </c>
      <c r="H265" s="13">
        <f t="shared" si="9"/>
        <v>8028.5714285714284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</row>
    <row r="266" spans="1:14" x14ac:dyDescent="0.25">
      <c r="A266" s="13" t="s">
        <v>814</v>
      </c>
      <c r="B266" s="13" t="s">
        <v>323</v>
      </c>
      <c r="C266" s="13">
        <v>109</v>
      </c>
      <c r="D266" s="13">
        <v>6.2</v>
      </c>
      <c r="E266" s="13">
        <f t="shared" si="8"/>
        <v>1762.8571428571429</v>
      </c>
      <c r="F266" s="13">
        <v>6170</v>
      </c>
      <c r="G266" s="13">
        <v>3.5</v>
      </c>
      <c r="H266" s="13">
        <f t="shared" si="9"/>
        <v>1762.8571428571429</v>
      </c>
      <c r="I266" s="13">
        <v>0</v>
      </c>
      <c r="J266" s="13">
        <v>0</v>
      </c>
      <c r="K266" s="13">
        <v>0</v>
      </c>
      <c r="L266" s="13">
        <v>0</v>
      </c>
      <c r="M266" s="13">
        <v>0</v>
      </c>
      <c r="N266" s="13">
        <v>0</v>
      </c>
    </row>
    <row r="267" spans="1:14" x14ac:dyDescent="0.25">
      <c r="A267" s="13" t="s">
        <v>815</v>
      </c>
      <c r="B267" s="13" t="s">
        <v>324</v>
      </c>
      <c r="C267" s="13">
        <v>646</v>
      </c>
      <c r="D267" s="13">
        <v>21.9</v>
      </c>
      <c r="E267" s="13">
        <f t="shared" si="8"/>
        <v>5000</v>
      </c>
      <c r="F267" s="13">
        <v>17500</v>
      </c>
      <c r="G267" s="13">
        <v>3.5</v>
      </c>
      <c r="H267" s="13">
        <f t="shared" si="9"/>
        <v>5000</v>
      </c>
      <c r="I267" s="13">
        <v>0</v>
      </c>
      <c r="J267" s="13">
        <v>0</v>
      </c>
      <c r="K267" s="13">
        <v>0</v>
      </c>
      <c r="L267" s="13">
        <v>0</v>
      </c>
      <c r="M267" s="13">
        <v>0</v>
      </c>
      <c r="N267" s="13">
        <v>0</v>
      </c>
    </row>
    <row r="268" spans="1:14" x14ac:dyDescent="0.25">
      <c r="A268" s="13" t="s">
        <v>816</v>
      </c>
      <c r="B268" s="13" t="s">
        <v>325</v>
      </c>
      <c r="C268" s="13">
        <v>453</v>
      </c>
      <c r="D268" s="13">
        <v>16.2</v>
      </c>
      <c r="E268" s="13">
        <f t="shared" si="8"/>
        <v>6228.5714285714284</v>
      </c>
      <c r="F268" s="13">
        <v>21800</v>
      </c>
      <c r="G268" s="13">
        <v>3.5</v>
      </c>
      <c r="H268" s="13">
        <f t="shared" si="9"/>
        <v>6228.5714285714284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</row>
    <row r="269" spans="1:14" x14ac:dyDescent="0.25">
      <c r="A269" s="13" t="s">
        <v>817</v>
      </c>
      <c r="B269" s="13" t="s">
        <v>326</v>
      </c>
      <c r="C269" s="13">
        <v>276</v>
      </c>
      <c r="D269" s="13">
        <v>12.4</v>
      </c>
      <c r="E269" s="13">
        <f t="shared" si="8"/>
        <v>2642.8571428571427</v>
      </c>
      <c r="F269" s="13">
        <v>9250</v>
      </c>
      <c r="G269" s="13">
        <v>3.5</v>
      </c>
      <c r="H269" s="13">
        <f t="shared" si="9"/>
        <v>2642.8571428571427</v>
      </c>
      <c r="I269" s="13">
        <v>0</v>
      </c>
      <c r="J269" s="13">
        <v>0</v>
      </c>
      <c r="K269" s="13">
        <v>0</v>
      </c>
      <c r="L269" s="13">
        <v>0</v>
      </c>
      <c r="M269" s="13">
        <v>0</v>
      </c>
      <c r="N269" s="13">
        <v>0</v>
      </c>
    </row>
    <row r="270" spans="1:14" x14ac:dyDescent="0.25">
      <c r="A270" s="13" t="s">
        <v>818</v>
      </c>
      <c r="B270" s="13" t="s">
        <v>327</v>
      </c>
      <c r="C270" s="13">
        <v>580</v>
      </c>
      <c r="D270" s="13">
        <v>17.7</v>
      </c>
      <c r="E270" s="13">
        <f t="shared" si="8"/>
        <v>3628.5714285714284</v>
      </c>
      <c r="F270" s="13">
        <v>12700</v>
      </c>
      <c r="G270" s="13">
        <v>3.5</v>
      </c>
      <c r="H270" s="13">
        <f t="shared" si="9"/>
        <v>3628.5714285714284</v>
      </c>
      <c r="I270" s="13">
        <v>0</v>
      </c>
      <c r="J270" s="13">
        <v>0</v>
      </c>
      <c r="K270" s="13">
        <v>0</v>
      </c>
      <c r="L270" s="13">
        <v>0</v>
      </c>
      <c r="M270" s="13">
        <v>0</v>
      </c>
      <c r="N270" s="13">
        <v>0</v>
      </c>
    </row>
    <row r="271" spans="1:14" x14ac:dyDescent="0.25">
      <c r="A271" s="13" t="s">
        <v>819</v>
      </c>
      <c r="B271" s="13" t="s">
        <v>328</v>
      </c>
      <c r="C271" s="13">
        <v>398</v>
      </c>
      <c r="D271" s="13">
        <v>13.9</v>
      </c>
      <c r="E271" s="13">
        <f t="shared" si="8"/>
        <v>3514.2857142857142</v>
      </c>
      <c r="F271" s="13">
        <v>12300</v>
      </c>
      <c r="G271" s="13">
        <v>3.5</v>
      </c>
      <c r="H271" s="13">
        <f t="shared" si="9"/>
        <v>3514.2857142857142</v>
      </c>
      <c r="I271" s="13">
        <v>0</v>
      </c>
      <c r="J271" s="13">
        <v>0</v>
      </c>
      <c r="K271" s="13">
        <v>0</v>
      </c>
      <c r="L271" s="13">
        <v>0</v>
      </c>
      <c r="M271" s="13">
        <v>0</v>
      </c>
      <c r="N271" s="13">
        <v>0</v>
      </c>
    </row>
    <row r="272" spans="1:14" x14ac:dyDescent="0.25">
      <c r="A272" s="13" t="s">
        <v>820</v>
      </c>
      <c r="B272" s="13" t="s">
        <v>329</v>
      </c>
      <c r="C272" s="13">
        <v>612</v>
      </c>
      <c r="D272" s="13">
        <v>20.2</v>
      </c>
      <c r="E272" s="13">
        <f t="shared" si="8"/>
        <v>7457.1428571428569</v>
      </c>
      <c r="F272" s="13">
        <v>26100</v>
      </c>
      <c r="G272" s="13">
        <v>3.5</v>
      </c>
      <c r="H272" s="13">
        <f t="shared" si="9"/>
        <v>7457.1428571428569</v>
      </c>
      <c r="I272" s="13">
        <v>0</v>
      </c>
      <c r="J272" s="13">
        <v>0</v>
      </c>
      <c r="K272" s="13">
        <v>0</v>
      </c>
      <c r="L272" s="13">
        <v>0</v>
      </c>
      <c r="M272" s="13">
        <v>0</v>
      </c>
      <c r="N272" s="13">
        <v>0</v>
      </c>
    </row>
    <row r="273" spans="1:14" x14ac:dyDescent="0.25">
      <c r="A273" s="13" t="s">
        <v>821</v>
      </c>
      <c r="B273" s="13" t="s">
        <v>330</v>
      </c>
      <c r="C273" s="13">
        <v>197</v>
      </c>
      <c r="D273" s="13">
        <v>8.1999999999999993</v>
      </c>
      <c r="E273" s="13">
        <f t="shared" si="8"/>
        <v>1774.2857142857142</v>
      </c>
      <c r="F273" s="13">
        <v>6210</v>
      </c>
      <c r="G273" s="13">
        <v>3.5</v>
      </c>
      <c r="H273" s="13">
        <f t="shared" si="9"/>
        <v>1774.2857142857142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</row>
    <row r="274" spans="1:14" x14ac:dyDescent="0.25">
      <c r="A274" s="13" t="s">
        <v>822</v>
      </c>
      <c r="B274" s="13" t="s">
        <v>331</v>
      </c>
      <c r="C274" s="13">
        <v>575</v>
      </c>
      <c r="D274" s="13">
        <v>15.5</v>
      </c>
      <c r="E274" s="13">
        <f t="shared" si="8"/>
        <v>5371.4285714285716</v>
      </c>
      <c r="F274" s="13">
        <v>18800</v>
      </c>
      <c r="G274" s="13">
        <v>3.5</v>
      </c>
      <c r="H274" s="13">
        <f t="shared" si="9"/>
        <v>5371.4285714285716</v>
      </c>
      <c r="I274" s="13">
        <v>0</v>
      </c>
      <c r="J274" s="13">
        <v>0</v>
      </c>
      <c r="K274" s="13">
        <v>0</v>
      </c>
      <c r="L274" s="13">
        <v>0</v>
      </c>
      <c r="M274" s="13">
        <v>0</v>
      </c>
      <c r="N274" s="13">
        <v>0</v>
      </c>
    </row>
    <row r="275" spans="1:14" x14ac:dyDescent="0.25">
      <c r="A275" s="13" t="s">
        <v>823</v>
      </c>
      <c r="B275" s="13" t="s">
        <v>332</v>
      </c>
      <c r="C275" s="13">
        <v>169</v>
      </c>
      <c r="D275" s="13">
        <v>7.9</v>
      </c>
      <c r="E275" s="13">
        <f t="shared" si="8"/>
        <v>1914.2857142857142</v>
      </c>
      <c r="F275" s="13">
        <v>6700</v>
      </c>
      <c r="G275" s="13">
        <v>3.5</v>
      </c>
      <c r="H275" s="13">
        <f t="shared" si="9"/>
        <v>1914.2857142857142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</row>
    <row r="276" spans="1:14" x14ac:dyDescent="0.25">
      <c r="A276" s="13" t="s">
        <v>824</v>
      </c>
      <c r="B276" s="13" t="s">
        <v>333</v>
      </c>
      <c r="C276" s="13">
        <v>552</v>
      </c>
      <c r="D276" s="13">
        <v>20</v>
      </c>
      <c r="E276" s="13">
        <f t="shared" si="8"/>
        <v>4085.7142857142858</v>
      </c>
      <c r="F276" s="13">
        <v>14300</v>
      </c>
      <c r="G276" s="13">
        <v>3.5</v>
      </c>
      <c r="H276" s="13">
        <f t="shared" si="9"/>
        <v>4085.7142857142858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</row>
    <row r="277" spans="1:14" x14ac:dyDescent="0.25">
      <c r="A277" s="13" t="s">
        <v>825</v>
      </c>
      <c r="B277" s="13" t="s">
        <v>334</v>
      </c>
      <c r="C277" s="13">
        <v>214</v>
      </c>
      <c r="D277" s="13">
        <v>8.3000000000000007</v>
      </c>
      <c r="E277" s="13">
        <f t="shared" si="8"/>
        <v>1860</v>
      </c>
      <c r="F277" s="13">
        <v>6510</v>
      </c>
      <c r="G277" s="13">
        <v>3.5</v>
      </c>
      <c r="H277" s="13">
        <f t="shared" si="9"/>
        <v>1860</v>
      </c>
      <c r="I277" s="13">
        <v>0</v>
      </c>
      <c r="J277" s="13">
        <v>0</v>
      </c>
      <c r="K277" s="13">
        <v>0</v>
      </c>
      <c r="L277" s="13">
        <v>0</v>
      </c>
      <c r="M277" s="13">
        <v>0</v>
      </c>
      <c r="N277" s="13">
        <v>0</v>
      </c>
    </row>
    <row r="278" spans="1:14" x14ac:dyDescent="0.25">
      <c r="A278" s="13" t="s">
        <v>826</v>
      </c>
      <c r="B278" s="13" t="s">
        <v>335</v>
      </c>
      <c r="C278" s="13">
        <v>268</v>
      </c>
      <c r="D278" s="13">
        <v>9.8000000000000007</v>
      </c>
      <c r="E278" s="13">
        <f t="shared" si="8"/>
        <v>2328.5714285714284</v>
      </c>
      <c r="F278" s="13">
        <v>8150</v>
      </c>
      <c r="G278" s="13">
        <v>3.5</v>
      </c>
      <c r="H278" s="13">
        <f t="shared" si="9"/>
        <v>2328.5714285714284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</row>
    <row r="279" spans="1:14" x14ac:dyDescent="0.25">
      <c r="A279" s="13" t="s">
        <v>827</v>
      </c>
      <c r="B279" s="13" t="s">
        <v>336</v>
      </c>
      <c r="C279" s="13">
        <v>208</v>
      </c>
      <c r="D279" s="13">
        <v>7.3</v>
      </c>
      <c r="E279" s="13">
        <f t="shared" si="8"/>
        <v>1765.7142857142858</v>
      </c>
      <c r="F279" s="13">
        <v>6180</v>
      </c>
      <c r="G279" s="13">
        <v>3.5</v>
      </c>
      <c r="H279" s="13">
        <f t="shared" si="9"/>
        <v>1765.7142857142858</v>
      </c>
      <c r="I279" s="13">
        <v>0</v>
      </c>
      <c r="J279" s="13">
        <v>0</v>
      </c>
      <c r="K279" s="13">
        <v>0</v>
      </c>
      <c r="L279" s="13">
        <v>0</v>
      </c>
      <c r="M279" s="13">
        <v>0</v>
      </c>
      <c r="N279" s="13">
        <v>0</v>
      </c>
    </row>
    <row r="280" spans="1:14" x14ac:dyDescent="0.25">
      <c r="A280" s="13" t="s">
        <v>828</v>
      </c>
      <c r="B280" s="13" t="s">
        <v>337</v>
      </c>
      <c r="C280" s="13">
        <v>434</v>
      </c>
      <c r="D280" s="13">
        <v>12.4</v>
      </c>
      <c r="E280" s="13">
        <f t="shared" si="8"/>
        <v>4800</v>
      </c>
      <c r="F280" s="13">
        <v>16800</v>
      </c>
      <c r="G280" s="13">
        <v>3.5</v>
      </c>
      <c r="H280" s="13">
        <f t="shared" si="9"/>
        <v>4800</v>
      </c>
      <c r="I280" s="13">
        <v>0</v>
      </c>
      <c r="J280" s="13">
        <v>0</v>
      </c>
      <c r="K280" s="13">
        <v>0</v>
      </c>
      <c r="L280" s="13">
        <v>0</v>
      </c>
      <c r="M280" s="13">
        <v>0</v>
      </c>
      <c r="N280" s="13">
        <v>0</v>
      </c>
    </row>
    <row r="281" spans="1:14" x14ac:dyDescent="0.25">
      <c r="A281" s="13" t="s">
        <v>829</v>
      </c>
      <c r="B281" s="13" t="s">
        <v>338</v>
      </c>
      <c r="C281" s="13">
        <v>604</v>
      </c>
      <c r="D281" s="13">
        <v>21</v>
      </c>
      <c r="E281" s="13">
        <f t="shared" si="8"/>
        <v>4914.2857142857147</v>
      </c>
      <c r="F281" s="13">
        <v>17200</v>
      </c>
      <c r="G281" s="13">
        <v>3.5</v>
      </c>
      <c r="H281" s="13">
        <f t="shared" si="9"/>
        <v>4914.2857142857147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</row>
    <row r="282" spans="1:14" x14ac:dyDescent="0.25">
      <c r="A282" s="13" t="s">
        <v>830</v>
      </c>
      <c r="B282" s="13" t="s">
        <v>339</v>
      </c>
      <c r="C282" s="13">
        <v>195</v>
      </c>
      <c r="D282" s="13">
        <v>7.8</v>
      </c>
      <c r="E282" s="13">
        <f t="shared" si="8"/>
        <v>1711.4285714285713</v>
      </c>
      <c r="F282" s="13">
        <v>5990</v>
      </c>
      <c r="G282" s="13">
        <v>3.5</v>
      </c>
      <c r="H282" s="13">
        <f t="shared" si="9"/>
        <v>1711.4285714285713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</row>
    <row r="283" spans="1:14" x14ac:dyDescent="0.25">
      <c r="A283" s="13" t="s">
        <v>831</v>
      </c>
      <c r="B283" s="13" t="s">
        <v>340</v>
      </c>
      <c r="C283" s="13">
        <v>143</v>
      </c>
      <c r="D283" s="13">
        <v>7.2</v>
      </c>
      <c r="E283" s="13">
        <f t="shared" si="8"/>
        <v>1962.8571428571429</v>
      </c>
      <c r="F283" s="13">
        <v>6870</v>
      </c>
      <c r="G283" s="13">
        <v>3.5</v>
      </c>
      <c r="H283" s="13">
        <f t="shared" si="9"/>
        <v>1962.8571428571429</v>
      </c>
      <c r="I283" s="13">
        <v>0</v>
      </c>
      <c r="J283" s="13">
        <v>0</v>
      </c>
      <c r="K283" s="13">
        <v>0</v>
      </c>
      <c r="L283" s="13">
        <v>0</v>
      </c>
      <c r="M283" s="13">
        <v>0</v>
      </c>
      <c r="N283" s="13">
        <v>0</v>
      </c>
    </row>
    <row r="284" spans="1:14" x14ac:dyDescent="0.25">
      <c r="A284" s="13" t="s">
        <v>832</v>
      </c>
      <c r="B284" s="13" t="s">
        <v>341</v>
      </c>
      <c r="C284" s="13">
        <v>663</v>
      </c>
      <c r="D284" s="13">
        <v>18.7</v>
      </c>
      <c r="E284" s="13">
        <f t="shared" si="8"/>
        <v>7428.5714285714284</v>
      </c>
      <c r="F284" s="13">
        <v>26000</v>
      </c>
      <c r="G284" s="13">
        <v>3.5</v>
      </c>
      <c r="H284" s="13">
        <f t="shared" si="9"/>
        <v>7428.5714285714284</v>
      </c>
      <c r="I284" s="13">
        <v>0</v>
      </c>
      <c r="J284" s="13">
        <v>0</v>
      </c>
      <c r="K284" s="13">
        <v>0</v>
      </c>
      <c r="L284" s="13">
        <v>0</v>
      </c>
      <c r="M284" s="13">
        <v>0</v>
      </c>
      <c r="N284" s="13">
        <v>0</v>
      </c>
    </row>
    <row r="285" spans="1:14" x14ac:dyDescent="0.25">
      <c r="A285" s="13" t="s">
        <v>833</v>
      </c>
      <c r="B285" s="13" t="s">
        <v>342</v>
      </c>
      <c r="C285" s="13">
        <v>480</v>
      </c>
      <c r="D285" s="13">
        <v>20.9</v>
      </c>
      <c r="E285" s="13">
        <f t="shared" si="8"/>
        <v>5200</v>
      </c>
      <c r="F285" s="13">
        <v>18200</v>
      </c>
      <c r="G285" s="13">
        <v>3.5</v>
      </c>
      <c r="H285" s="13">
        <f t="shared" si="9"/>
        <v>5200</v>
      </c>
      <c r="I285" s="13">
        <v>0</v>
      </c>
      <c r="J285" s="13">
        <v>0</v>
      </c>
      <c r="K285" s="13">
        <v>0</v>
      </c>
      <c r="L285" s="13">
        <v>0</v>
      </c>
      <c r="M285" s="13">
        <v>0</v>
      </c>
      <c r="N285" s="13">
        <v>0</v>
      </c>
    </row>
    <row r="286" spans="1:14" x14ac:dyDescent="0.25">
      <c r="A286" s="13" t="s">
        <v>834</v>
      </c>
      <c r="B286" s="13" t="s">
        <v>343</v>
      </c>
      <c r="C286" s="13">
        <v>343</v>
      </c>
      <c r="D286" s="13">
        <v>12.8</v>
      </c>
      <c r="E286" s="13">
        <f t="shared" si="8"/>
        <v>3142.8571428571427</v>
      </c>
      <c r="F286" s="13">
        <v>11000</v>
      </c>
      <c r="G286" s="13">
        <v>3.5</v>
      </c>
      <c r="H286" s="13">
        <f t="shared" si="9"/>
        <v>3142.8571428571427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</row>
    <row r="287" spans="1:14" x14ac:dyDescent="0.25">
      <c r="A287" s="13" t="s">
        <v>835</v>
      </c>
      <c r="B287" s="13" t="s">
        <v>344</v>
      </c>
      <c r="C287" s="13">
        <v>137</v>
      </c>
      <c r="D287" s="13">
        <v>5.3</v>
      </c>
      <c r="E287" s="13">
        <f t="shared" si="8"/>
        <v>2051.4285714285716</v>
      </c>
      <c r="F287" s="13">
        <v>7180</v>
      </c>
      <c r="G287" s="13">
        <v>3.5</v>
      </c>
      <c r="H287" s="13">
        <f t="shared" si="9"/>
        <v>2051.4285714285716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</row>
    <row r="288" spans="1:14" x14ac:dyDescent="0.25">
      <c r="A288" s="13" t="s">
        <v>836</v>
      </c>
      <c r="B288" s="13" t="s">
        <v>345</v>
      </c>
      <c r="C288" s="13">
        <v>536</v>
      </c>
      <c r="D288" s="13">
        <v>20.9</v>
      </c>
      <c r="E288" s="13">
        <f t="shared" si="8"/>
        <v>4914.2857142857147</v>
      </c>
      <c r="F288" s="13">
        <v>17200</v>
      </c>
      <c r="G288" s="13">
        <v>3.5</v>
      </c>
      <c r="H288" s="13">
        <f t="shared" si="9"/>
        <v>4914.2857142857147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</row>
    <row r="289" spans="1:14" x14ac:dyDescent="0.25">
      <c r="A289" s="13" t="s">
        <v>837</v>
      </c>
      <c r="B289" s="13" t="s">
        <v>346</v>
      </c>
      <c r="C289" s="13">
        <v>464</v>
      </c>
      <c r="D289" s="13">
        <v>14.2</v>
      </c>
      <c r="E289" s="13">
        <f t="shared" si="8"/>
        <v>4942.8571428571431</v>
      </c>
      <c r="F289" s="13">
        <v>17300</v>
      </c>
      <c r="G289" s="13">
        <v>3.5</v>
      </c>
      <c r="H289" s="13">
        <f t="shared" si="9"/>
        <v>4942.8571428571431</v>
      </c>
      <c r="I289" s="13">
        <v>0</v>
      </c>
      <c r="J289" s="13">
        <v>0</v>
      </c>
      <c r="K289" s="13">
        <v>0</v>
      </c>
      <c r="L289" s="13">
        <v>0</v>
      </c>
      <c r="M289" s="13">
        <v>0</v>
      </c>
      <c r="N289" s="13">
        <v>0</v>
      </c>
    </row>
    <row r="290" spans="1:14" x14ac:dyDescent="0.25">
      <c r="A290" s="13" t="s">
        <v>838</v>
      </c>
      <c r="B290" s="13" t="s">
        <v>347</v>
      </c>
      <c r="C290" s="13">
        <v>344</v>
      </c>
      <c r="D290" s="13">
        <v>21</v>
      </c>
      <c r="E290" s="13">
        <f t="shared" si="8"/>
        <v>4942.8571428571431</v>
      </c>
      <c r="F290" s="13">
        <v>17300</v>
      </c>
      <c r="G290" s="13">
        <v>3.5</v>
      </c>
      <c r="H290" s="13">
        <f t="shared" si="9"/>
        <v>4942.8571428571431</v>
      </c>
      <c r="I290" s="13">
        <v>0</v>
      </c>
      <c r="J290" s="13">
        <v>0</v>
      </c>
      <c r="K290" s="13">
        <v>0</v>
      </c>
      <c r="L290" s="13">
        <v>0</v>
      </c>
      <c r="M290" s="13">
        <v>0</v>
      </c>
      <c r="N290" s="13">
        <v>0</v>
      </c>
    </row>
    <row r="291" spans="1:14" x14ac:dyDescent="0.25">
      <c r="A291" s="13" t="s">
        <v>839</v>
      </c>
      <c r="B291" s="13" t="s">
        <v>348</v>
      </c>
      <c r="C291" s="13">
        <v>463</v>
      </c>
      <c r="D291" s="13">
        <v>12.7</v>
      </c>
      <c r="E291" s="13">
        <f t="shared" si="8"/>
        <v>5200</v>
      </c>
      <c r="F291" s="13">
        <v>18200</v>
      </c>
      <c r="G291" s="13">
        <v>3.5</v>
      </c>
      <c r="H291" s="13">
        <f t="shared" si="9"/>
        <v>5200</v>
      </c>
      <c r="I291" s="13">
        <v>0</v>
      </c>
      <c r="J291" s="13">
        <v>0</v>
      </c>
      <c r="K291" s="13">
        <v>0</v>
      </c>
      <c r="L291" s="13">
        <v>0</v>
      </c>
      <c r="M291" s="13">
        <v>0</v>
      </c>
      <c r="N291" s="13">
        <v>0</v>
      </c>
    </row>
    <row r="292" spans="1:14" x14ac:dyDescent="0.25">
      <c r="A292" s="13" t="s">
        <v>840</v>
      </c>
      <c r="B292" s="13" t="s">
        <v>349</v>
      </c>
      <c r="C292" s="13">
        <v>551</v>
      </c>
      <c r="D292" s="13">
        <v>20.5</v>
      </c>
      <c r="E292" s="13">
        <f t="shared" si="8"/>
        <v>4057.1428571428573</v>
      </c>
      <c r="F292" s="13">
        <v>14200</v>
      </c>
      <c r="G292" s="13">
        <v>3.5</v>
      </c>
      <c r="H292" s="13">
        <f t="shared" si="9"/>
        <v>4057.1428571428573</v>
      </c>
      <c r="I292" s="13">
        <v>0</v>
      </c>
      <c r="J292" s="13">
        <v>0</v>
      </c>
      <c r="K292" s="13">
        <v>0</v>
      </c>
      <c r="L292" s="13">
        <v>0</v>
      </c>
      <c r="M292" s="13">
        <v>0</v>
      </c>
      <c r="N292" s="13">
        <v>0</v>
      </c>
    </row>
    <row r="293" spans="1:14" x14ac:dyDescent="0.25">
      <c r="A293" s="13" t="s">
        <v>841</v>
      </c>
      <c r="B293" s="13" t="s">
        <v>350</v>
      </c>
      <c r="C293" s="13">
        <v>151</v>
      </c>
      <c r="D293" s="13">
        <v>6.1</v>
      </c>
      <c r="E293" s="13">
        <f t="shared" si="8"/>
        <v>2360</v>
      </c>
      <c r="F293" s="13">
        <v>8260</v>
      </c>
      <c r="G293" s="13">
        <v>3.5</v>
      </c>
      <c r="H293" s="13">
        <f t="shared" si="9"/>
        <v>2360</v>
      </c>
      <c r="I293" s="13">
        <v>0</v>
      </c>
      <c r="J293" s="13">
        <v>0</v>
      </c>
      <c r="K293" s="13">
        <v>0</v>
      </c>
      <c r="L293" s="13">
        <v>0</v>
      </c>
      <c r="M293" s="13">
        <v>0</v>
      </c>
      <c r="N293" s="13">
        <v>0</v>
      </c>
    </row>
    <row r="294" spans="1:14" x14ac:dyDescent="0.25">
      <c r="A294" s="13" t="s">
        <v>842</v>
      </c>
      <c r="B294" s="13" t="s">
        <v>351</v>
      </c>
      <c r="C294" s="13">
        <v>264</v>
      </c>
      <c r="D294" s="13">
        <v>13.6</v>
      </c>
      <c r="E294" s="13">
        <f t="shared" si="8"/>
        <v>3628.5714285714284</v>
      </c>
      <c r="F294" s="13">
        <v>12700</v>
      </c>
      <c r="G294" s="13">
        <v>3.5</v>
      </c>
      <c r="H294" s="13">
        <f t="shared" si="9"/>
        <v>3628.5714285714284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</row>
    <row r="295" spans="1:14" x14ac:dyDescent="0.25">
      <c r="A295" s="13" t="s">
        <v>843</v>
      </c>
      <c r="B295" s="13" t="s">
        <v>352</v>
      </c>
      <c r="C295" s="13">
        <v>103</v>
      </c>
      <c r="D295" s="13">
        <v>5.9</v>
      </c>
      <c r="E295" s="13">
        <f t="shared" si="8"/>
        <v>1520</v>
      </c>
      <c r="F295" s="13">
        <v>5320</v>
      </c>
      <c r="G295" s="13">
        <v>3.5</v>
      </c>
      <c r="H295" s="13">
        <f t="shared" si="9"/>
        <v>1520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</row>
    <row r="296" spans="1:14" x14ac:dyDescent="0.25">
      <c r="A296" s="13" t="s">
        <v>844</v>
      </c>
      <c r="B296" s="13" t="s">
        <v>353</v>
      </c>
      <c r="C296" s="13">
        <v>1466</v>
      </c>
      <c r="D296" s="13">
        <v>41.7</v>
      </c>
      <c r="E296" s="13">
        <f t="shared" si="8"/>
        <v>8057.1428571428569</v>
      </c>
      <c r="F296" s="13">
        <v>28200</v>
      </c>
      <c r="G296" s="13">
        <v>3.5</v>
      </c>
      <c r="H296" s="13">
        <f t="shared" si="9"/>
        <v>8057.1428571428569</v>
      </c>
      <c r="I296" s="13">
        <v>0</v>
      </c>
      <c r="J296" s="13">
        <v>0</v>
      </c>
      <c r="K296" s="13">
        <v>0</v>
      </c>
      <c r="L296" s="13">
        <v>0</v>
      </c>
      <c r="M296" s="13">
        <v>0</v>
      </c>
      <c r="N296" s="13">
        <v>0</v>
      </c>
    </row>
    <row r="297" spans="1:14" x14ac:dyDescent="0.25">
      <c r="A297" s="13" t="s">
        <v>845</v>
      </c>
      <c r="B297" s="13" t="s">
        <v>354</v>
      </c>
      <c r="C297" s="13">
        <v>463</v>
      </c>
      <c r="D297" s="13">
        <v>17.5</v>
      </c>
      <c r="E297" s="13">
        <f t="shared" si="8"/>
        <v>3514.2857142857142</v>
      </c>
      <c r="F297" s="13">
        <v>12300</v>
      </c>
      <c r="G297" s="13">
        <v>3.5</v>
      </c>
      <c r="H297" s="13">
        <f t="shared" si="9"/>
        <v>3514.2857142857142</v>
      </c>
      <c r="I297" s="13">
        <v>0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</row>
    <row r="298" spans="1:14" x14ac:dyDescent="0.25">
      <c r="A298" s="13" t="s">
        <v>846</v>
      </c>
      <c r="B298" s="13" t="s">
        <v>355</v>
      </c>
      <c r="C298" s="13">
        <v>113</v>
      </c>
      <c r="D298" s="13">
        <v>7</v>
      </c>
      <c r="E298" s="13">
        <f t="shared" si="8"/>
        <v>1894.2857142857142</v>
      </c>
      <c r="F298" s="13">
        <v>6630</v>
      </c>
      <c r="G298" s="13">
        <v>3.5</v>
      </c>
      <c r="H298" s="13">
        <f t="shared" si="9"/>
        <v>1894.2857142857142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</row>
    <row r="299" spans="1:14" x14ac:dyDescent="0.25">
      <c r="A299" s="13" t="s">
        <v>847</v>
      </c>
      <c r="B299" s="13" t="s">
        <v>356</v>
      </c>
      <c r="C299" s="13">
        <v>119</v>
      </c>
      <c r="D299" s="13">
        <v>5.3</v>
      </c>
      <c r="E299" s="13">
        <f t="shared" si="8"/>
        <v>1374.2857142857142</v>
      </c>
      <c r="F299" s="13">
        <v>4810</v>
      </c>
      <c r="G299" s="13">
        <v>3.5</v>
      </c>
      <c r="H299" s="13">
        <f t="shared" si="9"/>
        <v>1374.2857142857142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</row>
    <row r="300" spans="1:14" x14ac:dyDescent="0.25">
      <c r="A300" s="13" t="s">
        <v>848</v>
      </c>
      <c r="B300" s="13" t="s">
        <v>357</v>
      </c>
      <c r="C300" s="13">
        <v>746</v>
      </c>
      <c r="D300" s="13">
        <v>27.5</v>
      </c>
      <c r="E300" s="13">
        <f t="shared" si="8"/>
        <v>10828.571428571429</v>
      </c>
      <c r="F300" s="13">
        <v>37900</v>
      </c>
      <c r="G300" s="13">
        <v>3.5</v>
      </c>
      <c r="H300" s="13">
        <f t="shared" si="9"/>
        <v>10828.571428571429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</row>
    <row r="301" spans="1:14" x14ac:dyDescent="0.25">
      <c r="A301" s="13" t="s">
        <v>849</v>
      </c>
      <c r="B301" s="13" t="s">
        <v>358</v>
      </c>
      <c r="C301" s="13">
        <v>2700</v>
      </c>
      <c r="D301" s="13">
        <v>86.5</v>
      </c>
      <c r="E301" s="13">
        <f t="shared" si="8"/>
        <v>16628.571428571428</v>
      </c>
      <c r="F301" s="13">
        <v>58200</v>
      </c>
      <c r="G301" s="13">
        <v>3.5</v>
      </c>
      <c r="H301" s="13">
        <f t="shared" si="9"/>
        <v>16628.571428571428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</row>
    <row r="302" spans="1:14" x14ac:dyDescent="0.25">
      <c r="A302" s="13" t="s">
        <v>850</v>
      </c>
      <c r="B302" s="13" t="s">
        <v>359</v>
      </c>
      <c r="C302" s="13">
        <v>753</v>
      </c>
      <c r="D302" s="13">
        <v>23.4</v>
      </c>
      <c r="E302" s="13">
        <f t="shared" si="8"/>
        <v>4514.2857142857147</v>
      </c>
      <c r="F302" s="13">
        <v>15800</v>
      </c>
      <c r="G302" s="13">
        <v>3.5</v>
      </c>
      <c r="H302" s="13">
        <f t="shared" si="9"/>
        <v>4514.2857142857147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</row>
    <row r="303" spans="1:14" x14ac:dyDescent="0.25">
      <c r="A303" s="13" t="s">
        <v>851</v>
      </c>
      <c r="B303" s="13" t="s">
        <v>360</v>
      </c>
      <c r="C303" s="13">
        <v>89</v>
      </c>
      <c r="D303" s="13">
        <v>5.2</v>
      </c>
      <c r="E303" s="13">
        <f t="shared" si="8"/>
        <v>1391.4285714285713</v>
      </c>
      <c r="F303" s="13">
        <v>4870</v>
      </c>
      <c r="G303" s="13">
        <v>3.5</v>
      </c>
      <c r="H303" s="13">
        <f t="shared" si="9"/>
        <v>1391.4285714285713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</row>
    <row r="304" spans="1:14" x14ac:dyDescent="0.25">
      <c r="A304" s="13" t="s">
        <v>852</v>
      </c>
      <c r="B304" s="13" t="s">
        <v>361</v>
      </c>
      <c r="C304" s="13">
        <v>228</v>
      </c>
      <c r="D304" s="13">
        <v>8.1999999999999993</v>
      </c>
      <c r="E304" s="13">
        <f t="shared" si="8"/>
        <v>2000</v>
      </c>
      <c r="F304" s="13">
        <v>7000</v>
      </c>
      <c r="G304" s="13">
        <v>3.5</v>
      </c>
      <c r="H304" s="13">
        <f t="shared" si="9"/>
        <v>2000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</row>
    <row r="305" spans="1:14" x14ac:dyDescent="0.25">
      <c r="A305" s="13" t="s">
        <v>853</v>
      </c>
      <c r="B305" s="13" t="s">
        <v>362</v>
      </c>
      <c r="C305" s="13">
        <v>334</v>
      </c>
      <c r="D305" s="13">
        <v>14.1</v>
      </c>
      <c r="E305" s="13">
        <f t="shared" si="8"/>
        <v>3000</v>
      </c>
      <c r="F305" s="13">
        <v>10500</v>
      </c>
      <c r="G305" s="13">
        <v>3.5</v>
      </c>
      <c r="H305" s="13">
        <f t="shared" si="9"/>
        <v>3000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</row>
    <row r="306" spans="1:14" x14ac:dyDescent="0.25">
      <c r="A306" s="13" t="s">
        <v>854</v>
      </c>
      <c r="B306" s="13" t="s">
        <v>363</v>
      </c>
      <c r="C306" s="13">
        <v>229</v>
      </c>
      <c r="D306" s="13">
        <v>10.3</v>
      </c>
      <c r="E306" s="13">
        <f t="shared" si="8"/>
        <v>2582.8571428571427</v>
      </c>
      <c r="F306" s="13">
        <v>9040</v>
      </c>
      <c r="G306" s="13">
        <v>3.5</v>
      </c>
      <c r="H306" s="13">
        <f t="shared" si="9"/>
        <v>2582.8571428571427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</row>
    <row r="307" spans="1:14" x14ac:dyDescent="0.25">
      <c r="A307" s="13" t="s">
        <v>855</v>
      </c>
      <c r="B307" s="13" t="s">
        <v>364</v>
      </c>
      <c r="C307" s="13">
        <v>452</v>
      </c>
      <c r="D307" s="13">
        <v>17.8</v>
      </c>
      <c r="E307" s="13">
        <f t="shared" si="8"/>
        <v>3742.8571428571427</v>
      </c>
      <c r="F307" s="13">
        <v>13100</v>
      </c>
      <c r="G307" s="13">
        <v>3.5</v>
      </c>
      <c r="H307" s="13">
        <f t="shared" si="9"/>
        <v>3742.8571428571427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</row>
    <row r="308" spans="1:14" x14ac:dyDescent="0.25">
      <c r="A308" s="13" t="s">
        <v>856</v>
      </c>
      <c r="B308" s="13" t="s">
        <v>365</v>
      </c>
      <c r="C308" s="13">
        <v>160</v>
      </c>
      <c r="D308" s="13">
        <v>5</v>
      </c>
      <c r="E308" s="13">
        <f t="shared" si="8"/>
        <v>1808.5714285714287</v>
      </c>
      <c r="F308" s="13">
        <v>6330</v>
      </c>
      <c r="G308" s="13">
        <v>3.5</v>
      </c>
      <c r="H308" s="13">
        <f t="shared" si="9"/>
        <v>1808.5714285714287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</row>
    <row r="309" spans="1:14" x14ac:dyDescent="0.25">
      <c r="A309" s="13" t="s">
        <v>857</v>
      </c>
      <c r="B309" s="13" t="s">
        <v>366</v>
      </c>
      <c r="C309" s="13">
        <v>643</v>
      </c>
      <c r="D309" s="13">
        <v>28.3</v>
      </c>
      <c r="E309" s="13">
        <f t="shared" si="8"/>
        <v>7200</v>
      </c>
      <c r="F309" s="13">
        <v>25200</v>
      </c>
      <c r="G309" s="13">
        <v>3.5</v>
      </c>
      <c r="H309" s="13">
        <f t="shared" si="9"/>
        <v>7200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</row>
    <row r="310" spans="1:14" x14ac:dyDescent="0.25">
      <c r="A310" s="13" t="s">
        <v>858</v>
      </c>
      <c r="B310" s="13" t="s">
        <v>367</v>
      </c>
      <c r="C310" s="13">
        <v>503</v>
      </c>
      <c r="D310" s="13">
        <v>13.5</v>
      </c>
      <c r="E310" s="13">
        <f t="shared" si="8"/>
        <v>5342.8571428571431</v>
      </c>
      <c r="F310" s="13">
        <v>18700</v>
      </c>
      <c r="G310" s="13">
        <v>3.5</v>
      </c>
      <c r="H310" s="13">
        <f t="shared" si="9"/>
        <v>5342.8571428571431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</row>
    <row r="311" spans="1:14" x14ac:dyDescent="0.25">
      <c r="A311" s="13" t="s">
        <v>859</v>
      </c>
      <c r="B311" s="13" t="s">
        <v>368</v>
      </c>
      <c r="C311" s="13">
        <v>487</v>
      </c>
      <c r="D311" s="13">
        <v>21.7</v>
      </c>
      <c r="E311" s="13">
        <f t="shared" si="8"/>
        <v>5485.7142857142853</v>
      </c>
      <c r="F311" s="13">
        <v>19200</v>
      </c>
      <c r="G311" s="13">
        <v>3.5</v>
      </c>
      <c r="H311" s="13">
        <f t="shared" si="9"/>
        <v>5485.7142857142853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</row>
    <row r="312" spans="1:14" x14ac:dyDescent="0.25">
      <c r="A312" s="13" t="s">
        <v>860</v>
      </c>
      <c r="B312" s="13" t="s">
        <v>370</v>
      </c>
      <c r="C312" s="13">
        <v>1041</v>
      </c>
      <c r="D312" s="13">
        <v>27.2</v>
      </c>
      <c r="E312" s="13">
        <f t="shared" si="8"/>
        <v>10114.285714285714</v>
      </c>
      <c r="F312" s="13">
        <v>35400</v>
      </c>
      <c r="G312" s="13">
        <v>3.5</v>
      </c>
      <c r="H312" s="13">
        <f t="shared" si="9"/>
        <v>10114.285714285714</v>
      </c>
      <c r="I312" s="13">
        <v>0</v>
      </c>
      <c r="J312" s="13">
        <v>0</v>
      </c>
      <c r="K312" s="13">
        <v>0</v>
      </c>
      <c r="L312" s="13">
        <v>0</v>
      </c>
      <c r="M312" s="13">
        <v>0</v>
      </c>
      <c r="N312" s="13">
        <v>0</v>
      </c>
    </row>
    <row r="313" spans="1:14" x14ac:dyDescent="0.25">
      <c r="A313" s="13" t="s">
        <v>861</v>
      </c>
      <c r="B313" s="13" t="s">
        <v>371</v>
      </c>
      <c r="C313" s="13">
        <v>179</v>
      </c>
      <c r="D313" s="13">
        <v>6</v>
      </c>
      <c r="E313" s="13">
        <f t="shared" si="8"/>
        <v>1285.7142857142858</v>
      </c>
      <c r="F313" s="13">
        <v>4500</v>
      </c>
      <c r="G313" s="13">
        <v>3.5</v>
      </c>
      <c r="H313" s="13">
        <f t="shared" si="9"/>
        <v>1285.7142857142858</v>
      </c>
      <c r="I313" s="13">
        <v>0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</row>
    <row r="314" spans="1:14" x14ac:dyDescent="0.25">
      <c r="A314" s="13" t="s">
        <v>862</v>
      </c>
      <c r="B314" s="13" t="s">
        <v>372</v>
      </c>
      <c r="C314" s="13">
        <v>625</v>
      </c>
      <c r="D314" s="13">
        <v>19.100000000000001</v>
      </c>
      <c r="E314" s="13">
        <f t="shared" si="8"/>
        <v>3800</v>
      </c>
      <c r="F314" s="13">
        <v>13300</v>
      </c>
      <c r="G314" s="13">
        <v>3.5</v>
      </c>
      <c r="H314" s="13">
        <f t="shared" si="9"/>
        <v>3800</v>
      </c>
      <c r="I314" s="13">
        <v>0</v>
      </c>
      <c r="J314" s="13">
        <v>0</v>
      </c>
      <c r="K314" s="13">
        <v>0</v>
      </c>
      <c r="L314" s="13">
        <v>0</v>
      </c>
      <c r="M314" s="13">
        <v>0</v>
      </c>
      <c r="N314" s="13">
        <v>0</v>
      </c>
    </row>
    <row r="315" spans="1:14" x14ac:dyDescent="0.25">
      <c r="A315" s="13" t="s">
        <v>863</v>
      </c>
      <c r="B315" s="13" t="s">
        <v>373</v>
      </c>
      <c r="C315" s="13">
        <v>256</v>
      </c>
      <c r="D315" s="13">
        <v>11.3</v>
      </c>
      <c r="E315" s="13">
        <f t="shared" si="8"/>
        <v>2008.5714285714287</v>
      </c>
      <c r="F315" s="13">
        <v>7030</v>
      </c>
      <c r="G315" s="13">
        <v>3.5</v>
      </c>
      <c r="H315" s="13">
        <f t="shared" si="9"/>
        <v>2008.5714285714287</v>
      </c>
      <c r="I315" s="13">
        <v>0</v>
      </c>
      <c r="J315" s="13">
        <v>0</v>
      </c>
      <c r="K315" s="13">
        <v>0</v>
      </c>
      <c r="L315" s="13">
        <v>0</v>
      </c>
      <c r="M315" s="13">
        <v>0</v>
      </c>
      <c r="N315" s="13">
        <v>0</v>
      </c>
    </row>
    <row r="316" spans="1:14" x14ac:dyDescent="0.25">
      <c r="A316" s="13" t="s">
        <v>864</v>
      </c>
      <c r="B316" s="13" t="s">
        <v>374</v>
      </c>
      <c r="C316" s="13">
        <v>423</v>
      </c>
      <c r="D316" s="13">
        <v>15.1</v>
      </c>
      <c r="E316" s="13">
        <f t="shared" si="8"/>
        <v>5514.2857142857147</v>
      </c>
      <c r="F316" s="13">
        <v>19300</v>
      </c>
      <c r="G316" s="13">
        <v>3.5</v>
      </c>
      <c r="H316" s="13">
        <f t="shared" si="9"/>
        <v>5514.2857142857147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</row>
    <row r="317" spans="1:14" x14ac:dyDescent="0.25">
      <c r="A317" s="13" t="s">
        <v>865</v>
      </c>
      <c r="B317" s="13" t="s">
        <v>375</v>
      </c>
      <c r="C317" s="13">
        <v>1296</v>
      </c>
      <c r="D317" s="13">
        <v>32.9</v>
      </c>
      <c r="E317" s="13">
        <f t="shared" si="8"/>
        <v>13085.714285714286</v>
      </c>
      <c r="F317" s="13">
        <v>45800</v>
      </c>
      <c r="G317" s="13">
        <v>3.5</v>
      </c>
      <c r="H317" s="13">
        <f t="shared" si="9"/>
        <v>13085.714285714286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</row>
    <row r="318" spans="1:14" x14ac:dyDescent="0.25">
      <c r="A318" s="13" t="s">
        <v>866</v>
      </c>
      <c r="B318" s="13" t="s">
        <v>376</v>
      </c>
      <c r="C318" s="13">
        <v>333</v>
      </c>
      <c r="D318" s="13">
        <v>14.3</v>
      </c>
      <c r="E318" s="13">
        <f t="shared" si="8"/>
        <v>3114.2857142857142</v>
      </c>
      <c r="F318" s="13">
        <v>10900</v>
      </c>
      <c r="G318" s="13">
        <v>3.5</v>
      </c>
      <c r="H318" s="13">
        <f t="shared" si="9"/>
        <v>3114.2857142857142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</row>
    <row r="319" spans="1:14" x14ac:dyDescent="0.25">
      <c r="A319" s="13" t="s">
        <v>867</v>
      </c>
      <c r="B319" s="13" t="s">
        <v>377</v>
      </c>
      <c r="C319" s="13">
        <v>420</v>
      </c>
      <c r="D319" s="13">
        <v>18.100000000000001</v>
      </c>
      <c r="E319" s="13">
        <f t="shared" si="8"/>
        <v>5657.1428571428569</v>
      </c>
      <c r="F319" s="13">
        <v>19800</v>
      </c>
      <c r="G319" s="13">
        <v>3.5</v>
      </c>
      <c r="H319" s="13">
        <f t="shared" si="9"/>
        <v>5657.1428571428569</v>
      </c>
      <c r="I319" s="13">
        <v>0</v>
      </c>
      <c r="J319" s="13">
        <v>0</v>
      </c>
      <c r="K319" s="13">
        <v>0</v>
      </c>
      <c r="L319" s="13">
        <v>0</v>
      </c>
      <c r="M319" s="13">
        <v>0</v>
      </c>
      <c r="N319" s="13">
        <v>0</v>
      </c>
    </row>
    <row r="320" spans="1:14" x14ac:dyDescent="0.25">
      <c r="A320" s="13" t="s">
        <v>868</v>
      </c>
      <c r="B320" s="13" t="s">
        <v>378</v>
      </c>
      <c r="C320" s="13">
        <v>127</v>
      </c>
      <c r="D320" s="13">
        <v>5.3</v>
      </c>
      <c r="E320" s="13">
        <f t="shared" si="8"/>
        <v>2051.4285714285716</v>
      </c>
      <c r="F320" s="13">
        <v>7180</v>
      </c>
      <c r="G320" s="13">
        <v>3.5</v>
      </c>
      <c r="H320" s="13">
        <f t="shared" si="9"/>
        <v>2051.4285714285716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0</v>
      </c>
    </row>
    <row r="321" spans="1:14" x14ac:dyDescent="0.25">
      <c r="A321" s="13" t="s">
        <v>869</v>
      </c>
      <c r="B321" s="13" t="s">
        <v>379</v>
      </c>
      <c r="C321" s="13">
        <v>704</v>
      </c>
      <c r="D321" s="13">
        <v>16.600000000000001</v>
      </c>
      <c r="E321" s="13">
        <f t="shared" si="8"/>
        <v>6200</v>
      </c>
      <c r="F321" s="13">
        <v>21700</v>
      </c>
      <c r="G321" s="13">
        <v>3.5</v>
      </c>
      <c r="H321" s="13">
        <f t="shared" si="9"/>
        <v>6200</v>
      </c>
      <c r="I321" s="13">
        <v>0</v>
      </c>
      <c r="J321" s="13">
        <v>0</v>
      </c>
      <c r="K321" s="13">
        <v>0</v>
      </c>
      <c r="L321" s="13">
        <v>0</v>
      </c>
      <c r="M321" s="13">
        <v>0</v>
      </c>
      <c r="N321" s="13">
        <v>0</v>
      </c>
    </row>
    <row r="322" spans="1:14" x14ac:dyDescent="0.25">
      <c r="A322" s="13" t="s">
        <v>870</v>
      </c>
      <c r="B322" s="13" t="s">
        <v>380</v>
      </c>
      <c r="C322" s="13">
        <v>321</v>
      </c>
      <c r="D322" s="13">
        <v>14.9</v>
      </c>
      <c r="E322" s="13">
        <f t="shared" si="8"/>
        <v>5514.2857142857147</v>
      </c>
      <c r="F322" s="13">
        <v>19300</v>
      </c>
      <c r="G322" s="13">
        <v>3.5</v>
      </c>
      <c r="H322" s="13">
        <f t="shared" si="9"/>
        <v>5514.2857142857147</v>
      </c>
      <c r="I322" s="13">
        <v>0</v>
      </c>
      <c r="J322" s="13">
        <v>0</v>
      </c>
      <c r="K322" s="13">
        <v>0</v>
      </c>
      <c r="L322" s="13">
        <v>0</v>
      </c>
      <c r="M322" s="13">
        <v>0</v>
      </c>
      <c r="N322" s="13">
        <v>0</v>
      </c>
    </row>
    <row r="323" spans="1:14" x14ac:dyDescent="0.25">
      <c r="A323" s="13" t="s">
        <v>871</v>
      </c>
      <c r="B323" s="13" t="s">
        <v>381</v>
      </c>
      <c r="C323" s="13">
        <v>555</v>
      </c>
      <c r="D323" s="13">
        <v>21.3</v>
      </c>
      <c r="E323" s="13">
        <f t="shared" ref="E323:E386" si="10">F323/G323</f>
        <v>6628.5714285714284</v>
      </c>
      <c r="F323" s="13">
        <v>23200</v>
      </c>
      <c r="G323" s="13">
        <v>3.5</v>
      </c>
      <c r="H323" s="13">
        <f t="shared" ref="H323:H386" si="11">(F323/G323)-SUM(I323:N323)</f>
        <v>6628.5714285714284</v>
      </c>
      <c r="I323" s="13">
        <v>0</v>
      </c>
      <c r="J323" s="13">
        <v>0</v>
      </c>
      <c r="K323" s="13">
        <v>0</v>
      </c>
      <c r="L323" s="13">
        <v>0</v>
      </c>
      <c r="M323" s="13">
        <v>0</v>
      </c>
      <c r="N323" s="13">
        <v>0</v>
      </c>
    </row>
    <row r="324" spans="1:14" x14ac:dyDescent="0.25">
      <c r="A324" s="13" t="s">
        <v>872</v>
      </c>
      <c r="B324" s="13" t="s">
        <v>382</v>
      </c>
      <c r="C324" s="13">
        <v>185</v>
      </c>
      <c r="D324" s="13">
        <v>9.9</v>
      </c>
      <c r="E324" s="13">
        <f t="shared" si="10"/>
        <v>2262.8571428571427</v>
      </c>
      <c r="F324" s="13">
        <v>7920</v>
      </c>
      <c r="G324" s="13">
        <v>3.5</v>
      </c>
      <c r="H324" s="13">
        <f t="shared" si="11"/>
        <v>2262.8571428571427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</row>
    <row r="325" spans="1:14" x14ac:dyDescent="0.25">
      <c r="A325" s="13" t="s">
        <v>873</v>
      </c>
      <c r="B325" s="13" t="s">
        <v>383</v>
      </c>
      <c r="C325" s="13">
        <v>568</v>
      </c>
      <c r="D325" s="13">
        <v>24.6</v>
      </c>
      <c r="E325" s="13">
        <f t="shared" si="10"/>
        <v>5171.4285714285716</v>
      </c>
      <c r="F325" s="13">
        <v>18100</v>
      </c>
      <c r="G325" s="13">
        <v>3.5</v>
      </c>
      <c r="H325" s="13">
        <f t="shared" si="11"/>
        <v>5171.4285714285716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</row>
    <row r="326" spans="1:14" x14ac:dyDescent="0.25">
      <c r="A326" s="13" t="s">
        <v>874</v>
      </c>
      <c r="B326" s="13" t="s">
        <v>384</v>
      </c>
      <c r="C326" s="13">
        <v>525</v>
      </c>
      <c r="D326" s="13">
        <v>27.4</v>
      </c>
      <c r="E326" s="13">
        <f t="shared" si="10"/>
        <v>7428.5714285714284</v>
      </c>
      <c r="F326" s="13">
        <v>26000</v>
      </c>
      <c r="G326" s="13">
        <v>3.5</v>
      </c>
      <c r="H326" s="13">
        <f t="shared" si="11"/>
        <v>7428.5714285714284</v>
      </c>
      <c r="I326" s="13">
        <v>0</v>
      </c>
      <c r="J326" s="13">
        <v>0</v>
      </c>
      <c r="K326" s="13">
        <v>0</v>
      </c>
      <c r="L326" s="13">
        <v>0</v>
      </c>
      <c r="M326" s="13">
        <v>0</v>
      </c>
      <c r="N326" s="13">
        <v>0</v>
      </c>
    </row>
    <row r="327" spans="1:14" x14ac:dyDescent="0.25">
      <c r="A327" s="13" t="s">
        <v>875</v>
      </c>
      <c r="B327" s="13" t="s">
        <v>385</v>
      </c>
      <c r="C327" s="13">
        <v>455</v>
      </c>
      <c r="D327" s="13">
        <v>17</v>
      </c>
      <c r="E327" s="13">
        <f t="shared" si="10"/>
        <v>5885.7142857142853</v>
      </c>
      <c r="F327" s="13">
        <v>20600</v>
      </c>
      <c r="G327" s="13">
        <v>3.5</v>
      </c>
      <c r="H327" s="13">
        <f t="shared" si="11"/>
        <v>5885.7142857142853</v>
      </c>
      <c r="I327" s="13">
        <v>0</v>
      </c>
      <c r="J327" s="13">
        <v>0</v>
      </c>
      <c r="K327" s="13">
        <v>0</v>
      </c>
      <c r="L327" s="13">
        <v>0</v>
      </c>
      <c r="M327" s="13">
        <v>0</v>
      </c>
      <c r="N327" s="13">
        <v>0</v>
      </c>
    </row>
    <row r="328" spans="1:14" x14ac:dyDescent="0.25">
      <c r="A328" s="13" t="s">
        <v>876</v>
      </c>
      <c r="B328" s="13" t="s">
        <v>386</v>
      </c>
      <c r="C328" s="13">
        <v>893</v>
      </c>
      <c r="D328" s="13">
        <v>29.4</v>
      </c>
      <c r="E328" s="13">
        <f t="shared" si="10"/>
        <v>10428.571428571429</v>
      </c>
      <c r="F328" s="13">
        <v>36500</v>
      </c>
      <c r="G328" s="13">
        <v>3.5</v>
      </c>
      <c r="H328" s="13">
        <f t="shared" si="11"/>
        <v>10428.571428571429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</row>
    <row r="329" spans="1:14" x14ac:dyDescent="0.25">
      <c r="A329" s="13" t="s">
        <v>877</v>
      </c>
      <c r="B329" s="13" t="s">
        <v>387</v>
      </c>
      <c r="C329" s="13">
        <v>987</v>
      </c>
      <c r="D329" s="13">
        <v>38.700000000000003</v>
      </c>
      <c r="E329" s="13">
        <f t="shared" si="10"/>
        <v>8400</v>
      </c>
      <c r="F329" s="13">
        <v>29400</v>
      </c>
      <c r="G329" s="13">
        <v>3.5</v>
      </c>
      <c r="H329" s="13">
        <f t="shared" si="11"/>
        <v>8400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</row>
    <row r="330" spans="1:14" x14ac:dyDescent="0.25">
      <c r="A330" s="13" t="s">
        <v>878</v>
      </c>
      <c r="B330" s="13" t="s">
        <v>388</v>
      </c>
      <c r="C330" s="13">
        <v>338</v>
      </c>
      <c r="D330" s="13">
        <v>10.6</v>
      </c>
      <c r="E330" s="13">
        <f t="shared" si="10"/>
        <v>3714.2857142857142</v>
      </c>
      <c r="F330" s="13">
        <v>13000</v>
      </c>
      <c r="G330" s="13">
        <v>3.5</v>
      </c>
      <c r="H330" s="13">
        <f t="shared" si="11"/>
        <v>3714.2857142857142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</row>
    <row r="331" spans="1:14" x14ac:dyDescent="0.25">
      <c r="A331" s="13" t="s">
        <v>879</v>
      </c>
      <c r="B331" s="13" t="s">
        <v>389</v>
      </c>
      <c r="C331" s="13">
        <v>80</v>
      </c>
      <c r="D331" s="13">
        <v>2.5</v>
      </c>
      <c r="E331" s="13">
        <f t="shared" si="10"/>
        <v>885.71428571428567</v>
      </c>
      <c r="F331" s="13">
        <v>3100</v>
      </c>
      <c r="G331" s="13">
        <v>3.5</v>
      </c>
      <c r="H331" s="13">
        <f t="shared" si="11"/>
        <v>885.71428571428567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</row>
    <row r="332" spans="1:14" x14ac:dyDescent="0.25">
      <c r="A332" s="13" t="s">
        <v>880</v>
      </c>
      <c r="B332" s="13" t="s">
        <v>390</v>
      </c>
      <c r="C332" s="13">
        <v>1250</v>
      </c>
      <c r="D332" s="13">
        <v>43.6</v>
      </c>
      <c r="E332" s="13">
        <f t="shared" si="10"/>
        <v>10085.714285714286</v>
      </c>
      <c r="F332" s="13">
        <v>35300</v>
      </c>
      <c r="G332" s="13">
        <v>3.5</v>
      </c>
      <c r="H332" s="13">
        <f t="shared" si="11"/>
        <v>10085.714285714286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</row>
    <row r="333" spans="1:14" x14ac:dyDescent="0.25">
      <c r="A333" s="13" t="s">
        <v>881</v>
      </c>
      <c r="B333" s="13" t="s">
        <v>391</v>
      </c>
      <c r="C333" s="13">
        <v>327</v>
      </c>
      <c r="D333" s="13">
        <v>16.899999999999999</v>
      </c>
      <c r="E333" s="13">
        <f t="shared" si="10"/>
        <v>4400</v>
      </c>
      <c r="F333" s="13">
        <v>15400</v>
      </c>
      <c r="G333" s="13">
        <v>3.5</v>
      </c>
      <c r="H333" s="13">
        <f t="shared" si="11"/>
        <v>4400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</row>
    <row r="334" spans="1:14" x14ac:dyDescent="0.25">
      <c r="A334" s="13" t="s">
        <v>882</v>
      </c>
      <c r="B334" s="13" t="s">
        <v>393</v>
      </c>
      <c r="C334" s="13">
        <v>264</v>
      </c>
      <c r="D334" s="13">
        <v>10.5</v>
      </c>
      <c r="E334" s="13">
        <f t="shared" si="10"/>
        <v>1888.5714285714287</v>
      </c>
      <c r="F334" s="13">
        <v>6610</v>
      </c>
      <c r="G334" s="13">
        <v>3.5</v>
      </c>
      <c r="H334" s="13">
        <f t="shared" si="11"/>
        <v>1888.5714285714287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</row>
    <row r="335" spans="1:14" x14ac:dyDescent="0.25">
      <c r="A335" s="13" t="s">
        <v>883</v>
      </c>
      <c r="B335" s="13" t="s">
        <v>394</v>
      </c>
      <c r="C335" s="13">
        <v>311</v>
      </c>
      <c r="D335" s="13">
        <v>13.5</v>
      </c>
      <c r="E335" s="13">
        <f t="shared" si="10"/>
        <v>3028.5714285714284</v>
      </c>
      <c r="F335" s="13">
        <v>10600</v>
      </c>
      <c r="G335" s="13">
        <v>3.5</v>
      </c>
      <c r="H335" s="13">
        <f t="shared" si="11"/>
        <v>3028.5714285714284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</row>
    <row r="336" spans="1:14" x14ac:dyDescent="0.25">
      <c r="A336" s="13" t="s">
        <v>884</v>
      </c>
      <c r="B336" s="13" t="s">
        <v>395</v>
      </c>
      <c r="C336" s="13">
        <v>241</v>
      </c>
      <c r="D336" s="13">
        <v>14.3</v>
      </c>
      <c r="E336" s="13">
        <f t="shared" si="10"/>
        <v>3371.4285714285716</v>
      </c>
      <c r="F336" s="13">
        <v>11800</v>
      </c>
      <c r="G336" s="13">
        <v>3.5</v>
      </c>
      <c r="H336" s="13">
        <f t="shared" si="11"/>
        <v>3371.4285714285716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</row>
    <row r="337" spans="1:14" x14ac:dyDescent="0.25">
      <c r="A337" s="13" t="s">
        <v>885</v>
      </c>
      <c r="B337" s="13" t="s">
        <v>396</v>
      </c>
      <c r="C337" s="13">
        <v>1716</v>
      </c>
      <c r="D337" s="13">
        <v>44.6</v>
      </c>
      <c r="E337" s="13">
        <f t="shared" si="10"/>
        <v>17342.857142857141</v>
      </c>
      <c r="F337" s="13">
        <v>60700</v>
      </c>
      <c r="G337" s="13">
        <v>3.5</v>
      </c>
      <c r="H337" s="13">
        <f t="shared" si="11"/>
        <v>17342.857142857141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</row>
    <row r="338" spans="1:14" x14ac:dyDescent="0.25">
      <c r="A338" s="13" t="s">
        <v>886</v>
      </c>
      <c r="B338" s="13" t="s">
        <v>397</v>
      </c>
      <c r="C338" s="13">
        <v>1827</v>
      </c>
      <c r="D338" s="13">
        <v>64</v>
      </c>
      <c r="E338" s="13">
        <f t="shared" si="10"/>
        <v>12400</v>
      </c>
      <c r="F338" s="13">
        <v>43400</v>
      </c>
      <c r="G338" s="13">
        <v>3.5</v>
      </c>
      <c r="H338" s="13">
        <f t="shared" si="11"/>
        <v>12400</v>
      </c>
      <c r="I338" s="13">
        <v>0</v>
      </c>
      <c r="J338" s="13">
        <v>0</v>
      </c>
      <c r="K338" s="13">
        <v>0</v>
      </c>
      <c r="L338" s="13">
        <v>0</v>
      </c>
      <c r="M338" s="13">
        <v>0</v>
      </c>
      <c r="N338" s="13">
        <v>0</v>
      </c>
    </row>
    <row r="339" spans="1:14" x14ac:dyDescent="0.25">
      <c r="A339" s="13" t="s">
        <v>887</v>
      </c>
      <c r="B339" s="13" t="s">
        <v>398</v>
      </c>
      <c r="C339" s="13">
        <v>198</v>
      </c>
      <c r="D339" s="13">
        <v>8.3000000000000007</v>
      </c>
      <c r="E339" s="13">
        <f t="shared" si="10"/>
        <v>1808.5714285714287</v>
      </c>
      <c r="F339" s="13">
        <v>6330</v>
      </c>
      <c r="G339" s="13">
        <v>3.5</v>
      </c>
      <c r="H339" s="13">
        <f t="shared" si="11"/>
        <v>1808.5714285714287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</row>
    <row r="340" spans="1:14" x14ac:dyDescent="0.25">
      <c r="A340" s="13" t="s">
        <v>888</v>
      </c>
      <c r="B340" s="13" t="s">
        <v>399</v>
      </c>
      <c r="C340" s="13">
        <v>124</v>
      </c>
      <c r="D340" s="13">
        <v>6.1</v>
      </c>
      <c r="E340" s="13">
        <f t="shared" si="10"/>
        <v>2222.8571428571427</v>
      </c>
      <c r="F340" s="13">
        <v>7780</v>
      </c>
      <c r="G340" s="13">
        <v>3.5</v>
      </c>
      <c r="H340" s="13">
        <f t="shared" si="11"/>
        <v>2222.8571428571427</v>
      </c>
      <c r="I340" s="13">
        <v>0</v>
      </c>
      <c r="J340" s="13">
        <v>0</v>
      </c>
      <c r="K340" s="13">
        <v>0</v>
      </c>
      <c r="L340" s="13">
        <v>0</v>
      </c>
      <c r="M340" s="13">
        <v>0</v>
      </c>
      <c r="N340" s="13">
        <v>0</v>
      </c>
    </row>
    <row r="341" spans="1:14" x14ac:dyDescent="0.25">
      <c r="A341" s="13" t="s">
        <v>889</v>
      </c>
      <c r="B341" s="13" t="s">
        <v>400</v>
      </c>
      <c r="C341" s="13">
        <v>1007</v>
      </c>
      <c r="D341" s="13">
        <v>24.7</v>
      </c>
      <c r="E341" s="13">
        <f t="shared" si="10"/>
        <v>9514.2857142857138</v>
      </c>
      <c r="F341" s="13">
        <v>33300</v>
      </c>
      <c r="G341" s="13">
        <v>3.5</v>
      </c>
      <c r="H341" s="13">
        <f t="shared" si="11"/>
        <v>9514.2857142857138</v>
      </c>
      <c r="I341" s="13">
        <v>0</v>
      </c>
      <c r="J341" s="13">
        <v>0</v>
      </c>
      <c r="K341" s="13">
        <v>0</v>
      </c>
      <c r="L341" s="13">
        <v>0</v>
      </c>
      <c r="M341" s="13">
        <v>0</v>
      </c>
      <c r="N341" s="13">
        <v>0</v>
      </c>
    </row>
    <row r="342" spans="1:14" x14ac:dyDescent="0.25">
      <c r="A342" s="13" t="s">
        <v>890</v>
      </c>
      <c r="B342" s="13" t="s">
        <v>401</v>
      </c>
      <c r="C342" s="13">
        <v>470</v>
      </c>
      <c r="D342" s="13">
        <v>19</v>
      </c>
      <c r="E342" s="13">
        <f t="shared" si="10"/>
        <v>4200</v>
      </c>
      <c r="F342" s="13">
        <v>14700</v>
      </c>
      <c r="G342" s="13">
        <v>3.5</v>
      </c>
      <c r="H342" s="13">
        <f t="shared" si="11"/>
        <v>4200</v>
      </c>
      <c r="I342" s="13">
        <v>0</v>
      </c>
      <c r="J342" s="13">
        <v>0</v>
      </c>
      <c r="K342" s="13">
        <v>0</v>
      </c>
      <c r="L342" s="13">
        <v>0</v>
      </c>
      <c r="M342" s="13">
        <v>0</v>
      </c>
      <c r="N342" s="13">
        <v>0</v>
      </c>
    </row>
    <row r="343" spans="1:14" x14ac:dyDescent="0.25">
      <c r="A343" s="13" t="s">
        <v>891</v>
      </c>
      <c r="B343" s="13" t="s">
        <v>402</v>
      </c>
      <c r="C343" s="13">
        <v>791</v>
      </c>
      <c r="D343" s="13">
        <v>30.5</v>
      </c>
      <c r="E343" s="13">
        <f t="shared" si="10"/>
        <v>6200</v>
      </c>
      <c r="F343" s="13">
        <v>21700</v>
      </c>
      <c r="G343" s="13">
        <v>3.5</v>
      </c>
      <c r="H343" s="13">
        <f t="shared" si="11"/>
        <v>6200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</row>
    <row r="344" spans="1:14" x14ac:dyDescent="0.25">
      <c r="A344" s="13" t="s">
        <v>892</v>
      </c>
      <c r="B344" s="13" t="s">
        <v>403</v>
      </c>
      <c r="C344" s="13">
        <v>181</v>
      </c>
      <c r="D344" s="13">
        <v>6.9</v>
      </c>
      <c r="E344" s="13">
        <f t="shared" si="10"/>
        <v>2662.8571428571427</v>
      </c>
      <c r="F344" s="13">
        <v>9320</v>
      </c>
      <c r="G344" s="13">
        <v>3.5</v>
      </c>
      <c r="H344" s="13">
        <f t="shared" si="11"/>
        <v>2662.8571428571427</v>
      </c>
      <c r="I344" s="13">
        <v>0</v>
      </c>
      <c r="J344" s="13">
        <v>0</v>
      </c>
      <c r="K344" s="13">
        <v>0</v>
      </c>
      <c r="L344" s="13">
        <v>0</v>
      </c>
      <c r="M344" s="13">
        <v>0</v>
      </c>
      <c r="N344" s="13">
        <v>0</v>
      </c>
    </row>
    <row r="345" spans="1:14" x14ac:dyDescent="0.25">
      <c r="A345" s="13" t="s">
        <v>893</v>
      </c>
      <c r="B345" s="13" t="s">
        <v>404</v>
      </c>
      <c r="C345" s="13">
        <v>2441</v>
      </c>
      <c r="D345" s="13">
        <v>57.3</v>
      </c>
      <c r="E345" s="13">
        <f t="shared" si="10"/>
        <v>20514.285714285714</v>
      </c>
      <c r="F345" s="13">
        <v>71800</v>
      </c>
      <c r="G345" s="13">
        <v>3.5</v>
      </c>
      <c r="H345" s="13">
        <f t="shared" si="11"/>
        <v>20514.285714285714</v>
      </c>
      <c r="I345" s="13">
        <v>0</v>
      </c>
      <c r="J345" s="13">
        <v>0</v>
      </c>
      <c r="K345" s="13">
        <v>0</v>
      </c>
      <c r="L345" s="13">
        <v>0</v>
      </c>
      <c r="M345" s="13">
        <v>0</v>
      </c>
      <c r="N345" s="13">
        <v>0</v>
      </c>
    </row>
    <row r="346" spans="1:14" x14ac:dyDescent="0.25">
      <c r="A346" s="13" t="s">
        <v>894</v>
      </c>
      <c r="B346" s="13" t="s">
        <v>405</v>
      </c>
      <c r="C346" s="13">
        <v>5728</v>
      </c>
      <c r="D346" s="13">
        <v>159.6</v>
      </c>
      <c r="E346" s="13">
        <f t="shared" si="10"/>
        <v>31714.285714285714</v>
      </c>
      <c r="F346" s="13">
        <v>111000</v>
      </c>
      <c r="G346" s="13">
        <v>3.5</v>
      </c>
      <c r="H346" s="13">
        <f t="shared" si="11"/>
        <v>31714.285714285714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</row>
    <row r="347" spans="1:14" x14ac:dyDescent="0.25">
      <c r="A347" s="13" t="s">
        <v>895</v>
      </c>
      <c r="B347" s="13" t="s">
        <v>406</v>
      </c>
      <c r="C347" s="13">
        <v>1102</v>
      </c>
      <c r="D347" s="13">
        <v>35.299999999999997</v>
      </c>
      <c r="E347" s="13">
        <f t="shared" si="10"/>
        <v>13342.857142857143</v>
      </c>
      <c r="F347" s="13">
        <v>46700</v>
      </c>
      <c r="G347" s="13">
        <v>3.5</v>
      </c>
      <c r="H347" s="13">
        <f t="shared" si="11"/>
        <v>13342.857142857143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</row>
    <row r="348" spans="1:14" x14ac:dyDescent="0.25">
      <c r="A348" s="13" t="s">
        <v>896</v>
      </c>
      <c r="B348" s="13" t="s">
        <v>407</v>
      </c>
      <c r="C348" s="13">
        <v>2594</v>
      </c>
      <c r="D348" s="13">
        <v>82.5</v>
      </c>
      <c r="E348" s="13">
        <f t="shared" si="10"/>
        <v>15885.714285714286</v>
      </c>
      <c r="F348" s="13">
        <v>55600</v>
      </c>
      <c r="G348" s="13">
        <v>3.5</v>
      </c>
      <c r="H348" s="13">
        <f t="shared" si="11"/>
        <v>15885.714285714286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</row>
    <row r="349" spans="1:14" x14ac:dyDescent="0.25">
      <c r="A349" s="13" t="s">
        <v>897</v>
      </c>
      <c r="B349" s="13" t="s">
        <v>408</v>
      </c>
      <c r="C349" s="13">
        <v>1380</v>
      </c>
      <c r="D349" s="13">
        <v>56.8</v>
      </c>
      <c r="E349" s="13">
        <f t="shared" si="10"/>
        <v>14057.142857142857</v>
      </c>
      <c r="F349" s="13">
        <v>49200</v>
      </c>
      <c r="G349" s="13">
        <v>3.5</v>
      </c>
      <c r="H349" s="13">
        <f t="shared" si="11"/>
        <v>14057.142857142857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</row>
    <row r="350" spans="1:14" x14ac:dyDescent="0.25">
      <c r="A350" s="13" t="s">
        <v>898</v>
      </c>
      <c r="B350" s="13" t="s">
        <v>409</v>
      </c>
      <c r="C350" s="13">
        <v>1286</v>
      </c>
      <c r="D350" s="13">
        <v>39.6</v>
      </c>
      <c r="E350" s="13">
        <f t="shared" si="10"/>
        <v>7942.8571428571431</v>
      </c>
      <c r="F350" s="13">
        <v>27800</v>
      </c>
      <c r="G350" s="13">
        <v>3.5</v>
      </c>
      <c r="H350" s="13">
        <f t="shared" si="11"/>
        <v>7942.8571428571431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</row>
    <row r="351" spans="1:14" x14ac:dyDescent="0.25">
      <c r="A351" s="13" t="s">
        <v>899</v>
      </c>
      <c r="B351" s="13" t="s">
        <v>410</v>
      </c>
      <c r="C351" s="13">
        <v>2939</v>
      </c>
      <c r="D351" s="13">
        <v>95.5</v>
      </c>
      <c r="E351" s="13">
        <f t="shared" si="10"/>
        <v>18685.714285714286</v>
      </c>
      <c r="F351" s="13">
        <v>65400</v>
      </c>
      <c r="G351" s="13">
        <v>3.5</v>
      </c>
      <c r="H351" s="13">
        <f t="shared" si="11"/>
        <v>18685.714285714286</v>
      </c>
      <c r="I351" s="13">
        <v>0</v>
      </c>
      <c r="J351" s="13">
        <v>0</v>
      </c>
      <c r="K351" s="13">
        <v>0</v>
      </c>
      <c r="L351" s="13">
        <v>0</v>
      </c>
      <c r="M351" s="13">
        <v>0</v>
      </c>
      <c r="N351" s="13">
        <v>0</v>
      </c>
    </row>
    <row r="352" spans="1:14" x14ac:dyDescent="0.25">
      <c r="A352" s="13" t="s">
        <v>900</v>
      </c>
      <c r="B352" s="13" t="s">
        <v>411</v>
      </c>
      <c r="C352" s="13">
        <v>1840</v>
      </c>
      <c r="D352" s="13">
        <v>162.69999999999999</v>
      </c>
      <c r="E352" s="13">
        <f t="shared" si="10"/>
        <v>161714.28571428571</v>
      </c>
      <c r="F352" s="13">
        <v>566000</v>
      </c>
      <c r="G352" s="13">
        <v>3.5</v>
      </c>
      <c r="H352" s="13">
        <f t="shared" si="11"/>
        <v>161714.28571428571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</row>
    <row r="353" spans="1:14" x14ac:dyDescent="0.25">
      <c r="A353" s="13" t="s">
        <v>901</v>
      </c>
      <c r="B353" s="13" t="s">
        <v>412</v>
      </c>
      <c r="C353" s="13">
        <v>982</v>
      </c>
      <c r="D353" s="13">
        <v>28.2</v>
      </c>
      <c r="E353" s="13">
        <f t="shared" si="10"/>
        <v>9885.7142857142862</v>
      </c>
      <c r="F353" s="13">
        <v>34600</v>
      </c>
      <c r="G353" s="13">
        <v>3.5</v>
      </c>
      <c r="H353" s="13">
        <f t="shared" si="11"/>
        <v>9885.7142857142862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</row>
    <row r="354" spans="1:14" x14ac:dyDescent="0.25">
      <c r="A354" s="13" t="s">
        <v>902</v>
      </c>
      <c r="B354" s="13" t="s">
        <v>413</v>
      </c>
      <c r="C354" s="13">
        <v>1208</v>
      </c>
      <c r="D354" s="13">
        <v>35.9</v>
      </c>
      <c r="E354" s="13">
        <f t="shared" si="10"/>
        <v>14228.571428571429</v>
      </c>
      <c r="F354" s="13">
        <v>49800</v>
      </c>
      <c r="G354" s="13">
        <v>3.5</v>
      </c>
      <c r="H354" s="13">
        <f t="shared" si="11"/>
        <v>14228.571428571429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</row>
    <row r="355" spans="1:14" x14ac:dyDescent="0.25">
      <c r="A355" s="13" t="s">
        <v>903</v>
      </c>
      <c r="B355" s="13" t="s">
        <v>414</v>
      </c>
      <c r="C355" s="13">
        <v>1115</v>
      </c>
      <c r="D355" s="13">
        <v>46.1</v>
      </c>
      <c r="E355" s="13">
        <f t="shared" si="10"/>
        <v>11485.714285714286</v>
      </c>
      <c r="F355" s="13">
        <v>40200</v>
      </c>
      <c r="G355" s="13">
        <v>3.5</v>
      </c>
      <c r="H355" s="13">
        <f t="shared" si="11"/>
        <v>11485.714285714286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</row>
    <row r="356" spans="1:14" x14ac:dyDescent="0.25">
      <c r="A356" s="13" t="s">
        <v>904</v>
      </c>
      <c r="B356" s="13" t="s">
        <v>415</v>
      </c>
      <c r="C356" s="13">
        <v>1362</v>
      </c>
      <c r="D356" s="13">
        <v>41.7</v>
      </c>
      <c r="E356" s="13">
        <f t="shared" si="10"/>
        <v>8542.8571428571431</v>
      </c>
      <c r="F356" s="13">
        <v>29900</v>
      </c>
      <c r="G356" s="13">
        <v>3.5</v>
      </c>
      <c r="H356" s="13">
        <f t="shared" si="11"/>
        <v>8542.8571428571431</v>
      </c>
      <c r="I356" s="13">
        <v>0</v>
      </c>
      <c r="J356" s="13">
        <v>0</v>
      </c>
      <c r="K356" s="13">
        <v>0</v>
      </c>
      <c r="L356" s="13">
        <v>0</v>
      </c>
      <c r="M356" s="13">
        <v>0</v>
      </c>
      <c r="N356" s="13">
        <v>0</v>
      </c>
    </row>
    <row r="357" spans="1:14" x14ac:dyDescent="0.25">
      <c r="A357" s="13" t="s">
        <v>905</v>
      </c>
      <c r="B357" s="13" t="s">
        <v>416</v>
      </c>
      <c r="C357" s="13">
        <v>1705</v>
      </c>
      <c r="D357" s="13">
        <v>49.9</v>
      </c>
      <c r="E357" s="13">
        <f t="shared" si="10"/>
        <v>18257.142857142859</v>
      </c>
      <c r="F357" s="13">
        <v>63900</v>
      </c>
      <c r="G357" s="13">
        <v>3.5</v>
      </c>
      <c r="H357" s="13">
        <f t="shared" si="11"/>
        <v>18257.142857142859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</row>
    <row r="358" spans="1:14" x14ac:dyDescent="0.25">
      <c r="A358" s="13" t="s">
        <v>906</v>
      </c>
      <c r="B358" s="13" t="s">
        <v>417</v>
      </c>
      <c r="C358" s="13">
        <v>2252</v>
      </c>
      <c r="D358" s="13">
        <v>61.4</v>
      </c>
      <c r="E358" s="13">
        <f t="shared" si="10"/>
        <v>24914.285714285714</v>
      </c>
      <c r="F358" s="13">
        <v>87200</v>
      </c>
      <c r="G358" s="13">
        <v>3.5</v>
      </c>
      <c r="H358" s="13">
        <f t="shared" si="11"/>
        <v>24914.285714285714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</row>
    <row r="359" spans="1:14" x14ac:dyDescent="0.25">
      <c r="A359" s="13" t="s">
        <v>907</v>
      </c>
      <c r="B359" s="13" t="s">
        <v>418</v>
      </c>
      <c r="C359" s="13">
        <v>1655</v>
      </c>
      <c r="D359" s="13">
        <v>57.8</v>
      </c>
      <c r="E359" s="13">
        <f t="shared" si="10"/>
        <v>11885.714285714286</v>
      </c>
      <c r="F359" s="13">
        <v>41600</v>
      </c>
      <c r="G359" s="13">
        <v>3.5</v>
      </c>
      <c r="H359" s="13">
        <f t="shared" si="11"/>
        <v>11885.714285714286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</row>
    <row r="360" spans="1:14" x14ac:dyDescent="0.25">
      <c r="A360" s="13" t="s">
        <v>908</v>
      </c>
      <c r="B360" s="13" t="s">
        <v>419</v>
      </c>
      <c r="C360" s="13">
        <v>586</v>
      </c>
      <c r="D360" s="13">
        <v>26.6</v>
      </c>
      <c r="E360" s="13">
        <f t="shared" si="10"/>
        <v>5600</v>
      </c>
      <c r="F360" s="13">
        <v>19600</v>
      </c>
      <c r="G360" s="13">
        <v>3.5</v>
      </c>
      <c r="H360" s="13">
        <f t="shared" si="11"/>
        <v>5600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</row>
    <row r="361" spans="1:14" x14ac:dyDescent="0.25">
      <c r="A361" s="13" t="s">
        <v>909</v>
      </c>
      <c r="B361" s="13" t="s">
        <v>420</v>
      </c>
      <c r="C361" s="13">
        <v>1014</v>
      </c>
      <c r="D361" s="13">
        <v>29.4</v>
      </c>
      <c r="E361" s="13">
        <f t="shared" si="10"/>
        <v>11428.571428571429</v>
      </c>
      <c r="F361" s="13">
        <v>40000</v>
      </c>
      <c r="G361" s="13">
        <v>3.5</v>
      </c>
      <c r="H361" s="13">
        <f t="shared" si="11"/>
        <v>11428.571428571429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</row>
    <row r="362" spans="1:14" x14ac:dyDescent="0.25">
      <c r="A362" s="13" t="s">
        <v>910</v>
      </c>
      <c r="B362" s="13" t="s">
        <v>421</v>
      </c>
      <c r="C362" s="13">
        <v>1801</v>
      </c>
      <c r="D362" s="13">
        <v>49.4</v>
      </c>
      <c r="E362" s="13">
        <f t="shared" si="10"/>
        <v>20114.285714285714</v>
      </c>
      <c r="F362" s="13">
        <v>70400</v>
      </c>
      <c r="G362" s="13">
        <v>3.5</v>
      </c>
      <c r="H362" s="13">
        <f t="shared" si="11"/>
        <v>20114.285714285714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</row>
    <row r="363" spans="1:14" x14ac:dyDescent="0.25">
      <c r="A363" s="13" t="s">
        <v>911</v>
      </c>
      <c r="B363" s="13" t="s">
        <v>422</v>
      </c>
      <c r="C363" s="13">
        <v>407</v>
      </c>
      <c r="D363" s="13">
        <v>22.6</v>
      </c>
      <c r="E363" s="13">
        <f t="shared" si="10"/>
        <v>6057.1428571428569</v>
      </c>
      <c r="F363" s="13">
        <v>21200</v>
      </c>
      <c r="G363" s="13">
        <v>3.5</v>
      </c>
      <c r="H363" s="13">
        <f t="shared" si="11"/>
        <v>6057.1428571428569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</row>
    <row r="364" spans="1:14" x14ac:dyDescent="0.25">
      <c r="A364" s="13" t="s">
        <v>912</v>
      </c>
      <c r="B364" s="13" t="s">
        <v>423</v>
      </c>
      <c r="C364" s="13">
        <v>3603</v>
      </c>
      <c r="D364" s="13">
        <v>91.5</v>
      </c>
      <c r="E364" s="13">
        <f t="shared" si="10"/>
        <v>37142.857142857145</v>
      </c>
      <c r="F364" s="13">
        <v>130000</v>
      </c>
      <c r="G364" s="13">
        <v>3.5</v>
      </c>
      <c r="H364" s="13">
        <f t="shared" si="11"/>
        <v>37142.857142857145</v>
      </c>
      <c r="I364" s="13">
        <v>0</v>
      </c>
      <c r="J364" s="13">
        <v>0</v>
      </c>
      <c r="K364" s="13">
        <v>0</v>
      </c>
      <c r="L364" s="13">
        <v>0</v>
      </c>
      <c r="M364" s="13">
        <v>0</v>
      </c>
      <c r="N364" s="13">
        <v>0</v>
      </c>
    </row>
    <row r="365" spans="1:14" x14ac:dyDescent="0.25">
      <c r="A365" s="13" t="s">
        <v>913</v>
      </c>
      <c r="B365" s="13" t="s">
        <v>424</v>
      </c>
      <c r="C365" s="13">
        <v>5436</v>
      </c>
      <c r="D365" s="13">
        <v>487.7</v>
      </c>
      <c r="E365" s="13">
        <f t="shared" si="10"/>
        <v>471428.57142857142</v>
      </c>
      <c r="F365" s="13">
        <v>1650000</v>
      </c>
      <c r="G365" s="13">
        <v>3.5</v>
      </c>
      <c r="H365" s="13">
        <f t="shared" si="11"/>
        <v>471428.57142857142</v>
      </c>
      <c r="I365" s="13">
        <f>IF((E365-Scenario!R365)&lt;0,E365,Scenario!R365)</f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</row>
    <row r="366" spans="1:14" x14ac:dyDescent="0.25">
      <c r="A366" s="13" t="s">
        <v>914</v>
      </c>
      <c r="B366" s="13" t="s">
        <v>425</v>
      </c>
      <c r="C366" s="13">
        <v>5797</v>
      </c>
      <c r="D366" s="13">
        <v>205.9</v>
      </c>
      <c r="E366" s="13">
        <f t="shared" si="10"/>
        <v>48285.714285714283</v>
      </c>
      <c r="F366" s="13">
        <v>169000</v>
      </c>
      <c r="G366" s="13">
        <v>3.5</v>
      </c>
      <c r="H366" s="13">
        <f t="shared" si="11"/>
        <v>48285.714285714283</v>
      </c>
      <c r="I366" s="13">
        <f>IF((E366-Scenario!R366)&lt;0,E366,Scenario!R366)</f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</row>
    <row r="367" spans="1:14" x14ac:dyDescent="0.25">
      <c r="A367" s="13" t="s">
        <v>915</v>
      </c>
      <c r="B367" s="13" t="s">
        <v>426</v>
      </c>
      <c r="C367" s="13">
        <v>8793</v>
      </c>
      <c r="D367" s="13">
        <v>290.8</v>
      </c>
      <c r="E367" s="13">
        <f t="shared" si="10"/>
        <v>63142.857142857145</v>
      </c>
      <c r="F367" s="13">
        <v>221000</v>
      </c>
      <c r="G367" s="13">
        <v>3.5</v>
      </c>
      <c r="H367" s="13">
        <f t="shared" si="11"/>
        <v>63142.857142857145</v>
      </c>
      <c r="I367" s="13">
        <f>IF((E367-Scenario!R367)&lt;0,E367,Scenario!R367)</f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</row>
    <row r="368" spans="1:14" x14ac:dyDescent="0.25">
      <c r="A368" s="13" t="s">
        <v>916</v>
      </c>
      <c r="B368" s="13" t="s">
        <v>427</v>
      </c>
      <c r="C368" s="13">
        <v>6906</v>
      </c>
      <c r="D368" s="13">
        <v>175.3</v>
      </c>
      <c r="E368" s="13">
        <f t="shared" si="10"/>
        <v>71428.571428571435</v>
      </c>
      <c r="F368" s="13">
        <v>250000</v>
      </c>
      <c r="G368" s="13">
        <v>3.5</v>
      </c>
      <c r="H368" s="13">
        <f t="shared" si="11"/>
        <v>36878.571428571435</v>
      </c>
      <c r="I368" s="13">
        <f>IF((E368-Scenario!R368)&lt;0,E368,Scenario!R368)</f>
        <v>34550</v>
      </c>
      <c r="J368" s="13">
        <v>0</v>
      </c>
      <c r="K368" s="13">
        <v>0</v>
      </c>
      <c r="L368" s="13">
        <v>0</v>
      </c>
      <c r="M368" s="13">
        <v>0</v>
      </c>
      <c r="N368" s="13">
        <v>0</v>
      </c>
    </row>
    <row r="369" spans="1:14" x14ac:dyDescent="0.25">
      <c r="A369" s="13" t="s">
        <v>917</v>
      </c>
      <c r="B369" s="13" t="s">
        <v>428</v>
      </c>
      <c r="C369" s="13">
        <v>1908</v>
      </c>
      <c r="D369" s="13">
        <v>173.8</v>
      </c>
      <c r="E369" s="13">
        <f t="shared" si="10"/>
        <v>167428.57142857142</v>
      </c>
      <c r="F369" s="13">
        <v>586000</v>
      </c>
      <c r="G369" s="13">
        <v>3.5</v>
      </c>
      <c r="H369" s="13">
        <f t="shared" si="11"/>
        <v>167428.57142857142</v>
      </c>
      <c r="I369" s="13">
        <f>IF((E369-Scenario!R369)&lt;0,E369,Scenario!R369)</f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</row>
    <row r="370" spans="1:14" x14ac:dyDescent="0.25">
      <c r="A370" s="13" t="s">
        <v>918</v>
      </c>
      <c r="B370" s="13" t="s">
        <v>429</v>
      </c>
      <c r="C370" s="13">
        <v>3567</v>
      </c>
      <c r="D370" s="13">
        <v>117.2</v>
      </c>
      <c r="E370" s="13">
        <f t="shared" si="10"/>
        <v>23828.571428571428</v>
      </c>
      <c r="F370" s="13">
        <v>83400</v>
      </c>
      <c r="G370" s="13">
        <v>3.5</v>
      </c>
      <c r="H370" s="13">
        <f t="shared" si="11"/>
        <v>23828.571428571428</v>
      </c>
      <c r="I370" s="13">
        <f>IF((E370-Scenario!R370)&lt;0,E370,Scenario!R370)</f>
        <v>0</v>
      </c>
      <c r="J370" s="13">
        <v>0</v>
      </c>
      <c r="K370" s="13">
        <v>0</v>
      </c>
      <c r="L370" s="13">
        <v>0</v>
      </c>
      <c r="M370" s="13">
        <v>0</v>
      </c>
      <c r="N370" s="13">
        <v>0</v>
      </c>
    </row>
    <row r="371" spans="1:14" x14ac:dyDescent="0.25">
      <c r="A371" s="13" t="s">
        <v>919</v>
      </c>
      <c r="B371" s="13" t="s">
        <v>430</v>
      </c>
      <c r="C371" s="13">
        <v>10683</v>
      </c>
      <c r="D371" s="13">
        <v>232.8</v>
      </c>
      <c r="E371" s="13">
        <f t="shared" si="10"/>
        <v>97428.571428571435</v>
      </c>
      <c r="F371" s="13">
        <v>341000</v>
      </c>
      <c r="G371" s="13">
        <v>3.5</v>
      </c>
      <c r="H371" s="13">
        <f t="shared" si="11"/>
        <v>62878.571428571435</v>
      </c>
      <c r="I371" s="13">
        <f>IF((E371-Scenario!R371)&lt;0,E371,Scenario!R371)</f>
        <v>34550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</row>
    <row r="372" spans="1:14" x14ac:dyDescent="0.25">
      <c r="A372" s="13" t="s">
        <v>920</v>
      </c>
      <c r="B372" s="13" t="s">
        <v>431</v>
      </c>
      <c r="C372" s="13">
        <v>4931</v>
      </c>
      <c r="D372" s="13">
        <v>123</v>
      </c>
      <c r="E372" s="13">
        <f t="shared" si="10"/>
        <v>49714.285714285717</v>
      </c>
      <c r="F372" s="13">
        <v>174000</v>
      </c>
      <c r="G372" s="13">
        <v>3.5</v>
      </c>
      <c r="H372" s="13">
        <f t="shared" si="11"/>
        <v>15164.285714285717</v>
      </c>
      <c r="I372" s="13">
        <f>IF((E372-Scenario!R372)&lt;0,E372,Scenario!R372)</f>
        <v>34550</v>
      </c>
      <c r="J372" s="13">
        <v>0</v>
      </c>
      <c r="K372" s="13">
        <v>0</v>
      </c>
      <c r="L372" s="13">
        <v>0</v>
      </c>
      <c r="M372" s="13">
        <v>0</v>
      </c>
      <c r="N372" s="13">
        <v>0</v>
      </c>
    </row>
    <row r="373" spans="1:14" x14ac:dyDescent="0.25">
      <c r="A373" s="13" t="s">
        <v>921</v>
      </c>
      <c r="B373" s="13" t="s">
        <v>432</v>
      </c>
      <c r="C373" s="13">
        <v>160</v>
      </c>
      <c r="D373" s="13">
        <v>6.4</v>
      </c>
      <c r="E373" s="13">
        <f t="shared" si="10"/>
        <v>2420</v>
      </c>
      <c r="F373" s="13">
        <v>8470</v>
      </c>
      <c r="G373" s="13">
        <v>3.5</v>
      </c>
      <c r="H373" s="13">
        <f t="shared" si="11"/>
        <v>0</v>
      </c>
      <c r="I373" s="13">
        <f>IF((E373-Scenario!R373)&lt;0,E373,Scenario!R373)</f>
        <v>2420</v>
      </c>
      <c r="J373" s="13">
        <v>0</v>
      </c>
      <c r="K373" s="13">
        <v>0</v>
      </c>
      <c r="L373" s="13">
        <v>0</v>
      </c>
      <c r="M373" s="13">
        <v>0</v>
      </c>
      <c r="N373" s="13">
        <v>0</v>
      </c>
    </row>
    <row r="374" spans="1:14" x14ac:dyDescent="0.25">
      <c r="A374" s="13" t="s">
        <v>922</v>
      </c>
      <c r="B374" s="13" t="s">
        <v>433</v>
      </c>
      <c r="C374" s="13">
        <v>513</v>
      </c>
      <c r="D374" s="13">
        <v>20.5</v>
      </c>
      <c r="E374" s="13">
        <f t="shared" si="10"/>
        <v>4400</v>
      </c>
      <c r="F374" s="13">
        <v>15400</v>
      </c>
      <c r="G374" s="13">
        <v>3.5</v>
      </c>
      <c r="H374" s="13">
        <f t="shared" si="11"/>
        <v>4400</v>
      </c>
      <c r="I374" s="13">
        <f>IF((E374-Scenario!R374)&lt;0,E374,Scenario!R374)</f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</row>
    <row r="375" spans="1:14" x14ac:dyDescent="0.25">
      <c r="A375" s="13" t="s">
        <v>923</v>
      </c>
      <c r="B375" s="13" t="s">
        <v>434</v>
      </c>
      <c r="C375" s="13">
        <v>801</v>
      </c>
      <c r="D375" s="13">
        <v>30.9</v>
      </c>
      <c r="E375" s="13">
        <f t="shared" si="10"/>
        <v>7285.7142857142853</v>
      </c>
      <c r="F375" s="13">
        <v>25500</v>
      </c>
      <c r="G375" s="13">
        <v>3.5</v>
      </c>
      <c r="H375" s="13">
        <f t="shared" si="11"/>
        <v>7285.7142857142853</v>
      </c>
      <c r="I375" s="13">
        <f>IF((E375-Scenario!R375)&lt;0,E375,Scenario!R375)</f>
        <v>0</v>
      </c>
      <c r="J375" s="13">
        <v>0</v>
      </c>
      <c r="K375" s="13">
        <v>0</v>
      </c>
      <c r="L375" s="13">
        <v>0</v>
      </c>
      <c r="M375" s="13">
        <v>0</v>
      </c>
      <c r="N375" s="13">
        <v>0</v>
      </c>
    </row>
    <row r="376" spans="1:14" x14ac:dyDescent="0.25">
      <c r="A376" s="13" t="s">
        <v>924</v>
      </c>
      <c r="B376" s="13" t="s">
        <v>435</v>
      </c>
      <c r="C376" s="13">
        <v>88</v>
      </c>
      <c r="D376" s="13">
        <v>5.0999999999999996</v>
      </c>
      <c r="E376" s="13">
        <f t="shared" si="10"/>
        <v>1074.2857142857142</v>
      </c>
      <c r="F376" s="13">
        <v>3760</v>
      </c>
      <c r="G376" s="13">
        <v>3.5</v>
      </c>
      <c r="H376" s="13">
        <f t="shared" si="11"/>
        <v>1074.2857142857142</v>
      </c>
      <c r="I376" s="13">
        <f>IF((E376-Scenario!R376)&lt;0,E376,Scenario!R376)</f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</row>
    <row r="377" spans="1:14" x14ac:dyDescent="0.25">
      <c r="A377" s="13" t="s">
        <v>925</v>
      </c>
      <c r="B377" s="13" t="s">
        <v>436</v>
      </c>
      <c r="C377" s="13">
        <v>91</v>
      </c>
      <c r="D377" s="13">
        <v>7</v>
      </c>
      <c r="E377" s="13">
        <f t="shared" si="10"/>
        <v>1885.7142857142858</v>
      </c>
      <c r="F377" s="13">
        <v>6600</v>
      </c>
      <c r="G377" s="13">
        <v>3.5</v>
      </c>
      <c r="H377" s="13">
        <f t="shared" si="11"/>
        <v>1885.7142857142858</v>
      </c>
      <c r="I377" s="13">
        <f>IF((E377-Scenario!R377)&lt;0,E377,Scenario!R377)</f>
        <v>0</v>
      </c>
      <c r="J377" s="13">
        <v>0</v>
      </c>
      <c r="K377" s="13">
        <v>0</v>
      </c>
      <c r="L377" s="13">
        <v>0</v>
      </c>
      <c r="M377" s="13">
        <v>0</v>
      </c>
      <c r="N377" s="13">
        <v>0</v>
      </c>
    </row>
    <row r="378" spans="1:14" x14ac:dyDescent="0.25">
      <c r="A378" s="13" t="s">
        <v>926</v>
      </c>
      <c r="B378" s="13" t="s">
        <v>437</v>
      </c>
      <c r="C378" s="13">
        <v>452</v>
      </c>
      <c r="D378" s="13">
        <v>14.4</v>
      </c>
      <c r="E378" s="13">
        <f t="shared" si="10"/>
        <v>5742.8571428571431</v>
      </c>
      <c r="F378" s="13">
        <v>20100</v>
      </c>
      <c r="G378" s="13">
        <v>3.5</v>
      </c>
      <c r="H378" s="13">
        <f t="shared" si="11"/>
        <v>0</v>
      </c>
      <c r="I378" s="13">
        <f>IF((E378-Scenario!R378)&lt;0,E378,Scenario!R378)</f>
        <v>5742.8571428571431</v>
      </c>
      <c r="J378" s="13">
        <v>0</v>
      </c>
      <c r="K378" s="13">
        <v>0</v>
      </c>
      <c r="L378" s="13">
        <v>0</v>
      </c>
      <c r="M378" s="13">
        <v>0</v>
      </c>
      <c r="N378" s="13">
        <v>0</v>
      </c>
    </row>
    <row r="379" spans="1:14" x14ac:dyDescent="0.25">
      <c r="A379" s="13" t="s">
        <v>927</v>
      </c>
      <c r="B379" s="13" t="s">
        <v>438</v>
      </c>
      <c r="C379" s="13">
        <v>652</v>
      </c>
      <c r="D379" s="13">
        <v>23.4</v>
      </c>
      <c r="E379" s="13">
        <f t="shared" si="10"/>
        <v>4714.2857142857147</v>
      </c>
      <c r="F379" s="13">
        <v>16500</v>
      </c>
      <c r="G379" s="13">
        <v>3.5</v>
      </c>
      <c r="H379" s="13">
        <f t="shared" si="11"/>
        <v>4714.2857142857147</v>
      </c>
      <c r="I379" s="13">
        <f>IF((E379-Scenario!R379)&lt;0,E379,Scenario!R379)</f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0</v>
      </c>
    </row>
    <row r="380" spans="1:14" x14ac:dyDescent="0.25">
      <c r="A380" s="13" t="s">
        <v>928</v>
      </c>
      <c r="B380" s="13" t="s">
        <v>439</v>
      </c>
      <c r="C380" s="13">
        <v>101</v>
      </c>
      <c r="D380" s="13">
        <v>4.5</v>
      </c>
      <c r="E380" s="13">
        <f t="shared" si="10"/>
        <v>1500</v>
      </c>
      <c r="F380" s="13">
        <v>5250</v>
      </c>
      <c r="G380" s="13">
        <v>3.5</v>
      </c>
      <c r="H380" s="13">
        <f t="shared" si="11"/>
        <v>0</v>
      </c>
      <c r="I380" s="13">
        <f>IF((E380-Scenario!R380)&lt;0,E380,Scenario!R380)</f>
        <v>1500</v>
      </c>
      <c r="J380" s="13">
        <v>0</v>
      </c>
      <c r="K380" s="13">
        <v>0</v>
      </c>
      <c r="L380" s="13">
        <v>0</v>
      </c>
      <c r="M380" s="13">
        <v>0</v>
      </c>
      <c r="N380" s="13">
        <v>0</v>
      </c>
    </row>
    <row r="381" spans="1:14" x14ac:dyDescent="0.25">
      <c r="A381" s="13" t="s">
        <v>929</v>
      </c>
      <c r="B381" s="13" t="s">
        <v>440</v>
      </c>
      <c r="C381" s="13">
        <v>629</v>
      </c>
      <c r="D381" s="13">
        <v>21.8</v>
      </c>
      <c r="E381" s="13">
        <f t="shared" si="10"/>
        <v>8457.1428571428569</v>
      </c>
      <c r="F381" s="13">
        <v>29600</v>
      </c>
      <c r="G381" s="13">
        <v>3.5</v>
      </c>
      <c r="H381" s="13">
        <f t="shared" si="11"/>
        <v>0</v>
      </c>
      <c r="I381" s="13">
        <f>IF((E381-Scenario!R381)&lt;0,E381,Scenario!R381)</f>
        <v>8457.1428571428569</v>
      </c>
      <c r="J381" s="13">
        <v>0</v>
      </c>
      <c r="K381" s="13">
        <v>0</v>
      </c>
      <c r="L381" s="13">
        <v>0</v>
      </c>
      <c r="M381" s="13">
        <v>0</v>
      </c>
      <c r="N381" s="13">
        <v>0</v>
      </c>
    </row>
    <row r="382" spans="1:14" x14ac:dyDescent="0.25">
      <c r="A382" s="13" t="s">
        <v>930</v>
      </c>
      <c r="B382" s="13" t="s">
        <v>441</v>
      </c>
      <c r="C382" s="13">
        <v>7372</v>
      </c>
      <c r="D382" s="13">
        <v>191.8</v>
      </c>
      <c r="E382" s="13">
        <f t="shared" si="10"/>
        <v>74000</v>
      </c>
      <c r="F382" s="13">
        <v>259000</v>
      </c>
      <c r="G382" s="13">
        <v>3.5</v>
      </c>
      <c r="H382" s="13">
        <f t="shared" si="11"/>
        <v>39450</v>
      </c>
      <c r="I382" s="13">
        <f>IF((E382-Scenario!R382)&lt;0,E382,Scenario!R382)</f>
        <v>34550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</row>
    <row r="383" spans="1:14" x14ac:dyDescent="0.25">
      <c r="A383" s="13" t="s">
        <v>931</v>
      </c>
      <c r="B383" s="13" t="s">
        <v>442</v>
      </c>
      <c r="C383" s="13">
        <v>335</v>
      </c>
      <c r="D383" s="13">
        <v>10.4</v>
      </c>
      <c r="E383" s="13">
        <f t="shared" si="10"/>
        <v>2548.5714285714284</v>
      </c>
      <c r="F383" s="13">
        <v>8920</v>
      </c>
      <c r="G383" s="13">
        <v>3.5</v>
      </c>
      <c r="H383" s="13">
        <f t="shared" si="11"/>
        <v>2548.5714285714284</v>
      </c>
      <c r="I383" s="13">
        <f>IF((E383-Scenario!R383)&lt;0,E383,Scenario!R383)</f>
        <v>0</v>
      </c>
      <c r="J383" s="13">
        <v>0</v>
      </c>
      <c r="K383" s="13">
        <v>0</v>
      </c>
      <c r="L383" s="13">
        <v>0</v>
      </c>
      <c r="M383" s="13">
        <v>0</v>
      </c>
      <c r="N383" s="13">
        <v>0</v>
      </c>
    </row>
    <row r="384" spans="1:14" x14ac:dyDescent="0.25">
      <c r="A384" s="13" t="s">
        <v>932</v>
      </c>
      <c r="B384" s="13" t="s">
        <v>443</v>
      </c>
      <c r="C384" s="13">
        <v>394</v>
      </c>
      <c r="D384" s="13">
        <v>16.3</v>
      </c>
      <c r="E384" s="13">
        <f t="shared" si="10"/>
        <v>3400</v>
      </c>
      <c r="F384" s="13">
        <v>11900</v>
      </c>
      <c r="G384" s="13">
        <v>3.5</v>
      </c>
      <c r="H384" s="13">
        <f t="shared" si="11"/>
        <v>3400</v>
      </c>
      <c r="I384" s="13">
        <f>IF((E384-Scenario!R384)&lt;0,E384,Scenario!R384)</f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</row>
    <row r="385" spans="1:14" x14ac:dyDescent="0.25">
      <c r="A385" s="13" t="s">
        <v>933</v>
      </c>
      <c r="B385" s="13" t="s">
        <v>444</v>
      </c>
      <c r="C385" s="13">
        <v>603</v>
      </c>
      <c r="D385" s="13">
        <v>19.399999999999999</v>
      </c>
      <c r="E385" s="13">
        <f t="shared" si="10"/>
        <v>3714.2857142857142</v>
      </c>
      <c r="F385" s="13">
        <v>13000</v>
      </c>
      <c r="G385" s="13">
        <v>3.5</v>
      </c>
      <c r="H385" s="13">
        <f t="shared" si="11"/>
        <v>3714.2857142857142</v>
      </c>
      <c r="I385" s="13">
        <f>IF((E385-Scenario!R385)&lt;0,E385,Scenario!R385)</f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</row>
    <row r="386" spans="1:14" x14ac:dyDescent="0.25">
      <c r="A386" s="13" t="s">
        <v>934</v>
      </c>
      <c r="B386" s="13" t="s">
        <v>445</v>
      </c>
      <c r="C386" s="13">
        <v>372</v>
      </c>
      <c r="D386" s="13">
        <v>13.3</v>
      </c>
      <c r="E386" s="13">
        <f t="shared" si="10"/>
        <v>3257.1428571428573</v>
      </c>
      <c r="F386" s="13">
        <v>11400</v>
      </c>
      <c r="G386" s="13">
        <v>3.5</v>
      </c>
      <c r="H386" s="13">
        <f t="shared" si="11"/>
        <v>3257.1428571428573</v>
      </c>
      <c r="I386" s="13">
        <f>IF((E386-Scenario!R386)&lt;0,E386,Scenario!R386)</f>
        <v>0</v>
      </c>
      <c r="J386" s="13">
        <v>0</v>
      </c>
      <c r="K386" s="13">
        <v>0</v>
      </c>
      <c r="L386" s="13">
        <v>0</v>
      </c>
      <c r="M386" s="13">
        <v>0</v>
      </c>
      <c r="N386" s="13">
        <v>0</v>
      </c>
    </row>
    <row r="387" spans="1:14" x14ac:dyDescent="0.25">
      <c r="A387" s="13" t="s">
        <v>935</v>
      </c>
      <c r="B387" s="13" t="s">
        <v>446</v>
      </c>
      <c r="C387" s="13">
        <v>321</v>
      </c>
      <c r="D387" s="13">
        <v>11.3</v>
      </c>
      <c r="E387" s="13">
        <f t="shared" ref="E387:E450" si="12">F387/G387</f>
        <v>3828.5714285714284</v>
      </c>
      <c r="F387" s="13">
        <v>13400</v>
      </c>
      <c r="G387" s="13">
        <v>3.5</v>
      </c>
      <c r="H387" s="13">
        <f t="shared" ref="H387:H450" si="13">(F387/G387)-SUM(I387:N387)</f>
        <v>0</v>
      </c>
      <c r="I387" s="13">
        <f>IF((E387-Scenario!R387)&lt;0,E387,Scenario!R387)</f>
        <v>3828.5714285714284</v>
      </c>
      <c r="J387" s="13">
        <v>0</v>
      </c>
      <c r="K387" s="13">
        <v>0</v>
      </c>
      <c r="L387" s="13">
        <v>0</v>
      </c>
      <c r="M387" s="13">
        <v>0</v>
      </c>
      <c r="N387" s="13">
        <v>0</v>
      </c>
    </row>
    <row r="388" spans="1:14" x14ac:dyDescent="0.25">
      <c r="A388" s="13" t="s">
        <v>936</v>
      </c>
      <c r="B388" s="13" t="s">
        <v>447</v>
      </c>
      <c r="C388" s="13">
        <v>742</v>
      </c>
      <c r="D388" s="13">
        <v>25.9</v>
      </c>
      <c r="E388" s="13">
        <f t="shared" si="12"/>
        <v>5000</v>
      </c>
      <c r="F388" s="13">
        <v>17500</v>
      </c>
      <c r="G388" s="13">
        <v>3.5</v>
      </c>
      <c r="H388" s="13">
        <f t="shared" si="13"/>
        <v>5000</v>
      </c>
      <c r="I388" s="13">
        <f>IF((E388-Scenario!R388)&lt;0,E388,Scenario!R388)</f>
        <v>0</v>
      </c>
      <c r="J388" s="13">
        <v>0</v>
      </c>
      <c r="K388" s="13">
        <v>0</v>
      </c>
      <c r="L388" s="13">
        <v>0</v>
      </c>
      <c r="M388" s="13">
        <v>0</v>
      </c>
      <c r="N388" s="13">
        <v>0</v>
      </c>
    </row>
    <row r="389" spans="1:14" x14ac:dyDescent="0.25">
      <c r="A389" s="13" t="s">
        <v>937</v>
      </c>
      <c r="B389" s="13" t="s">
        <v>448</v>
      </c>
      <c r="C389" s="13">
        <v>244</v>
      </c>
      <c r="D389" s="13">
        <v>8.5</v>
      </c>
      <c r="E389" s="13">
        <f t="shared" si="12"/>
        <v>1774.2857142857142</v>
      </c>
      <c r="F389" s="13">
        <v>6210</v>
      </c>
      <c r="G389" s="13">
        <v>3.5</v>
      </c>
      <c r="H389" s="13">
        <f t="shared" si="13"/>
        <v>1774.2857142857142</v>
      </c>
      <c r="I389" s="13">
        <f>IF((E389-Scenario!R389)&lt;0,E389,Scenario!R389)</f>
        <v>0</v>
      </c>
      <c r="J389" s="13">
        <v>0</v>
      </c>
      <c r="K389" s="13">
        <v>0</v>
      </c>
      <c r="L389" s="13">
        <v>0</v>
      </c>
      <c r="M389" s="13">
        <v>0</v>
      </c>
      <c r="N389" s="13">
        <v>0</v>
      </c>
    </row>
    <row r="390" spans="1:14" x14ac:dyDescent="0.25">
      <c r="A390" s="13" t="s">
        <v>938</v>
      </c>
      <c r="B390" s="13" t="s">
        <v>449</v>
      </c>
      <c r="C390" s="13">
        <v>89</v>
      </c>
      <c r="D390" s="13">
        <v>4.2</v>
      </c>
      <c r="E390" s="13">
        <f t="shared" si="12"/>
        <v>1354.2857142857142</v>
      </c>
      <c r="F390" s="13">
        <v>4740</v>
      </c>
      <c r="G390" s="13">
        <v>3.5</v>
      </c>
      <c r="H390" s="13">
        <f t="shared" si="13"/>
        <v>0</v>
      </c>
      <c r="I390" s="13">
        <f>IF((E390-Scenario!R390)&lt;0,E390,Scenario!R390)</f>
        <v>1354.2857142857142</v>
      </c>
      <c r="J390" s="13">
        <v>0</v>
      </c>
      <c r="K390" s="13">
        <v>0</v>
      </c>
      <c r="L390" s="13">
        <v>0</v>
      </c>
      <c r="M390" s="13">
        <v>0</v>
      </c>
      <c r="N390" s="13">
        <v>0</v>
      </c>
    </row>
    <row r="391" spans="1:14" x14ac:dyDescent="0.25">
      <c r="A391" s="13" t="s">
        <v>939</v>
      </c>
      <c r="B391" s="13" t="s">
        <v>450</v>
      </c>
      <c r="C391" s="13">
        <v>453</v>
      </c>
      <c r="D391" s="13">
        <v>18</v>
      </c>
      <c r="E391" s="13">
        <f t="shared" si="12"/>
        <v>4600</v>
      </c>
      <c r="F391" s="13">
        <v>16100</v>
      </c>
      <c r="G391" s="13">
        <v>3.5</v>
      </c>
      <c r="H391" s="13">
        <f t="shared" si="13"/>
        <v>4600</v>
      </c>
      <c r="I391" s="13">
        <f>IF((E391-Scenario!R391)&lt;0,E391,Scenario!R391)</f>
        <v>0</v>
      </c>
      <c r="J391" s="13">
        <v>0</v>
      </c>
      <c r="K391" s="13">
        <v>0</v>
      </c>
      <c r="L391" s="13">
        <v>0</v>
      </c>
      <c r="M391" s="13">
        <v>0</v>
      </c>
      <c r="N391" s="13">
        <v>0</v>
      </c>
    </row>
    <row r="392" spans="1:14" x14ac:dyDescent="0.25">
      <c r="A392" s="13" t="s">
        <v>940</v>
      </c>
      <c r="B392" s="13" t="s">
        <v>451</v>
      </c>
      <c r="C392" s="13">
        <v>626</v>
      </c>
      <c r="D392" s="13">
        <v>23</v>
      </c>
      <c r="E392" s="13">
        <f t="shared" si="12"/>
        <v>4571.4285714285716</v>
      </c>
      <c r="F392" s="13">
        <v>16000</v>
      </c>
      <c r="G392" s="13">
        <v>3.5</v>
      </c>
      <c r="H392" s="13">
        <f t="shared" si="13"/>
        <v>4571.4285714285716</v>
      </c>
      <c r="I392" s="13">
        <f>IF((E392-Scenario!R392)&lt;0,E392,Scenario!R392)</f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</row>
    <row r="393" spans="1:14" x14ac:dyDescent="0.25">
      <c r="A393" s="13" t="s">
        <v>941</v>
      </c>
      <c r="B393" s="13" t="s">
        <v>452</v>
      </c>
      <c r="C393" s="13">
        <v>138</v>
      </c>
      <c r="D393" s="13">
        <v>8</v>
      </c>
      <c r="E393" s="13">
        <f t="shared" si="12"/>
        <v>1854.2857142857142</v>
      </c>
      <c r="F393" s="13">
        <v>6490</v>
      </c>
      <c r="G393" s="13">
        <v>3.5</v>
      </c>
      <c r="H393" s="13">
        <f t="shared" si="13"/>
        <v>1854.2857142857142</v>
      </c>
      <c r="I393" s="13">
        <f>IF((E393-Scenario!R393)&lt;0,E393,Scenario!R393)</f>
        <v>0</v>
      </c>
      <c r="J393" s="13">
        <v>0</v>
      </c>
      <c r="K393" s="13">
        <v>0</v>
      </c>
      <c r="L393" s="13">
        <v>0</v>
      </c>
      <c r="M393" s="13">
        <v>0</v>
      </c>
      <c r="N393" s="13">
        <v>0</v>
      </c>
    </row>
    <row r="394" spans="1:14" x14ac:dyDescent="0.25">
      <c r="A394" s="13" t="s">
        <v>942</v>
      </c>
      <c r="B394" s="13" t="s">
        <v>453</v>
      </c>
      <c r="C394" s="13">
        <v>373</v>
      </c>
      <c r="D394" s="13">
        <v>11.7</v>
      </c>
      <c r="E394" s="13">
        <f t="shared" si="12"/>
        <v>2320</v>
      </c>
      <c r="F394" s="13">
        <v>8120</v>
      </c>
      <c r="G394" s="13">
        <v>3.5</v>
      </c>
      <c r="H394" s="13">
        <f t="shared" si="13"/>
        <v>2320</v>
      </c>
      <c r="I394" s="13">
        <f>IF((E394-Scenario!R394)&lt;0,E394,Scenario!R394)</f>
        <v>0</v>
      </c>
      <c r="J394" s="13">
        <v>0</v>
      </c>
      <c r="K394" s="13">
        <v>0</v>
      </c>
      <c r="L394" s="13">
        <v>0</v>
      </c>
      <c r="M394" s="13">
        <v>0</v>
      </c>
      <c r="N394" s="13">
        <v>0</v>
      </c>
    </row>
    <row r="395" spans="1:14" x14ac:dyDescent="0.25">
      <c r="A395" s="13" t="s">
        <v>943</v>
      </c>
      <c r="B395" s="13" t="s">
        <v>454</v>
      </c>
      <c r="C395" s="13">
        <v>118</v>
      </c>
      <c r="D395" s="13">
        <v>6.7</v>
      </c>
      <c r="E395" s="13">
        <f t="shared" si="12"/>
        <v>1760</v>
      </c>
      <c r="F395" s="13">
        <v>6160</v>
      </c>
      <c r="G395" s="13">
        <v>3.5</v>
      </c>
      <c r="H395" s="13">
        <f t="shared" si="13"/>
        <v>1760</v>
      </c>
      <c r="I395" s="13">
        <f>IF((E395-Scenario!R395)&lt;0,E395,Scenario!R395)</f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</row>
    <row r="396" spans="1:14" x14ac:dyDescent="0.25">
      <c r="A396" s="13" t="s">
        <v>944</v>
      </c>
      <c r="B396" s="13" t="s">
        <v>455</v>
      </c>
      <c r="C396" s="13">
        <v>145</v>
      </c>
      <c r="D396" s="13">
        <v>5.4</v>
      </c>
      <c r="E396" s="13">
        <f t="shared" si="12"/>
        <v>2114.2857142857142</v>
      </c>
      <c r="F396" s="13">
        <v>7400</v>
      </c>
      <c r="G396" s="13">
        <v>3.5</v>
      </c>
      <c r="H396" s="13">
        <f t="shared" si="13"/>
        <v>0</v>
      </c>
      <c r="I396" s="13">
        <f>IF((E396-Scenario!R396)&lt;0,E396,Scenario!R396)</f>
        <v>2114.2857142857142</v>
      </c>
      <c r="J396" s="13">
        <v>0</v>
      </c>
      <c r="K396" s="13">
        <v>0</v>
      </c>
      <c r="L396" s="13">
        <v>0</v>
      </c>
      <c r="M396" s="13">
        <v>0</v>
      </c>
      <c r="N396" s="13">
        <v>0</v>
      </c>
    </row>
    <row r="397" spans="1:14" x14ac:dyDescent="0.25">
      <c r="A397" s="13" t="s">
        <v>945</v>
      </c>
      <c r="B397" s="13" t="s">
        <v>456</v>
      </c>
      <c r="C397" s="13">
        <v>200</v>
      </c>
      <c r="D397" s="13">
        <v>7.3</v>
      </c>
      <c r="E397" s="13">
        <f t="shared" si="12"/>
        <v>2771.4285714285716</v>
      </c>
      <c r="F397" s="13">
        <v>9700</v>
      </c>
      <c r="G397" s="13">
        <v>3.5</v>
      </c>
      <c r="H397" s="13">
        <f t="shared" si="13"/>
        <v>0</v>
      </c>
      <c r="I397" s="13">
        <f>IF((E397-Scenario!R397)&lt;0,E397,Scenario!R397)</f>
        <v>2771.4285714285716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</row>
    <row r="398" spans="1:14" x14ac:dyDescent="0.25">
      <c r="A398" s="13" t="s">
        <v>946</v>
      </c>
      <c r="B398" s="13" t="s">
        <v>457</v>
      </c>
      <c r="C398" s="13">
        <v>276</v>
      </c>
      <c r="D398" s="13">
        <v>15.9</v>
      </c>
      <c r="E398" s="13">
        <f t="shared" si="12"/>
        <v>4257.1428571428569</v>
      </c>
      <c r="F398" s="13">
        <v>14900</v>
      </c>
      <c r="G398" s="13">
        <v>3.5</v>
      </c>
      <c r="H398" s="13">
        <f t="shared" si="13"/>
        <v>4257.1428571428569</v>
      </c>
      <c r="I398" s="13">
        <f>IF((E398-Scenario!R398)&lt;0,E398,Scenario!R398)</f>
        <v>0</v>
      </c>
      <c r="J398" s="13">
        <v>0</v>
      </c>
      <c r="K398" s="13">
        <v>0</v>
      </c>
      <c r="L398" s="13">
        <v>0</v>
      </c>
      <c r="M398" s="13">
        <v>0</v>
      </c>
      <c r="N398" s="13">
        <v>0</v>
      </c>
    </row>
    <row r="399" spans="1:14" x14ac:dyDescent="0.25">
      <c r="A399" s="13" t="s">
        <v>947</v>
      </c>
      <c r="B399" s="13" t="s">
        <v>458</v>
      </c>
      <c r="C399" s="13">
        <v>110</v>
      </c>
      <c r="D399" s="13">
        <v>5.8</v>
      </c>
      <c r="E399" s="13">
        <f t="shared" si="12"/>
        <v>1325.7142857142858</v>
      </c>
      <c r="F399" s="13">
        <v>4640</v>
      </c>
      <c r="G399" s="13">
        <v>3.5</v>
      </c>
      <c r="H399" s="13">
        <f t="shared" si="13"/>
        <v>1325.7142857142858</v>
      </c>
      <c r="I399" s="13">
        <f>IF((E399-Scenario!R399)&lt;0,E399,Scenario!R399)</f>
        <v>0</v>
      </c>
      <c r="J399" s="13">
        <v>0</v>
      </c>
      <c r="K399" s="13">
        <v>0</v>
      </c>
      <c r="L399" s="13">
        <v>0</v>
      </c>
      <c r="M399" s="13">
        <v>0</v>
      </c>
      <c r="N399" s="13">
        <v>0</v>
      </c>
    </row>
    <row r="400" spans="1:14" x14ac:dyDescent="0.25">
      <c r="A400" s="13" t="s">
        <v>948</v>
      </c>
      <c r="B400" s="13" t="s">
        <v>459</v>
      </c>
      <c r="C400" s="13">
        <v>251</v>
      </c>
      <c r="D400" s="13">
        <v>9.6</v>
      </c>
      <c r="E400" s="13">
        <f t="shared" si="12"/>
        <v>1997.1428571428571</v>
      </c>
      <c r="F400" s="13">
        <v>6990</v>
      </c>
      <c r="G400" s="13">
        <v>3.5</v>
      </c>
      <c r="H400" s="13">
        <f t="shared" si="13"/>
        <v>1997.1428571428571</v>
      </c>
      <c r="I400" s="13">
        <f>IF((E400-Scenario!R400)&lt;0,E400,Scenario!R400)</f>
        <v>0</v>
      </c>
      <c r="J400" s="13">
        <v>0</v>
      </c>
      <c r="K400" s="13">
        <v>0</v>
      </c>
      <c r="L400" s="13">
        <v>0</v>
      </c>
      <c r="M400" s="13">
        <v>0</v>
      </c>
      <c r="N400" s="13">
        <v>0</v>
      </c>
    </row>
    <row r="401" spans="1:14" x14ac:dyDescent="0.25">
      <c r="A401" s="13" t="s">
        <v>949</v>
      </c>
      <c r="B401" s="13" t="s">
        <v>460</v>
      </c>
      <c r="C401" s="13">
        <v>99</v>
      </c>
      <c r="D401" s="13">
        <v>5.8</v>
      </c>
      <c r="E401" s="13">
        <f t="shared" si="12"/>
        <v>1551.4285714285713</v>
      </c>
      <c r="F401" s="13">
        <v>5430</v>
      </c>
      <c r="G401" s="13">
        <v>3.5</v>
      </c>
      <c r="H401" s="13">
        <f t="shared" si="13"/>
        <v>1551.4285714285713</v>
      </c>
      <c r="I401" s="13">
        <f>IF((E401-Scenario!R401)&lt;0,E401,Scenario!R401)</f>
        <v>0</v>
      </c>
      <c r="J401" s="13">
        <v>0</v>
      </c>
      <c r="K401" s="13">
        <v>0</v>
      </c>
      <c r="L401" s="13">
        <v>0</v>
      </c>
      <c r="M401" s="13">
        <v>0</v>
      </c>
      <c r="N401" s="13">
        <v>0</v>
      </c>
    </row>
    <row r="402" spans="1:14" x14ac:dyDescent="0.25">
      <c r="A402" s="13" t="s">
        <v>950</v>
      </c>
      <c r="B402" s="13" t="s">
        <v>461</v>
      </c>
      <c r="C402" s="13">
        <v>162</v>
      </c>
      <c r="D402" s="13">
        <v>5.9</v>
      </c>
      <c r="E402" s="13">
        <f t="shared" si="12"/>
        <v>2034.2857142857142</v>
      </c>
      <c r="F402" s="13">
        <v>7120</v>
      </c>
      <c r="G402" s="13">
        <v>3.5</v>
      </c>
      <c r="H402" s="13">
        <f t="shared" si="13"/>
        <v>2034.2857142857142</v>
      </c>
      <c r="I402" s="13">
        <f>IF((E402-Scenario!R402)&lt;0,E402,Scenario!R402)</f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</row>
    <row r="403" spans="1:14" x14ac:dyDescent="0.25">
      <c r="A403" s="13" t="s">
        <v>951</v>
      </c>
      <c r="B403" s="13" t="s">
        <v>462</v>
      </c>
      <c r="C403" s="13">
        <v>1073</v>
      </c>
      <c r="D403" s="13">
        <v>28.6</v>
      </c>
      <c r="E403" s="13">
        <f t="shared" si="12"/>
        <v>11514.285714285714</v>
      </c>
      <c r="F403" s="13">
        <v>40300</v>
      </c>
      <c r="G403" s="13">
        <v>3.5</v>
      </c>
      <c r="H403" s="13">
        <f t="shared" si="13"/>
        <v>458.28571428571377</v>
      </c>
      <c r="I403" s="13">
        <f>IF((E403-Scenario!R403)&lt;0,E403,Scenario!R403)</f>
        <v>11056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</row>
    <row r="404" spans="1:14" x14ac:dyDescent="0.25">
      <c r="A404" s="13" t="s">
        <v>952</v>
      </c>
      <c r="B404" s="13" t="s">
        <v>463</v>
      </c>
      <c r="C404" s="13">
        <v>96</v>
      </c>
      <c r="D404" s="13">
        <v>3.5</v>
      </c>
      <c r="E404" s="13">
        <f t="shared" si="12"/>
        <v>1094.2857142857142</v>
      </c>
      <c r="F404" s="13">
        <v>3830</v>
      </c>
      <c r="G404" s="13">
        <v>3.5</v>
      </c>
      <c r="H404" s="13">
        <f t="shared" si="13"/>
        <v>0</v>
      </c>
      <c r="I404" s="13">
        <f>IF((E404-Scenario!R404)&lt;0,E404,Scenario!R404)</f>
        <v>1094.2857142857142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</row>
    <row r="405" spans="1:14" x14ac:dyDescent="0.25">
      <c r="A405" s="13" t="s">
        <v>953</v>
      </c>
      <c r="B405" s="13" t="s">
        <v>464</v>
      </c>
      <c r="C405" s="13">
        <v>507</v>
      </c>
      <c r="D405" s="13">
        <v>13.7</v>
      </c>
      <c r="E405" s="13">
        <f t="shared" si="12"/>
        <v>5257.1428571428569</v>
      </c>
      <c r="F405" s="13">
        <v>18400</v>
      </c>
      <c r="G405" s="13">
        <v>3.5</v>
      </c>
      <c r="H405" s="13">
        <f t="shared" si="13"/>
        <v>0</v>
      </c>
      <c r="I405" s="13">
        <f>IF((E405-Scenario!R405)&lt;0,E405,Scenario!R405)</f>
        <v>5257.1428571428569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</row>
    <row r="406" spans="1:14" x14ac:dyDescent="0.25">
      <c r="A406" s="13" t="s">
        <v>954</v>
      </c>
      <c r="B406" s="13" t="s">
        <v>465</v>
      </c>
      <c r="C406" s="13">
        <v>1365</v>
      </c>
      <c r="D406" s="13">
        <v>35.6</v>
      </c>
      <c r="E406" s="13">
        <f t="shared" si="12"/>
        <v>14314.285714285714</v>
      </c>
      <c r="F406" s="13">
        <v>50100</v>
      </c>
      <c r="G406" s="13">
        <v>3.5</v>
      </c>
      <c r="H406" s="13">
        <f t="shared" si="13"/>
        <v>3258.2857142857138</v>
      </c>
      <c r="I406" s="13">
        <f>IF((E406-Scenario!R406)&lt;0,E406,Scenario!R406)</f>
        <v>11056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</row>
    <row r="407" spans="1:14" x14ac:dyDescent="0.25">
      <c r="A407" s="13" t="s">
        <v>955</v>
      </c>
      <c r="B407" s="13" t="s">
        <v>466</v>
      </c>
      <c r="C407" s="13">
        <v>674</v>
      </c>
      <c r="D407" s="13">
        <v>24.9</v>
      </c>
      <c r="E407" s="13">
        <f t="shared" si="12"/>
        <v>5542.8571428571431</v>
      </c>
      <c r="F407" s="13">
        <v>19400</v>
      </c>
      <c r="G407" s="13">
        <v>3.5</v>
      </c>
      <c r="H407" s="13">
        <f t="shared" si="13"/>
        <v>5542.8571428571431</v>
      </c>
      <c r="I407" s="13">
        <f>IF((E407-Scenario!R407)&lt;0,E407,Scenario!R407)</f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</row>
    <row r="408" spans="1:14" x14ac:dyDescent="0.25">
      <c r="A408" s="13" t="s">
        <v>956</v>
      </c>
      <c r="B408" s="13" t="s">
        <v>467</v>
      </c>
      <c r="C408" s="13">
        <v>187</v>
      </c>
      <c r="D408" s="13">
        <v>7.8</v>
      </c>
      <c r="E408" s="13">
        <f t="shared" si="12"/>
        <v>1837.1428571428571</v>
      </c>
      <c r="F408" s="13">
        <v>6430</v>
      </c>
      <c r="G408" s="13">
        <v>3.5</v>
      </c>
      <c r="H408" s="13">
        <f t="shared" si="13"/>
        <v>1837.1428571428571</v>
      </c>
      <c r="I408" s="13">
        <f>IF((E408-Scenario!R408)&lt;0,E408,Scenario!R408)</f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</row>
    <row r="409" spans="1:14" x14ac:dyDescent="0.25">
      <c r="A409" s="13" t="s">
        <v>957</v>
      </c>
      <c r="B409" s="13" t="s">
        <v>468</v>
      </c>
      <c r="C409" s="13">
        <v>635</v>
      </c>
      <c r="D409" s="13">
        <v>22.3</v>
      </c>
      <c r="E409" s="13">
        <f t="shared" si="12"/>
        <v>4457.1428571428569</v>
      </c>
      <c r="F409" s="13">
        <v>15600</v>
      </c>
      <c r="G409" s="13">
        <v>3.5</v>
      </c>
      <c r="H409" s="13">
        <f t="shared" si="13"/>
        <v>4457.1428571428569</v>
      </c>
      <c r="I409" s="13">
        <f>IF((E409-Scenario!R409)&lt;0,E409,Scenario!R409)</f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</row>
    <row r="410" spans="1:14" x14ac:dyDescent="0.25">
      <c r="A410" s="13" t="s">
        <v>958</v>
      </c>
      <c r="B410" s="13" t="s">
        <v>469</v>
      </c>
      <c r="C410" s="13">
        <v>91</v>
      </c>
      <c r="D410" s="13">
        <v>4</v>
      </c>
      <c r="E410" s="13">
        <f t="shared" si="12"/>
        <v>1497.1428571428571</v>
      </c>
      <c r="F410" s="13">
        <v>5240</v>
      </c>
      <c r="G410" s="13">
        <v>3.5</v>
      </c>
      <c r="H410" s="13">
        <f t="shared" si="13"/>
        <v>0</v>
      </c>
      <c r="I410" s="13">
        <f>IF((E410-Scenario!R410)&lt;0,E410,Scenario!R410)</f>
        <v>1497.1428571428571</v>
      </c>
      <c r="J410" s="13">
        <v>0</v>
      </c>
      <c r="K410" s="13">
        <v>0</v>
      </c>
      <c r="L410" s="13">
        <v>0</v>
      </c>
      <c r="M410" s="13">
        <v>0</v>
      </c>
      <c r="N410" s="13">
        <v>0</v>
      </c>
    </row>
    <row r="411" spans="1:14" x14ac:dyDescent="0.25">
      <c r="A411" s="13" t="s">
        <v>959</v>
      </c>
      <c r="B411" s="13" t="s">
        <v>470</v>
      </c>
      <c r="C411" s="13">
        <v>216</v>
      </c>
      <c r="D411" s="13">
        <v>12</v>
      </c>
      <c r="E411" s="13">
        <f t="shared" si="12"/>
        <v>3028.5714285714284</v>
      </c>
      <c r="F411" s="13">
        <v>10600</v>
      </c>
      <c r="G411" s="13">
        <v>3.5</v>
      </c>
      <c r="H411" s="13">
        <f t="shared" si="13"/>
        <v>3028.5714285714284</v>
      </c>
      <c r="I411" s="13">
        <f>IF((E411-Scenario!R411)&lt;0,E411,Scenario!R411)</f>
        <v>0</v>
      </c>
      <c r="J411" s="13">
        <v>0</v>
      </c>
      <c r="K411" s="13">
        <v>0</v>
      </c>
      <c r="L411" s="13">
        <v>0</v>
      </c>
      <c r="M411" s="13">
        <v>0</v>
      </c>
      <c r="N411" s="13">
        <v>0</v>
      </c>
    </row>
    <row r="412" spans="1:14" x14ac:dyDescent="0.25">
      <c r="A412" s="13" t="s">
        <v>960</v>
      </c>
      <c r="B412" s="13" t="s">
        <v>471</v>
      </c>
      <c r="C412" s="13">
        <v>163</v>
      </c>
      <c r="D412" s="13">
        <v>6.5</v>
      </c>
      <c r="E412" s="13">
        <f t="shared" si="12"/>
        <v>2520</v>
      </c>
      <c r="F412" s="13">
        <v>8820</v>
      </c>
      <c r="G412" s="13">
        <v>3.5</v>
      </c>
      <c r="H412" s="13">
        <f t="shared" si="13"/>
        <v>0</v>
      </c>
      <c r="I412" s="13">
        <f>IF((E412-Scenario!R412)&lt;0,E412,Scenario!R412)</f>
        <v>2520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</row>
    <row r="413" spans="1:14" x14ac:dyDescent="0.25">
      <c r="A413" s="13" t="s">
        <v>961</v>
      </c>
      <c r="B413" s="13" t="s">
        <v>472</v>
      </c>
      <c r="C413" s="13">
        <v>237</v>
      </c>
      <c r="D413" s="13">
        <v>9.1</v>
      </c>
      <c r="E413" s="13">
        <f t="shared" si="12"/>
        <v>2165.7142857142858</v>
      </c>
      <c r="F413" s="13">
        <v>7580</v>
      </c>
      <c r="G413" s="13">
        <v>3.5</v>
      </c>
      <c r="H413" s="13">
        <f t="shared" si="13"/>
        <v>2165.7142857142858</v>
      </c>
      <c r="I413" s="13">
        <f>IF((E413-Scenario!R413)&lt;0,E413,Scenario!R413)</f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</row>
    <row r="414" spans="1:14" x14ac:dyDescent="0.25">
      <c r="A414" s="13" t="s">
        <v>962</v>
      </c>
      <c r="B414" s="13" t="s">
        <v>473</v>
      </c>
      <c r="C414" s="13">
        <v>341</v>
      </c>
      <c r="D414" s="13">
        <v>12.8</v>
      </c>
      <c r="E414" s="13">
        <f t="shared" si="12"/>
        <v>4771.4285714285716</v>
      </c>
      <c r="F414" s="13">
        <v>16700</v>
      </c>
      <c r="G414" s="13">
        <v>3.5</v>
      </c>
      <c r="H414" s="13">
        <f t="shared" si="13"/>
        <v>0</v>
      </c>
      <c r="I414" s="13">
        <f>IF((E414-Scenario!R414)&lt;0,E414,Scenario!R414)</f>
        <v>4771.4285714285716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</row>
    <row r="415" spans="1:14" x14ac:dyDescent="0.25">
      <c r="A415" s="13" t="s">
        <v>963</v>
      </c>
      <c r="B415" s="13" t="s">
        <v>474</v>
      </c>
      <c r="C415" s="13">
        <v>611</v>
      </c>
      <c r="D415" s="13">
        <v>14.5</v>
      </c>
      <c r="E415" s="13">
        <f t="shared" si="12"/>
        <v>5428.5714285714284</v>
      </c>
      <c r="F415" s="13">
        <v>19000</v>
      </c>
      <c r="G415" s="13">
        <v>3.5</v>
      </c>
      <c r="H415" s="13">
        <f t="shared" si="13"/>
        <v>0</v>
      </c>
      <c r="I415" s="13">
        <f>IF((E415-Scenario!R415)&lt;0,E415,Scenario!R415)</f>
        <v>5428.5714285714284</v>
      </c>
      <c r="J415" s="13">
        <v>0</v>
      </c>
      <c r="K415" s="13">
        <v>0</v>
      </c>
      <c r="L415" s="13">
        <v>0</v>
      </c>
      <c r="M415" s="13">
        <v>0</v>
      </c>
      <c r="N415" s="13">
        <v>0</v>
      </c>
    </row>
    <row r="416" spans="1:14" x14ac:dyDescent="0.25">
      <c r="A416" s="13" t="s">
        <v>964</v>
      </c>
      <c r="B416" s="13" t="s">
        <v>475</v>
      </c>
      <c r="C416" s="13">
        <v>150</v>
      </c>
      <c r="D416" s="13">
        <v>7.1</v>
      </c>
      <c r="E416" s="13">
        <f t="shared" si="12"/>
        <v>2457.1428571428573</v>
      </c>
      <c r="F416" s="13">
        <v>8600</v>
      </c>
      <c r="G416" s="13">
        <v>3.5</v>
      </c>
      <c r="H416" s="13">
        <f t="shared" si="13"/>
        <v>0</v>
      </c>
      <c r="I416" s="13">
        <f>IF((E416-Scenario!R416)&lt;0,E416,Scenario!R416)</f>
        <v>2457.1428571428573</v>
      </c>
      <c r="J416" s="13">
        <v>0</v>
      </c>
      <c r="K416" s="13">
        <v>0</v>
      </c>
      <c r="L416" s="13">
        <v>0</v>
      </c>
      <c r="M416" s="13">
        <v>0</v>
      </c>
      <c r="N416" s="13">
        <v>0</v>
      </c>
    </row>
    <row r="417" spans="1:14" x14ac:dyDescent="0.25">
      <c r="A417" s="13" t="s">
        <v>965</v>
      </c>
      <c r="B417" s="13" t="s">
        <v>476</v>
      </c>
      <c r="C417" s="13">
        <v>4595</v>
      </c>
      <c r="D417" s="13">
        <v>96.6</v>
      </c>
      <c r="E417" s="13">
        <f t="shared" si="12"/>
        <v>36285.714285714283</v>
      </c>
      <c r="F417" s="13">
        <v>127000</v>
      </c>
      <c r="G417" s="13">
        <v>3.5</v>
      </c>
      <c r="H417" s="13">
        <f t="shared" si="13"/>
        <v>36285.714285714283</v>
      </c>
      <c r="I417" s="13">
        <f>IF((E417-Scenario!R417)&lt;0,E417,Scenario!R417)</f>
        <v>0</v>
      </c>
      <c r="J417" s="13">
        <v>0</v>
      </c>
      <c r="K417" s="13">
        <v>0</v>
      </c>
      <c r="L417" s="13">
        <v>0</v>
      </c>
      <c r="M417" s="13">
        <v>0</v>
      </c>
      <c r="N417" s="13">
        <v>0</v>
      </c>
    </row>
    <row r="418" spans="1:14" x14ac:dyDescent="0.25">
      <c r="A418" s="13" t="s">
        <v>966</v>
      </c>
      <c r="B418" s="13" t="s">
        <v>477</v>
      </c>
      <c r="C418" s="13">
        <v>197</v>
      </c>
      <c r="D418" s="13">
        <v>8.1</v>
      </c>
      <c r="E418" s="13">
        <f t="shared" si="12"/>
        <v>3228.5714285714284</v>
      </c>
      <c r="F418" s="13">
        <v>11300</v>
      </c>
      <c r="G418" s="13">
        <v>3.5</v>
      </c>
      <c r="H418" s="13">
        <f t="shared" si="13"/>
        <v>3228.5714285714284</v>
      </c>
      <c r="I418" s="13">
        <f>IF((E418-Scenario!R418)&lt;0,E418,Scenario!R418)</f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</row>
    <row r="419" spans="1:14" x14ac:dyDescent="0.25">
      <c r="A419" s="13" t="s">
        <v>967</v>
      </c>
      <c r="B419" s="13" t="s">
        <v>478</v>
      </c>
      <c r="C419" s="13">
        <v>216</v>
      </c>
      <c r="D419" s="13">
        <v>23.5</v>
      </c>
      <c r="E419" s="13">
        <f t="shared" si="12"/>
        <v>19371.428571428572</v>
      </c>
      <c r="F419" s="13">
        <v>67800</v>
      </c>
      <c r="G419" s="13">
        <v>3.5</v>
      </c>
      <c r="H419" s="13">
        <f t="shared" si="13"/>
        <v>19371.428571428572</v>
      </c>
      <c r="I419" s="13">
        <f>IF((E419-Scenario!R419)&lt;0,E419,Scenario!R419)</f>
        <v>0</v>
      </c>
      <c r="J419" s="13">
        <v>0</v>
      </c>
      <c r="K419" s="13">
        <v>0</v>
      </c>
      <c r="L419" s="13">
        <v>0</v>
      </c>
      <c r="M419" s="13">
        <v>0</v>
      </c>
      <c r="N419" s="13">
        <v>0</v>
      </c>
    </row>
    <row r="420" spans="1:14" x14ac:dyDescent="0.25">
      <c r="A420" s="13" t="s">
        <v>968</v>
      </c>
      <c r="B420" s="13" t="s">
        <v>479</v>
      </c>
      <c r="C420" s="13">
        <v>683</v>
      </c>
      <c r="D420" s="13">
        <v>16.8</v>
      </c>
      <c r="E420" s="13">
        <f t="shared" si="12"/>
        <v>6800</v>
      </c>
      <c r="F420" s="13">
        <v>23800</v>
      </c>
      <c r="G420" s="13">
        <v>3.5</v>
      </c>
      <c r="H420" s="13">
        <f t="shared" si="13"/>
        <v>0</v>
      </c>
      <c r="I420" s="13">
        <f>IF((E420-Scenario!R420)&lt;0,E420,Scenario!R420)</f>
        <v>6800</v>
      </c>
      <c r="J420" s="13">
        <v>0</v>
      </c>
      <c r="K420" s="13">
        <v>0</v>
      </c>
      <c r="L420" s="13">
        <v>0</v>
      </c>
      <c r="M420" s="13">
        <v>0</v>
      </c>
      <c r="N420" s="13">
        <v>0</v>
      </c>
    </row>
    <row r="421" spans="1:14" x14ac:dyDescent="0.25">
      <c r="A421" s="13" t="s">
        <v>969</v>
      </c>
      <c r="B421" s="13" t="s">
        <v>480</v>
      </c>
      <c r="C421" s="13">
        <v>691</v>
      </c>
      <c r="D421" s="13">
        <v>20.7</v>
      </c>
      <c r="E421" s="13">
        <f t="shared" si="12"/>
        <v>7028.5714285714284</v>
      </c>
      <c r="F421" s="13">
        <v>24600</v>
      </c>
      <c r="G421" s="13">
        <v>3.5</v>
      </c>
      <c r="H421" s="13">
        <f t="shared" si="13"/>
        <v>7028.5714285714284</v>
      </c>
      <c r="I421" s="13">
        <f>IF((E421-Scenario!R421)&lt;0,E421,Scenario!R421)</f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</row>
    <row r="422" spans="1:14" x14ac:dyDescent="0.25">
      <c r="A422" s="13" t="s">
        <v>970</v>
      </c>
      <c r="B422" s="13" t="s">
        <v>481</v>
      </c>
      <c r="C422" s="13">
        <v>191</v>
      </c>
      <c r="D422" s="13">
        <v>6.9</v>
      </c>
      <c r="E422" s="13">
        <f t="shared" si="12"/>
        <v>2325.7142857142858</v>
      </c>
      <c r="F422" s="13">
        <v>8140</v>
      </c>
      <c r="G422" s="13">
        <v>3.5</v>
      </c>
      <c r="H422" s="13">
        <f t="shared" si="13"/>
        <v>0</v>
      </c>
      <c r="I422" s="13">
        <f>IF((E422-Scenario!R422)&lt;0,E422,Scenario!R422)</f>
        <v>2325.7142857142858</v>
      </c>
      <c r="J422" s="13">
        <v>0</v>
      </c>
      <c r="K422" s="13">
        <v>0</v>
      </c>
      <c r="L422" s="13">
        <v>0</v>
      </c>
      <c r="M422" s="13">
        <v>0</v>
      </c>
      <c r="N422" s="13">
        <v>0</v>
      </c>
    </row>
    <row r="423" spans="1:14" x14ac:dyDescent="0.25">
      <c r="A423" s="13" t="s">
        <v>971</v>
      </c>
      <c r="B423" s="13" t="s">
        <v>482</v>
      </c>
      <c r="C423" s="13">
        <v>99</v>
      </c>
      <c r="D423" s="13">
        <v>5.8</v>
      </c>
      <c r="E423" s="13">
        <f t="shared" si="12"/>
        <v>1937.1428571428571</v>
      </c>
      <c r="F423" s="13">
        <v>6780</v>
      </c>
      <c r="G423" s="13">
        <v>3.5</v>
      </c>
      <c r="H423" s="13">
        <f t="shared" si="13"/>
        <v>0</v>
      </c>
      <c r="I423" s="13">
        <f>IF((E423-Scenario!R423)&lt;0,E423,Scenario!R423)</f>
        <v>1937.1428571428571</v>
      </c>
      <c r="J423" s="13">
        <v>0</v>
      </c>
      <c r="K423" s="13">
        <v>0</v>
      </c>
      <c r="L423" s="13">
        <v>0</v>
      </c>
      <c r="M423" s="13">
        <v>0</v>
      </c>
      <c r="N423" s="13">
        <v>0</v>
      </c>
    </row>
    <row r="424" spans="1:14" x14ac:dyDescent="0.25">
      <c r="A424" s="13" t="s">
        <v>972</v>
      </c>
      <c r="B424" s="13" t="s">
        <v>483</v>
      </c>
      <c r="C424" s="13">
        <v>548</v>
      </c>
      <c r="D424" s="13">
        <v>21.7</v>
      </c>
      <c r="E424" s="13">
        <f t="shared" si="12"/>
        <v>4371.4285714285716</v>
      </c>
      <c r="F424" s="13">
        <v>15300</v>
      </c>
      <c r="G424" s="13">
        <v>3.5</v>
      </c>
      <c r="H424" s="13">
        <f t="shared" si="13"/>
        <v>4371.4285714285716</v>
      </c>
      <c r="I424" s="13">
        <f>IF((E424-Scenario!R424)&lt;0,E424,Scenario!R424)</f>
        <v>0</v>
      </c>
      <c r="J424" s="13">
        <v>0</v>
      </c>
      <c r="K424" s="13">
        <v>0</v>
      </c>
      <c r="L424" s="13">
        <v>0</v>
      </c>
      <c r="M424" s="13">
        <v>0</v>
      </c>
      <c r="N424" s="13">
        <v>0</v>
      </c>
    </row>
    <row r="425" spans="1:14" x14ac:dyDescent="0.25">
      <c r="A425" s="13" t="s">
        <v>973</v>
      </c>
      <c r="B425" s="13" t="s">
        <v>484</v>
      </c>
      <c r="C425" s="13">
        <v>1682</v>
      </c>
      <c r="D425" s="13">
        <v>44.3</v>
      </c>
      <c r="E425" s="13">
        <f t="shared" si="12"/>
        <v>15457.142857142857</v>
      </c>
      <c r="F425" s="13">
        <v>54100</v>
      </c>
      <c r="G425" s="13">
        <v>3.5</v>
      </c>
      <c r="H425" s="13">
        <f t="shared" si="13"/>
        <v>4401.1428571428569</v>
      </c>
      <c r="I425" s="13">
        <f>IF((E425-Scenario!R425)&lt;0,E425,Scenario!R425)</f>
        <v>11056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</row>
    <row r="426" spans="1:14" x14ac:dyDescent="0.25">
      <c r="A426" s="13" t="s">
        <v>974</v>
      </c>
      <c r="B426" s="13" t="s">
        <v>485</v>
      </c>
      <c r="C426" s="13">
        <v>186</v>
      </c>
      <c r="D426" s="13">
        <v>10.1</v>
      </c>
      <c r="E426" s="13">
        <f t="shared" si="12"/>
        <v>2617.1428571428573</v>
      </c>
      <c r="F426" s="13">
        <v>9160</v>
      </c>
      <c r="G426" s="13">
        <v>3.5</v>
      </c>
      <c r="H426" s="13">
        <f t="shared" si="13"/>
        <v>2617.1428571428573</v>
      </c>
      <c r="I426" s="13">
        <f>IF((E426-Scenario!R426)&lt;0,E426,Scenario!R426)</f>
        <v>0</v>
      </c>
      <c r="J426" s="13">
        <v>0</v>
      </c>
      <c r="K426" s="13">
        <v>0</v>
      </c>
      <c r="L426" s="13">
        <v>0</v>
      </c>
      <c r="M426" s="13">
        <v>0</v>
      </c>
      <c r="N426" s="13">
        <v>0</v>
      </c>
    </row>
    <row r="427" spans="1:14" x14ac:dyDescent="0.25">
      <c r="A427" s="13" t="s">
        <v>975</v>
      </c>
      <c r="B427" s="13" t="s">
        <v>486</v>
      </c>
      <c r="C427" s="13">
        <v>639</v>
      </c>
      <c r="D427" s="13">
        <v>17.7</v>
      </c>
      <c r="E427" s="13">
        <f t="shared" si="12"/>
        <v>6200</v>
      </c>
      <c r="F427" s="13">
        <v>21700</v>
      </c>
      <c r="G427" s="13">
        <v>3.5</v>
      </c>
      <c r="H427" s="13">
        <f t="shared" si="13"/>
        <v>0</v>
      </c>
      <c r="I427" s="13">
        <f>IF((E427-Scenario!R427)&lt;0,E427,Scenario!R427)</f>
        <v>6200</v>
      </c>
      <c r="J427" s="13">
        <v>0</v>
      </c>
      <c r="K427" s="13">
        <v>0</v>
      </c>
      <c r="L427" s="13">
        <v>0</v>
      </c>
      <c r="M427" s="13">
        <v>0</v>
      </c>
      <c r="N427" s="13">
        <v>0</v>
      </c>
    </row>
    <row r="428" spans="1:14" x14ac:dyDescent="0.25">
      <c r="A428" s="13" t="s">
        <v>976</v>
      </c>
      <c r="B428" s="13" t="s">
        <v>487</v>
      </c>
      <c r="C428" s="13">
        <v>181</v>
      </c>
      <c r="D428" s="13">
        <v>10.8</v>
      </c>
      <c r="E428" s="13">
        <f t="shared" si="12"/>
        <v>2754.2857142857142</v>
      </c>
      <c r="F428" s="13">
        <v>9640</v>
      </c>
      <c r="G428" s="13">
        <v>3.5</v>
      </c>
      <c r="H428" s="13">
        <f t="shared" si="13"/>
        <v>2754.2857142857142</v>
      </c>
      <c r="I428" s="13">
        <f>IF((E428-Scenario!R428)&lt;0,E428,Scenario!R428)</f>
        <v>0</v>
      </c>
      <c r="J428" s="13">
        <v>0</v>
      </c>
      <c r="K428" s="13">
        <v>0</v>
      </c>
      <c r="L428" s="13">
        <v>0</v>
      </c>
      <c r="M428" s="13">
        <v>0</v>
      </c>
      <c r="N428" s="13">
        <v>0</v>
      </c>
    </row>
    <row r="429" spans="1:14" x14ac:dyDescent="0.25">
      <c r="A429" s="13" t="s">
        <v>977</v>
      </c>
      <c r="B429" s="13" t="s">
        <v>488</v>
      </c>
      <c r="C429" s="13">
        <v>107</v>
      </c>
      <c r="D429" s="13">
        <v>5.6</v>
      </c>
      <c r="E429" s="13">
        <f t="shared" si="12"/>
        <v>1288.5714285714287</v>
      </c>
      <c r="F429" s="13">
        <v>4510</v>
      </c>
      <c r="G429" s="13">
        <v>3.5</v>
      </c>
      <c r="H429" s="13">
        <f t="shared" si="13"/>
        <v>1288.5714285714287</v>
      </c>
      <c r="I429" s="13">
        <f>IF((E429-Scenario!R429)&lt;0,E429,Scenario!R429)</f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0</v>
      </c>
    </row>
    <row r="430" spans="1:14" x14ac:dyDescent="0.25">
      <c r="A430" s="13" t="s">
        <v>978</v>
      </c>
      <c r="B430" s="13" t="s">
        <v>489</v>
      </c>
      <c r="C430" s="13">
        <v>415</v>
      </c>
      <c r="D430" s="13">
        <v>14.7</v>
      </c>
      <c r="E430" s="13">
        <f t="shared" si="12"/>
        <v>2914.2857142857142</v>
      </c>
      <c r="F430" s="13">
        <v>10200</v>
      </c>
      <c r="G430" s="13">
        <v>3.5</v>
      </c>
      <c r="H430" s="13">
        <f t="shared" si="13"/>
        <v>2914.2857142857142</v>
      </c>
      <c r="I430" s="13">
        <f>IF((E430-Scenario!R430)&lt;0,E430,Scenario!R430)</f>
        <v>0</v>
      </c>
      <c r="J430" s="13">
        <v>0</v>
      </c>
      <c r="K430" s="13">
        <v>0</v>
      </c>
      <c r="L430" s="13">
        <v>0</v>
      </c>
      <c r="M430" s="13">
        <v>0</v>
      </c>
      <c r="N430" s="13">
        <v>0</v>
      </c>
    </row>
    <row r="431" spans="1:14" x14ac:dyDescent="0.25">
      <c r="A431" s="13" t="s">
        <v>979</v>
      </c>
      <c r="B431" s="13" t="s">
        <v>490</v>
      </c>
      <c r="C431" s="13">
        <v>79</v>
      </c>
      <c r="D431" s="13">
        <v>4.7</v>
      </c>
      <c r="E431" s="13">
        <f t="shared" si="12"/>
        <v>1057.1428571428571</v>
      </c>
      <c r="F431" s="13">
        <v>3700</v>
      </c>
      <c r="G431" s="13">
        <v>3.5</v>
      </c>
      <c r="H431" s="13">
        <f t="shared" si="13"/>
        <v>1057.1428571428571</v>
      </c>
      <c r="I431" s="13">
        <f>IF((E431-Scenario!R431)&lt;0,E431,Scenario!R431)</f>
        <v>0</v>
      </c>
      <c r="J431" s="13">
        <v>0</v>
      </c>
      <c r="K431" s="13">
        <v>0</v>
      </c>
      <c r="L431" s="13">
        <v>0</v>
      </c>
      <c r="M431" s="13">
        <v>0</v>
      </c>
      <c r="N431" s="13">
        <v>0</v>
      </c>
    </row>
    <row r="432" spans="1:14" x14ac:dyDescent="0.25">
      <c r="A432" s="13" t="s">
        <v>980</v>
      </c>
      <c r="B432" s="13" t="s">
        <v>491</v>
      </c>
      <c r="C432" s="13">
        <v>901</v>
      </c>
      <c r="D432" s="13">
        <v>28.1</v>
      </c>
      <c r="E432" s="13">
        <f t="shared" si="12"/>
        <v>10771.428571428571</v>
      </c>
      <c r="F432" s="13">
        <v>37700</v>
      </c>
      <c r="G432" s="13">
        <v>3.5</v>
      </c>
      <c r="H432" s="13">
        <f t="shared" si="13"/>
        <v>0</v>
      </c>
      <c r="I432" s="13">
        <f>IF((E432-Scenario!R432)&lt;0,E432,Scenario!R432)</f>
        <v>10771.428571428571</v>
      </c>
      <c r="J432" s="13">
        <v>0</v>
      </c>
      <c r="K432" s="13">
        <v>0</v>
      </c>
      <c r="L432" s="13">
        <v>0</v>
      </c>
      <c r="M432" s="13">
        <v>0</v>
      </c>
      <c r="N432" s="13">
        <v>0</v>
      </c>
    </row>
    <row r="433" spans="1:14" x14ac:dyDescent="0.25">
      <c r="A433" s="13" t="s">
        <v>981</v>
      </c>
      <c r="B433" s="13" t="s">
        <v>492</v>
      </c>
      <c r="C433" s="13">
        <v>113</v>
      </c>
      <c r="D433" s="13">
        <v>5.7</v>
      </c>
      <c r="E433" s="13">
        <f t="shared" si="12"/>
        <v>1268.5714285714287</v>
      </c>
      <c r="F433" s="13">
        <v>4440</v>
      </c>
      <c r="G433" s="13">
        <v>3.5</v>
      </c>
      <c r="H433" s="13">
        <f t="shared" si="13"/>
        <v>1268.5714285714287</v>
      </c>
      <c r="I433" s="13">
        <f>IF((E433-Scenario!R433)&lt;0,E433,Scenario!R433)</f>
        <v>0</v>
      </c>
      <c r="J433" s="13">
        <v>0</v>
      </c>
      <c r="K433" s="13">
        <v>0</v>
      </c>
      <c r="L433" s="13">
        <v>0</v>
      </c>
      <c r="M433" s="13">
        <v>0</v>
      </c>
      <c r="N433" s="13">
        <v>0</v>
      </c>
    </row>
    <row r="434" spans="1:14" x14ac:dyDescent="0.25">
      <c r="A434" s="13" t="s">
        <v>982</v>
      </c>
      <c r="B434" s="13" t="s">
        <v>493</v>
      </c>
      <c r="C434" s="13">
        <v>278</v>
      </c>
      <c r="D434" s="13">
        <v>9.3000000000000007</v>
      </c>
      <c r="E434" s="13">
        <f t="shared" si="12"/>
        <v>3142.8571428571427</v>
      </c>
      <c r="F434" s="13">
        <v>11000</v>
      </c>
      <c r="G434" s="13">
        <v>3.5</v>
      </c>
      <c r="H434" s="13">
        <f t="shared" si="13"/>
        <v>3142.8571428571427</v>
      </c>
      <c r="I434" s="13">
        <f>IF((E434-Scenario!R434)&lt;0,E434,Scenario!R434)</f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</row>
    <row r="435" spans="1:14" x14ac:dyDescent="0.25">
      <c r="A435" s="13" t="s">
        <v>983</v>
      </c>
      <c r="B435" s="13" t="s">
        <v>494</v>
      </c>
      <c r="C435" s="13">
        <v>279</v>
      </c>
      <c r="D435" s="13">
        <v>10.4</v>
      </c>
      <c r="E435" s="13">
        <f t="shared" si="12"/>
        <v>2348.5714285714284</v>
      </c>
      <c r="F435" s="13">
        <v>8220</v>
      </c>
      <c r="G435" s="13">
        <v>3.5</v>
      </c>
      <c r="H435" s="13">
        <f t="shared" si="13"/>
        <v>2348.5714285714284</v>
      </c>
      <c r="I435" s="13">
        <f>IF((E435-Scenario!R435)&lt;0,E435,Scenario!R435)</f>
        <v>0</v>
      </c>
      <c r="J435" s="13">
        <v>0</v>
      </c>
      <c r="K435" s="13">
        <v>0</v>
      </c>
      <c r="L435" s="13">
        <v>0</v>
      </c>
      <c r="M435" s="13">
        <v>0</v>
      </c>
      <c r="N435" s="13">
        <v>0</v>
      </c>
    </row>
    <row r="436" spans="1:14" x14ac:dyDescent="0.25">
      <c r="A436" s="13" t="s">
        <v>984</v>
      </c>
      <c r="B436" s="13" t="s">
        <v>495</v>
      </c>
      <c r="C436" s="13">
        <v>255</v>
      </c>
      <c r="D436" s="13">
        <v>12.1</v>
      </c>
      <c r="E436" s="13">
        <f t="shared" si="12"/>
        <v>3228.5714285714284</v>
      </c>
      <c r="F436" s="13">
        <v>11300</v>
      </c>
      <c r="G436" s="13">
        <v>3.5</v>
      </c>
      <c r="H436" s="13">
        <f t="shared" si="13"/>
        <v>3228.5714285714284</v>
      </c>
      <c r="I436" s="13">
        <f>IF((E436-Scenario!R436)&lt;0,E436,Scenario!R436)</f>
        <v>0</v>
      </c>
      <c r="J436" s="13">
        <v>0</v>
      </c>
      <c r="K436" s="13">
        <v>0</v>
      </c>
      <c r="L436" s="13">
        <v>0</v>
      </c>
      <c r="M436" s="13">
        <v>0</v>
      </c>
      <c r="N436" s="13">
        <v>0</v>
      </c>
    </row>
    <row r="437" spans="1:14" x14ac:dyDescent="0.25">
      <c r="A437" s="13" t="s">
        <v>985</v>
      </c>
      <c r="B437" s="13" t="s">
        <v>496</v>
      </c>
      <c r="C437" s="13">
        <v>565</v>
      </c>
      <c r="D437" s="13">
        <v>21.6</v>
      </c>
      <c r="E437" s="13">
        <f t="shared" si="12"/>
        <v>4885.7142857142853</v>
      </c>
      <c r="F437" s="13">
        <v>17100</v>
      </c>
      <c r="G437" s="13">
        <v>3.5</v>
      </c>
      <c r="H437" s="13">
        <f t="shared" si="13"/>
        <v>4885.7142857142853</v>
      </c>
      <c r="I437" s="13">
        <f>IF((E437-Scenario!R437)&lt;0,E437,Scenario!R437)</f>
        <v>0</v>
      </c>
      <c r="J437" s="13">
        <v>0</v>
      </c>
      <c r="K437" s="13">
        <v>0</v>
      </c>
      <c r="L437" s="13">
        <v>0</v>
      </c>
      <c r="M437" s="13">
        <v>0</v>
      </c>
      <c r="N437" s="13">
        <v>0</v>
      </c>
    </row>
    <row r="438" spans="1:14" x14ac:dyDescent="0.25">
      <c r="A438" s="13" t="s">
        <v>986</v>
      </c>
      <c r="B438" s="13" t="s">
        <v>497</v>
      </c>
      <c r="C438" s="13">
        <v>114</v>
      </c>
      <c r="D438" s="13">
        <v>7</v>
      </c>
      <c r="E438" s="13">
        <f t="shared" si="12"/>
        <v>1782.8571428571429</v>
      </c>
      <c r="F438" s="13">
        <v>6240</v>
      </c>
      <c r="G438" s="13">
        <v>3.5</v>
      </c>
      <c r="H438" s="13">
        <f t="shared" si="13"/>
        <v>1782.8571428571429</v>
      </c>
      <c r="I438" s="13">
        <f>IF((E438-Scenario!R438)&lt;0,E438,Scenario!R438)</f>
        <v>0</v>
      </c>
      <c r="J438" s="13">
        <v>0</v>
      </c>
      <c r="K438" s="13">
        <v>0</v>
      </c>
      <c r="L438" s="13">
        <v>0</v>
      </c>
      <c r="M438" s="13">
        <v>0</v>
      </c>
      <c r="N438" s="13">
        <v>0</v>
      </c>
    </row>
    <row r="439" spans="1:14" x14ac:dyDescent="0.25">
      <c r="A439" s="13" t="s">
        <v>987</v>
      </c>
      <c r="B439" s="13" t="s">
        <v>498</v>
      </c>
      <c r="C439" s="13">
        <v>597</v>
      </c>
      <c r="D439" s="13">
        <v>17.3</v>
      </c>
      <c r="E439" s="13">
        <f t="shared" si="12"/>
        <v>7342.8571428571431</v>
      </c>
      <c r="F439" s="13">
        <v>25700</v>
      </c>
      <c r="G439" s="13">
        <v>3.5</v>
      </c>
      <c r="H439" s="13">
        <f t="shared" si="13"/>
        <v>0</v>
      </c>
      <c r="I439" s="13">
        <f>IF((E439-Scenario!R439)&lt;0,E439,Scenario!R439)</f>
        <v>7342.8571428571431</v>
      </c>
      <c r="J439" s="13">
        <v>0</v>
      </c>
      <c r="K439" s="13">
        <v>0</v>
      </c>
      <c r="L439" s="13">
        <v>0</v>
      </c>
      <c r="M439" s="13">
        <v>0</v>
      </c>
      <c r="N439" s="13">
        <v>0</v>
      </c>
    </row>
    <row r="440" spans="1:14" x14ac:dyDescent="0.25">
      <c r="A440" s="13" t="s">
        <v>988</v>
      </c>
      <c r="B440" s="13" t="s">
        <v>499</v>
      </c>
      <c r="C440" s="13">
        <v>89</v>
      </c>
      <c r="D440" s="13">
        <v>3.9</v>
      </c>
      <c r="E440" s="13">
        <f t="shared" si="12"/>
        <v>1471.4285714285713</v>
      </c>
      <c r="F440" s="13">
        <v>5150</v>
      </c>
      <c r="G440" s="13">
        <v>3.5</v>
      </c>
      <c r="H440" s="13">
        <f t="shared" si="13"/>
        <v>0</v>
      </c>
      <c r="I440" s="13">
        <f>IF((E440-Scenario!R440)&lt;0,E440,Scenario!R440)</f>
        <v>1471.4285714285713</v>
      </c>
      <c r="J440" s="13">
        <v>0</v>
      </c>
      <c r="K440" s="13">
        <v>0</v>
      </c>
      <c r="L440" s="13">
        <v>0</v>
      </c>
      <c r="M440" s="13">
        <v>0</v>
      </c>
      <c r="N440" s="13">
        <v>0</v>
      </c>
    </row>
    <row r="441" spans="1:14" x14ac:dyDescent="0.25">
      <c r="A441" s="13" t="s">
        <v>989</v>
      </c>
      <c r="B441" s="13" t="s">
        <v>500</v>
      </c>
      <c r="C441" s="13">
        <v>999</v>
      </c>
      <c r="D441" s="13">
        <v>26.2</v>
      </c>
      <c r="E441" s="13">
        <f t="shared" si="12"/>
        <v>9142.8571428571431</v>
      </c>
      <c r="F441" s="13">
        <v>32000</v>
      </c>
      <c r="G441" s="13">
        <v>3.5</v>
      </c>
      <c r="H441" s="13">
        <f t="shared" si="13"/>
        <v>0</v>
      </c>
      <c r="I441" s="13">
        <f>IF((E441-Scenario!R441)&lt;0,E441,Scenario!R441)</f>
        <v>9142.8571428571431</v>
      </c>
      <c r="J441" s="13">
        <v>0</v>
      </c>
      <c r="K441" s="13">
        <v>0</v>
      </c>
      <c r="L441" s="13">
        <v>0</v>
      </c>
      <c r="M441" s="13">
        <v>0</v>
      </c>
      <c r="N441" s="13">
        <v>0</v>
      </c>
    </row>
    <row r="442" spans="1:14" x14ac:dyDescent="0.25">
      <c r="A442" s="13" t="s">
        <v>990</v>
      </c>
      <c r="B442" s="13" t="s">
        <v>501</v>
      </c>
      <c r="C442" s="13">
        <v>123</v>
      </c>
      <c r="D442" s="13">
        <v>7.6</v>
      </c>
      <c r="E442" s="13">
        <f t="shared" si="12"/>
        <v>1862.8571428571429</v>
      </c>
      <c r="F442" s="13">
        <v>6520</v>
      </c>
      <c r="G442" s="13">
        <v>3.5</v>
      </c>
      <c r="H442" s="13">
        <f t="shared" si="13"/>
        <v>1862.8571428571429</v>
      </c>
      <c r="I442" s="13">
        <f>IF((E442-Scenario!R442)&lt;0,E442,Scenario!R442)</f>
        <v>0</v>
      </c>
      <c r="J442" s="13">
        <v>0</v>
      </c>
      <c r="K442" s="13">
        <v>0</v>
      </c>
      <c r="L442" s="13">
        <v>0</v>
      </c>
      <c r="M442" s="13">
        <v>0</v>
      </c>
      <c r="N442" s="13">
        <v>0</v>
      </c>
    </row>
    <row r="443" spans="1:14" x14ac:dyDescent="0.25">
      <c r="A443" s="13" t="s">
        <v>991</v>
      </c>
      <c r="B443" s="13" t="s">
        <v>502</v>
      </c>
      <c r="C443" s="13">
        <v>472</v>
      </c>
      <c r="D443" s="13">
        <v>19.7</v>
      </c>
      <c r="E443" s="13">
        <f t="shared" si="12"/>
        <v>4885.7142857142853</v>
      </c>
      <c r="F443" s="13">
        <v>17100</v>
      </c>
      <c r="G443" s="13">
        <v>3.5</v>
      </c>
      <c r="H443" s="13">
        <f t="shared" si="13"/>
        <v>4885.7142857142853</v>
      </c>
      <c r="I443" s="13">
        <f>IF((E443-Scenario!R443)&lt;0,E443,Scenario!R443)</f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</row>
    <row r="444" spans="1:14" x14ac:dyDescent="0.25">
      <c r="A444" s="13" t="s">
        <v>992</v>
      </c>
      <c r="B444" s="13" t="s">
        <v>503</v>
      </c>
      <c r="C444" s="13">
        <v>287</v>
      </c>
      <c r="D444" s="13">
        <v>9.8000000000000007</v>
      </c>
      <c r="E444" s="13">
        <f t="shared" si="12"/>
        <v>3885.7142857142858</v>
      </c>
      <c r="F444" s="13">
        <v>13600</v>
      </c>
      <c r="G444" s="13">
        <v>3.5</v>
      </c>
      <c r="H444" s="13">
        <f t="shared" si="13"/>
        <v>0</v>
      </c>
      <c r="I444" s="13">
        <f>IF((E444-Scenario!R444)&lt;0,E444,Scenario!R444)</f>
        <v>3885.7142857142858</v>
      </c>
      <c r="J444" s="13">
        <v>0</v>
      </c>
      <c r="K444" s="13">
        <v>0</v>
      </c>
      <c r="L444" s="13">
        <v>0</v>
      </c>
      <c r="M444" s="13">
        <v>0</v>
      </c>
      <c r="N444" s="13">
        <v>0</v>
      </c>
    </row>
    <row r="445" spans="1:14" x14ac:dyDescent="0.25">
      <c r="A445" s="13" t="s">
        <v>993</v>
      </c>
      <c r="B445" s="13" t="s">
        <v>504</v>
      </c>
      <c r="C445" s="13">
        <v>379</v>
      </c>
      <c r="D445" s="13">
        <v>10.9</v>
      </c>
      <c r="E445" s="13">
        <f t="shared" si="12"/>
        <v>4085.7142857142858</v>
      </c>
      <c r="F445" s="13">
        <v>14300</v>
      </c>
      <c r="G445" s="13">
        <v>3.5</v>
      </c>
      <c r="H445" s="13">
        <f t="shared" si="13"/>
        <v>0</v>
      </c>
      <c r="I445" s="13">
        <f>IF((E445-Scenario!R445)&lt;0,E445,Scenario!R445)</f>
        <v>4085.7142857142858</v>
      </c>
      <c r="J445" s="13">
        <v>0</v>
      </c>
      <c r="K445" s="13">
        <v>0</v>
      </c>
      <c r="L445" s="13">
        <v>0</v>
      </c>
      <c r="M445" s="13">
        <v>0</v>
      </c>
      <c r="N445" s="13">
        <v>0</v>
      </c>
    </row>
    <row r="446" spans="1:14" x14ac:dyDescent="0.25">
      <c r="A446" s="13" t="s">
        <v>994</v>
      </c>
      <c r="B446" s="13" t="s">
        <v>505</v>
      </c>
      <c r="C446" s="13">
        <v>96</v>
      </c>
      <c r="D446" s="13">
        <v>4.7</v>
      </c>
      <c r="E446" s="13">
        <f t="shared" si="12"/>
        <v>1245.7142857142858</v>
      </c>
      <c r="F446" s="13">
        <v>4360</v>
      </c>
      <c r="G446" s="13">
        <v>3.5</v>
      </c>
      <c r="H446" s="13">
        <f t="shared" si="13"/>
        <v>1245.7142857142858</v>
      </c>
      <c r="I446" s="13">
        <f>IF((E446-Scenario!R446)&lt;0,E446,Scenario!R446)</f>
        <v>0</v>
      </c>
      <c r="J446" s="13">
        <v>0</v>
      </c>
      <c r="K446" s="13">
        <v>0</v>
      </c>
      <c r="L446" s="13">
        <v>0</v>
      </c>
      <c r="M446" s="13">
        <v>0</v>
      </c>
      <c r="N446" s="13">
        <v>0</v>
      </c>
    </row>
    <row r="447" spans="1:14" x14ac:dyDescent="0.25">
      <c r="A447" s="13" t="s">
        <v>995</v>
      </c>
      <c r="B447" s="13" t="s">
        <v>506</v>
      </c>
      <c r="C447" s="13">
        <v>174</v>
      </c>
      <c r="D447" s="13">
        <v>10.4</v>
      </c>
      <c r="E447" s="13">
        <f t="shared" si="12"/>
        <v>2714.2857142857142</v>
      </c>
      <c r="F447" s="13">
        <v>9500</v>
      </c>
      <c r="G447" s="13">
        <v>3.5</v>
      </c>
      <c r="H447" s="13">
        <f t="shared" si="13"/>
        <v>2714.2857142857142</v>
      </c>
      <c r="I447" s="13">
        <f>IF((E447-Scenario!R447)&lt;0,E447,Scenario!R447)</f>
        <v>0</v>
      </c>
      <c r="J447" s="13">
        <v>0</v>
      </c>
      <c r="K447" s="13">
        <v>0</v>
      </c>
      <c r="L447" s="13">
        <v>0</v>
      </c>
      <c r="M447" s="13">
        <v>0</v>
      </c>
      <c r="N447" s="13">
        <v>0</v>
      </c>
    </row>
    <row r="448" spans="1:14" x14ac:dyDescent="0.25">
      <c r="A448" s="13" t="s">
        <v>996</v>
      </c>
      <c r="B448" s="13" t="s">
        <v>507</v>
      </c>
      <c r="C448" s="13">
        <v>167</v>
      </c>
      <c r="D448" s="13">
        <v>7.1</v>
      </c>
      <c r="E448" s="13">
        <f t="shared" si="12"/>
        <v>1525.7142857142858</v>
      </c>
      <c r="F448" s="13">
        <v>5340</v>
      </c>
      <c r="G448" s="13">
        <v>3.5</v>
      </c>
      <c r="H448" s="13">
        <f t="shared" si="13"/>
        <v>1525.7142857142858</v>
      </c>
      <c r="I448" s="13">
        <f>IF((E448-Scenario!R448)&lt;0,E448,Scenario!R448)</f>
        <v>0</v>
      </c>
      <c r="J448" s="13">
        <v>0</v>
      </c>
      <c r="K448" s="13">
        <v>0</v>
      </c>
      <c r="L448" s="13">
        <v>0</v>
      </c>
      <c r="M448" s="13">
        <v>0</v>
      </c>
      <c r="N448" s="13">
        <v>0</v>
      </c>
    </row>
    <row r="449" spans="1:14" x14ac:dyDescent="0.25">
      <c r="A449" s="13" t="s">
        <v>997</v>
      </c>
      <c r="B449" s="13" t="s">
        <v>508</v>
      </c>
      <c r="C449" s="13">
        <v>191</v>
      </c>
      <c r="D449" s="13">
        <v>7.5</v>
      </c>
      <c r="E449" s="13">
        <f t="shared" si="12"/>
        <v>2691.4285714285716</v>
      </c>
      <c r="F449" s="13">
        <v>9420</v>
      </c>
      <c r="G449" s="13">
        <v>3.5</v>
      </c>
      <c r="H449" s="13">
        <f t="shared" si="13"/>
        <v>0</v>
      </c>
      <c r="I449" s="13">
        <f>IF((E449-Scenario!R449)&lt;0,E449,Scenario!R449)</f>
        <v>2691.4285714285716</v>
      </c>
      <c r="J449" s="13">
        <v>0</v>
      </c>
      <c r="K449" s="13">
        <v>0</v>
      </c>
      <c r="L449" s="13">
        <v>0</v>
      </c>
      <c r="M449" s="13">
        <v>0</v>
      </c>
      <c r="N449" s="13">
        <v>0</v>
      </c>
    </row>
    <row r="450" spans="1:14" x14ac:dyDescent="0.25">
      <c r="A450" s="13" t="s">
        <v>998</v>
      </c>
      <c r="B450" s="13" t="s">
        <v>509</v>
      </c>
      <c r="C450" s="13">
        <v>625</v>
      </c>
      <c r="D450" s="13">
        <v>15.6</v>
      </c>
      <c r="E450" s="13">
        <f t="shared" si="12"/>
        <v>5657.1428571428569</v>
      </c>
      <c r="F450" s="13">
        <v>19800</v>
      </c>
      <c r="G450" s="13">
        <v>3.5</v>
      </c>
      <c r="H450" s="13">
        <f t="shared" si="13"/>
        <v>0</v>
      </c>
      <c r="I450" s="13">
        <f>IF((E450-Scenario!R450)&lt;0,E450,Scenario!R450)</f>
        <v>5657.1428571428569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</row>
    <row r="451" spans="1:14" x14ac:dyDescent="0.25">
      <c r="A451" s="13" t="s">
        <v>999</v>
      </c>
      <c r="B451" s="13" t="s">
        <v>510</v>
      </c>
      <c r="C451" s="13">
        <v>1304</v>
      </c>
      <c r="D451" s="13">
        <v>41.3</v>
      </c>
      <c r="E451" s="13">
        <f t="shared" ref="E451:E476" si="14">F451/G451</f>
        <v>7857.1428571428569</v>
      </c>
      <c r="F451" s="13">
        <v>27500</v>
      </c>
      <c r="G451" s="13">
        <v>3.5</v>
      </c>
      <c r="H451" s="13">
        <f t="shared" ref="H451:H476" si="15">(F451/G451)-SUM(I451:N451)</f>
        <v>7857.1428571428569</v>
      </c>
      <c r="I451" s="13">
        <f>IF((E451-Scenario!R451)&lt;0,E451,Scenario!R451)</f>
        <v>0</v>
      </c>
      <c r="J451" s="13">
        <v>0</v>
      </c>
      <c r="K451" s="13">
        <v>0</v>
      </c>
      <c r="L451" s="13">
        <v>0</v>
      </c>
      <c r="M451" s="13">
        <v>0</v>
      </c>
      <c r="N451" s="13">
        <v>0</v>
      </c>
    </row>
    <row r="452" spans="1:14" x14ac:dyDescent="0.25">
      <c r="A452" s="13" t="s">
        <v>1000</v>
      </c>
      <c r="B452" s="13" t="s">
        <v>511</v>
      </c>
      <c r="C452" s="13">
        <v>218</v>
      </c>
      <c r="D452" s="13">
        <v>6.4</v>
      </c>
      <c r="E452" s="13">
        <f t="shared" si="14"/>
        <v>2354.2857142857142</v>
      </c>
      <c r="F452" s="13">
        <v>8240</v>
      </c>
      <c r="G452" s="13">
        <v>3.5</v>
      </c>
      <c r="H452" s="13">
        <f t="shared" si="15"/>
        <v>0</v>
      </c>
      <c r="I452" s="13">
        <f>IF((E452-Scenario!R452)&lt;0,E452,Scenario!R452)</f>
        <v>2354.2857142857142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</row>
    <row r="453" spans="1:14" x14ac:dyDescent="0.25">
      <c r="A453" s="13" t="s">
        <v>1001</v>
      </c>
      <c r="B453" s="13" t="s">
        <v>512</v>
      </c>
      <c r="C453" s="13">
        <v>5417</v>
      </c>
      <c r="D453" s="13">
        <v>148</v>
      </c>
      <c r="E453" s="13">
        <f t="shared" si="14"/>
        <v>59142.857142857145</v>
      </c>
      <c r="F453" s="13">
        <v>207000</v>
      </c>
      <c r="G453" s="13">
        <v>3.5</v>
      </c>
      <c r="H453" s="13">
        <f t="shared" si="15"/>
        <v>24592.857142857145</v>
      </c>
      <c r="I453" s="13">
        <f>IF((E453-Scenario!R453)&lt;0,E453,Scenario!R453)</f>
        <v>34550</v>
      </c>
      <c r="J453" s="13">
        <v>0</v>
      </c>
      <c r="K453" s="13">
        <v>0</v>
      </c>
      <c r="L453" s="13">
        <v>0</v>
      </c>
      <c r="M453" s="13">
        <v>0</v>
      </c>
      <c r="N453" s="13">
        <v>0</v>
      </c>
    </row>
    <row r="454" spans="1:14" x14ac:dyDescent="0.25">
      <c r="A454" s="13" t="s">
        <v>1002</v>
      </c>
      <c r="B454" s="13" t="s">
        <v>513</v>
      </c>
      <c r="C454" s="13">
        <v>832</v>
      </c>
      <c r="D454" s="13">
        <v>24.5</v>
      </c>
      <c r="E454" s="13">
        <f t="shared" si="14"/>
        <v>9600</v>
      </c>
      <c r="F454" s="13">
        <v>33600</v>
      </c>
      <c r="G454" s="13">
        <v>3.5</v>
      </c>
      <c r="H454" s="13">
        <f t="shared" si="15"/>
        <v>0</v>
      </c>
      <c r="I454" s="13">
        <f>IF((E454-Scenario!R454)&lt;0,E454,Scenario!R454)</f>
        <v>9600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</row>
    <row r="455" spans="1:14" x14ac:dyDescent="0.25">
      <c r="A455" s="13" t="s">
        <v>1003</v>
      </c>
      <c r="B455" s="13" t="s">
        <v>514</v>
      </c>
      <c r="C455" s="13">
        <v>1524</v>
      </c>
      <c r="D455" s="13">
        <v>37.9</v>
      </c>
      <c r="E455" s="13">
        <f t="shared" si="14"/>
        <v>13714.285714285714</v>
      </c>
      <c r="F455" s="13">
        <v>48000</v>
      </c>
      <c r="G455" s="13">
        <v>3.5</v>
      </c>
      <c r="H455" s="13">
        <f t="shared" si="15"/>
        <v>13714.285714285714</v>
      </c>
      <c r="I455" s="13">
        <f>IF((E455-Scenario!R455)&lt;0,E455,Scenario!R455)</f>
        <v>0</v>
      </c>
      <c r="J455" s="13">
        <v>0</v>
      </c>
      <c r="K455" s="13">
        <v>0</v>
      </c>
      <c r="L455" s="13">
        <v>0</v>
      </c>
      <c r="M455" s="13">
        <v>0</v>
      </c>
      <c r="N455" s="13">
        <v>0</v>
      </c>
    </row>
    <row r="456" spans="1:14" x14ac:dyDescent="0.25">
      <c r="A456" s="13" t="s">
        <v>1004</v>
      </c>
      <c r="B456" s="13" t="s">
        <v>515</v>
      </c>
      <c r="C456" s="13">
        <v>853</v>
      </c>
      <c r="D456" s="13">
        <v>18.100000000000001</v>
      </c>
      <c r="E456" s="13">
        <f t="shared" si="14"/>
        <v>6942.8571428571431</v>
      </c>
      <c r="F456" s="13">
        <v>24300</v>
      </c>
      <c r="G456" s="13">
        <v>3.5</v>
      </c>
      <c r="H456" s="13">
        <f t="shared" si="15"/>
        <v>723.85714285714312</v>
      </c>
      <c r="I456" s="13">
        <f>IF((E456-Scenario!R456)&lt;0,E456,Scenario!R456)</f>
        <v>6219</v>
      </c>
      <c r="J456" s="13">
        <v>0</v>
      </c>
      <c r="K456" s="13">
        <v>0</v>
      </c>
      <c r="L456" s="13">
        <v>0</v>
      </c>
      <c r="M456" s="13">
        <v>0</v>
      </c>
      <c r="N456" s="13">
        <v>0</v>
      </c>
    </row>
    <row r="457" spans="1:14" x14ac:dyDescent="0.25">
      <c r="A457" s="13" t="s">
        <v>1005</v>
      </c>
      <c r="B457" s="13" t="s">
        <v>516</v>
      </c>
      <c r="C457" s="13">
        <v>175</v>
      </c>
      <c r="D457" s="13">
        <v>6.9</v>
      </c>
      <c r="E457" s="13">
        <f t="shared" si="14"/>
        <v>2168.5714285714284</v>
      </c>
      <c r="F457" s="13">
        <v>7590</v>
      </c>
      <c r="G457" s="13">
        <v>3.5</v>
      </c>
      <c r="H457" s="13">
        <f t="shared" si="15"/>
        <v>0</v>
      </c>
      <c r="I457" s="13">
        <f>IF((E457-Scenario!R457)&lt;0,E457,Scenario!R457)</f>
        <v>2168.5714285714284</v>
      </c>
      <c r="J457" s="13">
        <v>0</v>
      </c>
      <c r="K457" s="13">
        <v>0</v>
      </c>
      <c r="L457" s="13">
        <v>0</v>
      </c>
      <c r="M457" s="13">
        <v>0</v>
      </c>
      <c r="N457" s="13">
        <v>0</v>
      </c>
    </row>
    <row r="458" spans="1:14" x14ac:dyDescent="0.25">
      <c r="A458" s="13" t="s">
        <v>1006</v>
      </c>
      <c r="B458" s="13" t="s">
        <v>517</v>
      </c>
      <c r="C458" s="13">
        <v>1959</v>
      </c>
      <c r="D458" s="13">
        <v>41.4</v>
      </c>
      <c r="E458" s="13">
        <f t="shared" si="14"/>
        <v>15885.714285714286</v>
      </c>
      <c r="F458" s="13">
        <v>55600</v>
      </c>
      <c r="G458" s="13">
        <v>3.5</v>
      </c>
      <c r="H458" s="13">
        <f t="shared" si="15"/>
        <v>4829.7142857142862</v>
      </c>
      <c r="I458" s="13">
        <f>IF((E458-Scenario!R458)&lt;0,E458,Scenario!R458)</f>
        <v>11056</v>
      </c>
      <c r="J458" s="13">
        <v>0</v>
      </c>
      <c r="K458" s="13">
        <v>0</v>
      </c>
      <c r="L458" s="13">
        <v>0</v>
      </c>
      <c r="M458" s="13">
        <v>0</v>
      </c>
      <c r="N458" s="13">
        <v>0</v>
      </c>
    </row>
    <row r="459" spans="1:14" x14ac:dyDescent="0.25">
      <c r="A459" s="13" t="s">
        <v>1007</v>
      </c>
      <c r="B459" s="13" t="s">
        <v>518</v>
      </c>
      <c r="C459" s="13">
        <v>1707</v>
      </c>
      <c r="D459" s="13">
        <v>55</v>
      </c>
      <c r="E459" s="13">
        <f t="shared" si="14"/>
        <v>21600</v>
      </c>
      <c r="F459" s="13">
        <v>75600</v>
      </c>
      <c r="G459" s="13">
        <v>3.5</v>
      </c>
      <c r="H459" s="13">
        <f t="shared" si="15"/>
        <v>10544</v>
      </c>
      <c r="I459" s="13">
        <f>IF((E459-Scenario!R459)&lt;0,E459,Scenario!R459)</f>
        <v>11056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</row>
    <row r="460" spans="1:14" x14ac:dyDescent="0.25">
      <c r="A460" s="13" t="s">
        <v>1008</v>
      </c>
      <c r="B460" s="13" t="s">
        <v>519</v>
      </c>
      <c r="C460" s="13">
        <v>889</v>
      </c>
      <c r="D460" s="13">
        <v>26.7</v>
      </c>
      <c r="E460" s="13">
        <f t="shared" si="14"/>
        <v>10085.714285714286</v>
      </c>
      <c r="F460" s="13">
        <v>35300</v>
      </c>
      <c r="G460" s="13">
        <v>3.5</v>
      </c>
      <c r="H460" s="13">
        <f t="shared" si="15"/>
        <v>0</v>
      </c>
      <c r="I460" s="13">
        <f>IF((E460-Scenario!R460)&lt;0,E460,Scenario!R460)</f>
        <v>10085.714285714286</v>
      </c>
      <c r="J460" s="13">
        <v>0</v>
      </c>
      <c r="K460" s="13">
        <v>0</v>
      </c>
      <c r="L460" s="13">
        <v>0</v>
      </c>
      <c r="M460" s="13">
        <v>0</v>
      </c>
      <c r="N460" s="13">
        <v>0</v>
      </c>
    </row>
    <row r="461" spans="1:14" x14ac:dyDescent="0.25">
      <c r="A461" s="13" t="s">
        <v>1009</v>
      </c>
      <c r="B461" s="13" t="s">
        <v>520</v>
      </c>
      <c r="C461" s="13">
        <v>447</v>
      </c>
      <c r="D461" s="13">
        <v>15.6</v>
      </c>
      <c r="E461" s="13">
        <f t="shared" si="14"/>
        <v>6314.2857142857147</v>
      </c>
      <c r="F461" s="13">
        <v>22100</v>
      </c>
      <c r="G461" s="13">
        <v>3.5</v>
      </c>
      <c r="H461" s="13">
        <f t="shared" si="15"/>
        <v>0</v>
      </c>
      <c r="I461" s="13">
        <f>IF((E461-Scenario!R461)&lt;0,E461,Scenario!R461)</f>
        <v>6314.2857142857147</v>
      </c>
      <c r="J461" s="13">
        <v>0</v>
      </c>
      <c r="K461" s="13">
        <v>0</v>
      </c>
      <c r="L461" s="13">
        <v>0</v>
      </c>
      <c r="M461" s="13">
        <v>0</v>
      </c>
      <c r="N461" s="13">
        <v>0</v>
      </c>
    </row>
    <row r="462" spans="1:14" x14ac:dyDescent="0.25">
      <c r="A462" s="13" t="s">
        <v>1010</v>
      </c>
      <c r="B462" s="13" t="s">
        <v>521</v>
      </c>
      <c r="C462" s="13">
        <v>103</v>
      </c>
      <c r="D462" s="13">
        <v>3.9</v>
      </c>
      <c r="E462" s="13">
        <f t="shared" si="14"/>
        <v>1340</v>
      </c>
      <c r="F462" s="13">
        <v>4690</v>
      </c>
      <c r="G462" s="13">
        <v>3.5</v>
      </c>
      <c r="H462" s="13">
        <f t="shared" si="15"/>
        <v>0</v>
      </c>
      <c r="I462" s="13">
        <f>IF((E462-Scenario!R462)&lt;0,E462,Scenario!R462)</f>
        <v>1340</v>
      </c>
      <c r="J462" s="13">
        <v>0</v>
      </c>
      <c r="K462" s="13">
        <v>0</v>
      </c>
      <c r="L462" s="13">
        <v>0</v>
      </c>
      <c r="M462" s="13">
        <v>0</v>
      </c>
      <c r="N462" s="13">
        <v>0</v>
      </c>
    </row>
    <row r="463" spans="1:14" x14ac:dyDescent="0.25">
      <c r="A463" s="13" t="s">
        <v>1011</v>
      </c>
      <c r="B463" s="13" t="s">
        <v>522</v>
      </c>
      <c r="C463" s="13">
        <v>1165</v>
      </c>
      <c r="D463" s="13">
        <v>31.1</v>
      </c>
      <c r="E463" s="13">
        <f t="shared" si="14"/>
        <v>12857.142857142857</v>
      </c>
      <c r="F463" s="13">
        <v>45000</v>
      </c>
      <c r="G463" s="13">
        <v>3.5</v>
      </c>
      <c r="H463" s="13">
        <f t="shared" si="15"/>
        <v>1801.1428571428569</v>
      </c>
      <c r="I463" s="13">
        <f>IF((E463-Scenario!R463)&lt;0,E463,Scenario!R463)</f>
        <v>11056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</row>
    <row r="464" spans="1:14" x14ac:dyDescent="0.25">
      <c r="A464" s="13" t="s">
        <v>1012</v>
      </c>
      <c r="B464" s="13" t="s">
        <v>523</v>
      </c>
      <c r="C464" s="13">
        <v>576</v>
      </c>
      <c r="D464" s="13">
        <v>16.3</v>
      </c>
      <c r="E464" s="13">
        <f t="shared" si="14"/>
        <v>6028.5714285714284</v>
      </c>
      <c r="F464" s="13">
        <v>21100</v>
      </c>
      <c r="G464" s="13">
        <v>3.5</v>
      </c>
      <c r="H464" s="13">
        <f t="shared" si="15"/>
        <v>0</v>
      </c>
      <c r="I464" s="13">
        <f>IF((E464-Scenario!R464)&lt;0,E464,Scenario!R464)</f>
        <v>6028.5714285714284</v>
      </c>
      <c r="J464" s="13">
        <v>0</v>
      </c>
      <c r="K464" s="13">
        <v>0</v>
      </c>
      <c r="L464" s="13">
        <v>0</v>
      </c>
      <c r="M464" s="13">
        <v>0</v>
      </c>
      <c r="N464" s="13">
        <v>0</v>
      </c>
    </row>
    <row r="465" spans="1:14" x14ac:dyDescent="0.25">
      <c r="A465" s="13" t="s">
        <v>1013</v>
      </c>
      <c r="B465" s="13" t="s">
        <v>524</v>
      </c>
      <c r="C465" s="13">
        <v>555</v>
      </c>
      <c r="D465" s="13">
        <v>17.600000000000001</v>
      </c>
      <c r="E465" s="13">
        <f t="shared" si="14"/>
        <v>6200</v>
      </c>
      <c r="F465" s="13">
        <v>21700</v>
      </c>
      <c r="G465" s="13">
        <v>3.5</v>
      </c>
      <c r="H465" s="13">
        <f t="shared" si="15"/>
        <v>0</v>
      </c>
      <c r="I465" s="13">
        <f>IF((E465-Scenario!R465)&lt;0,E465,Scenario!R465)</f>
        <v>6200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</row>
    <row r="466" spans="1:14" x14ac:dyDescent="0.25">
      <c r="A466" s="13" t="s">
        <v>1014</v>
      </c>
      <c r="B466" s="13" t="s">
        <v>525</v>
      </c>
      <c r="C466" s="13">
        <v>2647</v>
      </c>
      <c r="D466" s="13">
        <v>64.3</v>
      </c>
      <c r="E466" s="13">
        <f t="shared" si="14"/>
        <v>25114.285714285714</v>
      </c>
      <c r="F466" s="13">
        <v>87900</v>
      </c>
      <c r="G466" s="13">
        <v>3.5</v>
      </c>
      <c r="H466" s="13">
        <f t="shared" si="15"/>
        <v>14058.285714285714</v>
      </c>
      <c r="I466" s="13">
        <f>IF((E466-Scenario!R466)&lt;0,E466,Scenario!R466)</f>
        <v>11056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</row>
    <row r="467" spans="1:14" x14ac:dyDescent="0.25">
      <c r="A467" s="13" t="s">
        <v>1015</v>
      </c>
      <c r="B467" s="13" t="s">
        <v>526</v>
      </c>
      <c r="C467" s="13">
        <v>892</v>
      </c>
      <c r="D467" s="13">
        <v>24.8</v>
      </c>
      <c r="E467" s="13">
        <f t="shared" si="14"/>
        <v>10085.714285714286</v>
      </c>
      <c r="F467" s="13">
        <v>35300</v>
      </c>
      <c r="G467" s="13">
        <v>3.5</v>
      </c>
      <c r="H467" s="13">
        <f t="shared" si="15"/>
        <v>0</v>
      </c>
      <c r="I467" s="13">
        <f>IF((E467-Scenario!R467)&lt;0,E467,Scenario!R467)</f>
        <v>10085.714285714286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</row>
    <row r="468" spans="1:14" x14ac:dyDescent="0.25">
      <c r="A468" s="13" t="s">
        <v>1016</v>
      </c>
      <c r="B468" s="13" t="s">
        <v>527</v>
      </c>
      <c r="C468" s="13">
        <v>535</v>
      </c>
      <c r="D468" s="13">
        <v>22.9</v>
      </c>
      <c r="E468" s="13">
        <f t="shared" si="14"/>
        <v>8428.5714285714294</v>
      </c>
      <c r="F468" s="13">
        <v>29500</v>
      </c>
      <c r="G468" s="13">
        <v>3.5</v>
      </c>
      <c r="H468" s="13">
        <f t="shared" si="15"/>
        <v>0</v>
      </c>
      <c r="I468" s="13">
        <f>IF((E468-Scenario!R468)&lt;0,E468,Scenario!R468)</f>
        <v>8428.5714285714294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</row>
    <row r="469" spans="1:14" x14ac:dyDescent="0.25">
      <c r="A469" s="13" t="s">
        <v>1017</v>
      </c>
      <c r="B469" s="13" t="s">
        <v>528</v>
      </c>
      <c r="C469" s="13">
        <v>438</v>
      </c>
      <c r="D469" s="13">
        <v>16.8</v>
      </c>
      <c r="E469" s="13">
        <f t="shared" si="14"/>
        <v>4057.1428571428573</v>
      </c>
      <c r="F469" s="13">
        <v>14200</v>
      </c>
      <c r="G469" s="13">
        <v>3.5</v>
      </c>
      <c r="H469" s="13">
        <f t="shared" si="15"/>
        <v>4057.1428571428573</v>
      </c>
      <c r="I469" s="13">
        <f>IF((E469-Scenario!R469)&lt;0,E469,Scenario!R469)</f>
        <v>0</v>
      </c>
      <c r="J469" s="13">
        <v>0</v>
      </c>
      <c r="K469" s="13">
        <v>0</v>
      </c>
      <c r="L469" s="13">
        <v>0</v>
      </c>
      <c r="M469" s="13">
        <v>0</v>
      </c>
      <c r="N469" s="13">
        <v>0</v>
      </c>
    </row>
    <row r="470" spans="1:14" x14ac:dyDescent="0.25">
      <c r="A470" s="13" t="s">
        <v>1018</v>
      </c>
      <c r="B470" s="13" t="s">
        <v>529</v>
      </c>
      <c r="C470" s="13">
        <v>824</v>
      </c>
      <c r="D470" s="13">
        <v>21.4</v>
      </c>
      <c r="E470" s="13">
        <f t="shared" si="14"/>
        <v>8200</v>
      </c>
      <c r="F470" s="13">
        <v>28700</v>
      </c>
      <c r="G470" s="13">
        <v>3.5</v>
      </c>
      <c r="H470" s="13">
        <f t="shared" si="15"/>
        <v>1981</v>
      </c>
      <c r="I470" s="13">
        <f>IF((E470-Scenario!R470)&lt;0,E470,Scenario!R470)</f>
        <v>6219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</row>
    <row r="471" spans="1:14" x14ac:dyDescent="0.25">
      <c r="A471" s="13" t="s">
        <v>1019</v>
      </c>
      <c r="B471" s="13" t="s">
        <v>530</v>
      </c>
      <c r="C471" s="13">
        <v>278</v>
      </c>
      <c r="D471" s="13">
        <v>11.6</v>
      </c>
      <c r="E471" s="13">
        <f t="shared" si="14"/>
        <v>4114.2857142857147</v>
      </c>
      <c r="F471" s="13">
        <v>14400</v>
      </c>
      <c r="G471" s="13">
        <v>3.5</v>
      </c>
      <c r="H471" s="13">
        <f t="shared" si="15"/>
        <v>0</v>
      </c>
      <c r="I471" s="13">
        <f>IF((E471-Scenario!R471)&lt;0,E471,Scenario!R471)</f>
        <v>4114.2857142857147</v>
      </c>
      <c r="J471" s="13">
        <v>0</v>
      </c>
      <c r="K471" s="13">
        <v>0</v>
      </c>
      <c r="L471" s="13">
        <v>0</v>
      </c>
      <c r="M471" s="13">
        <v>0</v>
      </c>
      <c r="N471" s="13">
        <v>0</v>
      </c>
    </row>
    <row r="472" spans="1:14" x14ac:dyDescent="0.25">
      <c r="A472" s="13" t="s">
        <v>1020</v>
      </c>
      <c r="B472" s="13" t="s">
        <v>531</v>
      </c>
      <c r="C472" s="13">
        <v>874</v>
      </c>
      <c r="D472" s="13">
        <v>24.2</v>
      </c>
      <c r="E472" s="13">
        <f t="shared" si="14"/>
        <v>9714.2857142857138</v>
      </c>
      <c r="F472" s="13">
        <v>34000</v>
      </c>
      <c r="G472" s="13">
        <v>3.5</v>
      </c>
      <c r="H472" s="13">
        <f t="shared" si="15"/>
        <v>0</v>
      </c>
      <c r="I472" s="13">
        <f>IF((E472-Scenario!R472)&lt;0,E472,Scenario!R472)</f>
        <v>9714.2857142857138</v>
      </c>
      <c r="J472" s="13">
        <v>0</v>
      </c>
      <c r="K472" s="13">
        <v>0</v>
      </c>
      <c r="L472" s="13">
        <v>0</v>
      </c>
      <c r="M472" s="13">
        <v>0</v>
      </c>
      <c r="N472" s="13">
        <v>0</v>
      </c>
    </row>
    <row r="473" spans="1:14" x14ac:dyDescent="0.25">
      <c r="A473" s="13" t="s">
        <v>1021</v>
      </c>
      <c r="B473" s="13" t="s">
        <v>532</v>
      </c>
      <c r="C473" s="13">
        <v>991</v>
      </c>
      <c r="D473" s="13">
        <v>25.7</v>
      </c>
      <c r="E473" s="13">
        <f t="shared" si="14"/>
        <v>9828.5714285714294</v>
      </c>
      <c r="F473" s="13">
        <v>34400</v>
      </c>
      <c r="G473" s="13">
        <v>3.5</v>
      </c>
      <c r="H473" s="13">
        <f t="shared" si="15"/>
        <v>3609.5714285714294</v>
      </c>
      <c r="I473" s="13">
        <f>IF((E473-Scenario!R473)&lt;0,E473,Scenario!R473)</f>
        <v>6219</v>
      </c>
      <c r="J473" s="13">
        <v>0</v>
      </c>
      <c r="K473" s="13">
        <v>0</v>
      </c>
      <c r="L473" s="13">
        <v>0</v>
      </c>
      <c r="M473" s="13">
        <v>0</v>
      </c>
      <c r="N473" s="13">
        <v>0</v>
      </c>
    </row>
    <row r="474" spans="1:14" x14ac:dyDescent="0.25">
      <c r="A474" s="13" t="s">
        <v>1022</v>
      </c>
      <c r="B474" s="13" t="s">
        <v>533</v>
      </c>
      <c r="C474" s="13">
        <v>481</v>
      </c>
      <c r="D474" s="13">
        <v>21.5</v>
      </c>
      <c r="E474" s="13">
        <f t="shared" si="14"/>
        <v>5028.5714285714284</v>
      </c>
      <c r="F474" s="13">
        <v>17600</v>
      </c>
      <c r="G474" s="13">
        <v>3.5</v>
      </c>
      <c r="H474" s="13">
        <f t="shared" si="15"/>
        <v>5028.5714285714284</v>
      </c>
      <c r="I474" s="13">
        <f>IF((E474-Scenario!R474)&lt;0,E474,Scenario!R474)</f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</row>
    <row r="475" spans="1:14" x14ac:dyDescent="0.25">
      <c r="A475" s="13" t="s">
        <v>1023</v>
      </c>
      <c r="B475" s="13" t="s">
        <v>534</v>
      </c>
      <c r="C475" s="13">
        <v>4879</v>
      </c>
      <c r="D475" s="13">
        <v>152.1</v>
      </c>
      <c r="E475" s="13">
        <f t="shared" si="14"/>
        <v>29142.857142857141</v>
      </c>
      <c r="F475" s="13">
        <v>102000</v>
      </c>
      <c r="G475" s="13">
        <v>3.5</v>
      </c>
      <c r="H475" s="13">
        <f t="shared" si="15"/>
        <v>29142.857142857141</v>
      </c>
      <c r="I475" s="13">
        <f>IF((E475-Scenario!R475)&lt;0,E475,Scenario!R475)</f>
        <v>0</v>
      </c>
      <c r="J475" s="13">
        <v>0</v>
      </c>
      <c r="K475" s="13">
        <v>0</v>
      </c>
      <c r="L475" s="13">
        <v>0</v>
      </c>
      <c r="M475" s="13">
        <v>0</v>
      </c>
      <c r="N475" s="13">
        <v>0</v>
      </c>
    </row>
    <row r="476" spans="1:14" x14ac:dyDescent="0.25">
      <c r="A476" s="13" t="s">
        <v>1024</v>
      </c>
      <c r="B476" s="13" t="s">
        <v>535</v>
      </c>
      <c r="C476" s="13">
        <v>89</v>
      </c>
      <c r="D476" s="13">
        <v>3.9</v>
      </c>
      <c r="E476" s="13">
        <f t="shared" si="14"/>
        <v>977.14285714285711</v>
      </c>
      <c r="F476" s="13">
        <v>3420</v>
      </c>
      <c r="G476" s="13">
        <v>3.5</v>
      </c>
      <c r="H476" s="13">
        <f t="shared" si="15"/>
        <v>977.14285714285711</v>
      </c>
      <c r="I476" s="13">
        <f>IF((E476-Scenario!R476)&lt;0,E476,Scenario!R476)</f>
        <v>0</v>
      </c>
      <c r="J476" s="13">
        <v>0</v>
      </c>
      <c r="K476" s="13">
        <v>0</v>
      </c>
      <c r="L476" s="13">
        <v>0</v>
      </c>
      <c r="M476" s="13">
        <v>0</v>
      </c>
      <c r="N476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530BB-E85A-4009-8AD5-CDB6D1EBFF87}">
  <dimension ref="A1:F476"/>
  <sheetViews>
    <sheetView tabSelected="1" topLeftCell="A334" workbookViewId="0">
      <selection activeCell="F365" sqref="F365"/>
    </sheetView>
  </sheetViews>
  <sheetFormatPr defaultRowHeight="15" x14ac:dyDescent="0.25"/>
  <cols>
    <col min="1" max="1" width="23.42578125" bestFit="1" customWidth="1"/>
    <col min="2" max="2" width="14.140625" bestFit="1" customWidth="1"/>
    <col min="3" max="3" width="22.140625" bestFit="1" customWidth="1"/>
    <col min="4" max="4" width="24.7109375" bestFit="1" customWidth="1"/>
    <col min="5" max="5" width="39.140625" bestFit="1" customWidth="1"/>
    <col min="6" max="6" width="45.28515625" bestFit="1" customWidth="1"/>
  </cols>
  <sheetData>
    <row r="1" spans="1:6" s="11" customFormat="1" ht="30" x14ac:dyDescent="0.25">
      <c r="A1" s="12" t="s">
        <v>536</v>
      </c>
      <c r="B1" s="12" t="s">
        <v>537</v>
      </c>
      <c r="C1" s="12" t="s">
        <v>35</v>
      </c>
      <c r="D1" s="12" t="s">
        <v>1025</v>
      </c>
      <c r="E1" s="12" t="s">
        <v>1026</v>
      </c>
      <c r="F1" s="12" t="s">
        <v>541</v>
      </c>
    </row>
    <row r="2" spans="1:6" x14ac:dyDescent="0.25">
      <c r="A2" s="13" t="s">
        <v>1027</v>
      </c>
      <c r="B2" s="13" t="s">
        <v>48</v>
      </c>
      <c r="C2" s="13">
        <v>14742</v>
      </c>
      <c r="D2" s="13">
        <v>70200</v>
      </c>
      <c r="E2" s="13">
        <f>D2-F2</f>
        <v>70200</v>
      </c>
      <c r="F2" s="13">
        <v>0</v>
      </c>
    </row>
    <row r="3" spans="1:6" x14ac:dyDescent="0.25">
      <c r="A3" s="13" t="s">
        <v>1028</v>
      </c>
      <c r="B3" s="13" t="s">
        <v>50</v>
      </c>
      <c r="C3" s="13">
        <v>2761</v>
      </c>
      <c r="D3" s="13">
        <v>13100</v>
      </c>
      <c r="E3" s="13">
        <f t="shared" ref="E3:E66" si="0">D3-F3</f>
        <v>13100</v>
      </c>
      <c r="F3" s="13">
        <v>0</v>
      </c>
    </row>
    <row r="4" spans="1:6" x14ac:dyDescent="0.25">
      <c r="A4" s="13" t="s">
        <v>1029</v>
      </c>
      <c r="B4" s="13" t="s">
        <v>52</v>
      </c>
      <c r="C4" s="13">
        <v>5178</v>
      </c>
      <c r="D4" s="13">
        <v>24600</v>
      </c>
      <c r="E4" s="13">
        <f t="shared" si="0"/>
        <v>24600</v>
      </c>
      <c r="F4" s="13">
        <v>0</v>
      </c>
    </row>
    <row r="5" spans="1:6" x14ac:dyDescent="0.25">
      <c r="A5" s="13" t="s">
        <v>1030</v>
      </c>
      <c r="B5" s="13" t="s">
        <v>53</v>
      </c>
      <c r="C5" s="13">
        <v>8816</v>
      </c>
      <c r="D5" s="13">
        <v>42000</v>
      </c>
      <c r="E5" s="13">
        <f t="shared" si="0"/>
        <v>42000</v>
      </c>
      <c r="F5" s="13">
        <v>0</v>
      </c>
    </row>
    <row r="6" spans="1:6" x14ac:dyDescent="0.25">
      <c r="A6" s="13" t="s">
        <v>1031</v>
      </c>
      <c r="B6" s="13" t="s">
        <v>56</v>
      </c>
      <c r="C6" s="13">
        <v>443</v>
      </c>
      <c r="D6" s="13">
        <v>2110</v>
      </c>
      <c r="E6" s="13">
        <f t="shared" si="0"/>
        <v>2110</v>
      </c>
      <c r="F6" s="13">
        <v>0</v>
      </c>
    </row>
    <row r="7" spans="1:6" x14ac:dyDescent="0.25">
      <c r="A7" s="13" t="s">
        <v>1032</v>
      </c>
      <c r="B7" s="13" t="s">
        <v>57</v>
      </c>
      <c r="C7" s="13">
        <v>367</v>
      </c>
      <c r="D7" s="13">
        <v>1750</v>
      </c>
      <c r="E7" s="13">
        <f t="shared" si="0"/>
        <v>1750</v>
      </c>
      <c r="F7" s="13">
        <v>0</v>
      </c>
    </row>
    <row r="8" spans="1:6" x14ac:dyDescent="0.25">
      <c r="A8" s="13" t="s">
        <v>1033</v>
      </c>
      <c r="B8" s="13" t="s">
        <v>59</v>
      </c>
      <c r="C8" s="13">
        <v>168</v>
      </c>
      <c r="D8" s="13">
        <v>802</v>
      </c>
      <c r="E8" s="13">
        <f t="shared" si="0"/>
        <v>802</v>
      </c>
      <c r="F8" s="13">
        <v>0</v>
      </c>
    </row>
    <row r="9" spans="1:6" x14ac:dyDescent="0.25">
      <c r="A9" s="13" t="s">
        <v>1034</v>
      </c>
      <c r="B9" s="13" t="s">
        <v>61</v>
      </c>
      <c r="C9" s="13">
        <v>252</v>
      </c>
      <c r="D9" s="13">
        <v>1540</v>
      </c>
      <c r="E9" s="13">
        <f t="shared" si="0"/>
        <v>1540</v>
      </c>
      <c r="F9" s="13">
        <v>0</v>
      </c>
    </row>
    <row r="10" spans="1:6" x14ac:dyDescent="0.25">
      <c r="A10" s="13" t="s">
        <v>1035</v>
      </c>
      <c r="B10" s="13" t="s">
        <v>62</v>
      </c>
      <c r="C10" s="13">
        <v>273</v>
      </c>
      <c r="D10" s="13">
        <v>1300</v>
      </c>
      <c r="E10" s="13">
        <f t="shared" si="0"/>
        <v>1300</v>
      </c>
      <c r="F10" s="13">
        <v>0</v>
      </c>
    </row>
    <row r="11" spans="1:6" x14ac:dyDescent="0.25">
      <c r="A11" s="13" t="s">
        <v>1036</v>
      </c>
      <c r="B11" s="13" t="s">
        <v>63</v>
      </c>
      <c r="C11" s="13">
        <v>804</v>
      </c>
      <c r="D11" s="13">
        <v>4900</v>
      </c>
      <c r="E11" s="13">
        <f t="shared" si="0"/>
        <v>4900</v>
      </c>
      <c r="F11" s="13">
        <v>0</v>
      </c>
    </row>
    <row r="12" spans="1:6" x14ac:dyDescent="0.25">
      <c r="A12" s="13" t="s">
        <v>1037</v>
      </c>
      <c r="B12" s="13" t="s">
        <v>64</v>
      </c>
      <c r="C12" s="13">
        <v>96</v>
      </c>
      <c r="D12" s="13">
        <v>457</v>
      </c>
      <c r="E12" s="13">
        <f t="shared" si="0"/>
        <v>457</v>
      </c>
      <c r="F12" s="13">
        <v>0</v>
      </c>
    </row>
    <row r="13" spans="1:6" x14ac:dyDescent="0.25">
      <c r="A13" s="13" t="s">
        <v>1038</v>
      </c>
      <c r="B13" s="13" t="s">
        <v>65</v>
      </c>
      <c r="C13" s="13">
        <v>223</v>
      </c>
      <c r="D13" s="13">
        <v>1360</v>
      </c>
      <c r="E13" s="13">
        <f t="shared" si="0"/>
        <v>1360</v>
      </c>
      <c r="F13" s="13">
        <v>0</v>
      </c>
    </row>
    <row r="14" spans="1:6" x14ac:dyDescent="0.25">
      <c r="A14" s="13" t="s">
        <v>1039</v>
      </c>
      <c r="B14" s="13" t="s">
        <v>66</v>
      </c>
      <c r="C14" s="13">
        <v>206</v>
      </c>
      <c r="D14" s="13">
        <v>1260</v>
      </c>
      <c r="E14" s="13">
        <f t="shared" si="0"/>
        <v>1260</v>
      </c>
      <c r="F14" s="13">
        <v>0</v>
      </c>
    </row>
    <row r="15" spans="1:6" x14ac:dyDescent="0.25">
      <c r="A15" s="13" t="s">
        <v>1040</v>
      </c>
      <c r="B15" s="13" t="s">
        <v>67</v>
      </c>
      <c r="C15" s="13">
        <v>284</v>
      </c>
      <c r="D15" s="13">
        <v>1350</v>
      </c>
      <c r="E15" s="13">
        <f t="shared" si="0"/>
        <v>1350</v>
      </c>
      <c r="F15" s="13">
        <v>0</v>
      </c>
    </row>
    <row r="16" spans="1:6" x14ac:dyDescent="0.25">
      <c r="A16" s="13" t="s">
        <v>1041</v>
      </c>
      <c r="B16" s="13" t="s">
        <v>68</v>
      </c>
      <c r="C16" s="13">
        <v>206</v>
      </c>
      <c r="D16" s="13">
        <v>1250</v>
      </c>
      <c r="E16" s="13">
        <f t="shared" si="0"/>
        <v>1250</v>
      </c>
      <c r="F16" s="13">
        <v>0</v>
      </c>
    </row>
    <row r="17" spans="1:6" x14ac:dyDescent="0.25">
      <c r="A17" s="13" t="s">
        <v>1042</v>
      </c>
      <c r="B17" s="13" t="s">
        <v>69</v>
      </c>
      <c r="C17" s="13">
        <v>513</v>
      </c>
      <c r="D17" s="13">
        <v>3130</v>
      </c>
      <c r="E17" s="13">
        <f t="shared" si="0"/>
        <v>3130</v>
      </c>
      <c r="F17" s="13">
        <v>0</v>
      </c>
    </row>
    <row r="18" spans="1:6" x14ac:dyDescent="0.25">
      <c r="A18" s="13" t="s">
        <v>1043</v>
      </c>
      <c r="B18" s="13" t="s">
        <v>70</v>
      </c>
      <c r="C18" s="13">
        <v>276</v>
      </c>
      <c r="D18" s="13">
        <v>1680</v>
      </c>
      <c r="E18" s="13">
        <f t="shared" si="0"/>
        <v>1680</v>
      </c>
      <c r="F18" s="13">
        <v>0</v>
      </c>
    </row>
    <row r="19" spans="1:6" x14ac:dyDescent="0.25">
      <c r="A19" s="13" t="s">
        <v>1044</v>
      </c>
      <c r="B19" s="13" t="s">
        <v>71</v>
      </c>
      <c r="C19" s="13">
        <v>379</v>
      </c>
      <c r="D19" s="13">
        <v>2310</v>
      </c>
      <c r="E19" s="13">
        <f t="shared" si="0"/>
        <v>2310</v>
      </c>
      <c r="F19" s="13">
        <v>0</v>
      </c>
    </row>
    <row r="20" spans="1:6" x14ac:dyDescent="0.25">
      <c r="A20" s="13" t="s">
        <v>1045</v>
      </c>
      <c r="B20" s="13" t="s">
        <v>72</v>
      </c>
      <c r="C20" s="13">
        <v>111</v>
      </c>
      <c r="D20" s="13">
        <v>530</v>
      </c>
      <c r="E20" s="13">
        <f t="shared" si="0"/>
        <v>530</v>
      </c>
      <c r="F20" s="13">
        <v>0</v>
      </c>
    </row>
    <row r="21" spans="1:6" x14ac:dyDescent="0.25">
      <c r="A21" s="13" t="s">
        <v>1046</v>
      </c>
      <c r="B21" s="13" t="s">
        <v>73</v>
      </c>
      <c r="C21" s="13">
        <v>530</v>
      </c>
      <c r="D21" s="13">
        <v>3230</v>
      </c>
      <c r="E21" s="13">
        <f t="shared" si="0"/>
        <v>3230</v>
      </c>
      <c r="F21" s="13">
        <v>0</v>
      </c>
    </row>
    <row r="22" spans="1:6" x14ac:dyDescent="0.25">
      <c r="A22" s="13" t="s">
        <v>1047</v>
      </c>
      <c r="B22" s="13" t="s">
        <v>74</v>
      </c>
      <c r="C22" s="13">
        <v>197</v>
      </c>
      <c r="D22" s="13">
        <v>936</v>
      </c>
      <c r="E22" s="13">
        <f t="shared" si="0"/>
        <v>936</v>
      </c>
      <c r="F22" s="13">
        <v>0</v>
      </c>
    </row>
    <row r="23" spans="1:6" x14ac:dyDescent="0.25">
      <c r="A23" s="13" t="s">
        <v>1048</v>
      </c>
      <c r="B23" s="13" t="s">
        <v>75</v>
      </c>
      <c r="C23" s="13">
        <v>1086</v>
      </c>
      <c r="D23" s="13">
        <v>6620</v>
      </c>
      <c r="E23" s="13">
        <f t="shared" si="0"/>
        <v>6620</v>
      </c>
      <c r="F23" s="13">
        <v>0</v>
      </c>
    </row>
    <row r="24" spans="1:6" x14ac:dyDescent="0.25">
      <c r="A24" s="13" t="s">
        <v>1049</v>
      </c>
      <c r="B24" s="13" t="s">
        <v>76</v>
      </c>
      <c r="C24" s="13">
        <v>1104</v>
      </c>
      <c r="D24" s="13">
        <v>6730</v>
      </c>
      <c r="E24" s="13">
        <f t="shared" si="0"/>
        <v>6730</v>
      </c>
      <c r="F24" s="13">
        <v>0</v>
      </c>
    </row>
    <row r="25" spans="1:6" x14ac:dyDescent="0.25">
      <c r="A25" s="13" t="s">
        <v>1050</v>
      </c>
      <c r="B25" s="13" t="s">
        <v>77</v>
      </c>
      <c r="C25" s="13">
        <v>2999</v>
      </c>
      <c r="D25" s="13">
        <v>18300</v>
      </c>
      <c r="E25" s="13">
        <f t="shared" si="0"/>
        <v>18300</v>
      </c>
      <c r="F25" s="13">
        <v>0</v>
      </c>
    </row>
    <row r="26" spans="1:6" x14ac:dyDescent="0.25">
      <c r="A26" s="13" t="s">
        <v>1051</v>
      </c>
      <c r="B26" s="13" t="s">
        <v>78</v>
      </c>
      <c r="C26" s="13">
        <v>247</v>
      </c>
      <c r="D26" s="13">
        <v>1500</v>
      </c>
      <c r="E26" s="13">
        <f t="shared" si="0"/>
        <v>1500</v>
      </c>
      <c r="F26" s="13">
        <v>0</v>
      </c>
    </row>
    <row r="27" spans="1:6" x14ac:dyDescent="0.25">
      <c r="A27" s="13" t="s">
        <v>1052</v>
      </c>
      <c r="B27" s="13" t="s">
        <v>79</v>
      </c>
      <c r="C27" s="13">
        <v>640</v>
      </c>
      <c r="D27" s="13">
        <v>3050</v>
      </c>
      <c r="E27" s="13">
        <f t="shared" si="0"/>
        <v>3050</v>
      </c>
      <c r="F27" s="13">
        <v>0</v>
      </c>
    </row>
    <row r="28" spans="1:6" x14ac:dyDescent="0.25">
      <c r="A28" s="13" t="s">
        <v>1053</v>
      </c>
      <c r="B28" s="13" t="s">
        <v>81</v>
      </c>
      <c r="C28" s="13">
        <v>396</v>
      </c>
      <c r="D28" s="13">
        <v>2420</v>
      </c>
      <c r="E28" s="13">
        <f t="shared" si="0"/>
        <v>2420</v>
      </c>
      <c r="F28" s="13">
        <v>0</v>
      </c>
    </row>
    <row r="29" spans="1:6" x14ac:dyDescent="0.25">
      <c r="A29" s="13" t="s">
        <v>1054</v>
      </c>
      <c r="B29" s="13" t="s">
        <v>82</v>
      </c>
      <c r="C29" s="13">
        <v>472</v>
      </c>
      <c r="D29" s="13">
        <v>2870</v>
      </c>
      <c r="E29" s="13">
        <f t="shared" si="0"/>
        <v>2870</v>
      </c>
      <c r="F29" s="13">
        <v>0</v>
      </c>
    </row>
    <row r="30" spans="1:6" x14ac:dyDescent="0.25">
      <c r="A30" s="13" t="s">
        <v>1055</v>
      </c>
      <c r="B30" s="13" t="s">
        <v>83</v>
      </c>
      <c r="C30" s="13">
        <v>601</v>
      </c>
      <c r="D30" s="13">
        <v>3660</v>
      </c>
      <c r="E30" s="13">
        <f t="shared" si="0"/>
        <v>3660</v>
      </c>
      <c r="F30" s="13">
        <v>0</v>
      </c>
    </row>
    <row r="31" spans="1:6" x14ac:dyDescent="0.25">
      <c r="A31" s="13" t="s">
        <v>1056</v>
      </c>
      <c r="B31" s="13" t="s">
        <v>84</v>
      </c>
      <c r="C31" s="13">
        <v>679</v>
      </c>
      <c r="D31" s="13">
        <v>4140</v>
      </c>
      <c r="E31" s="13">
        <f t="shared" si="0"/>
        <v>4140</v>
      </c>
      <c r="F31" s="13">
        <v>0</v>
      </c>
    </row>
    <row r="32" spans="1:6" x14ac:dyDescent="0.25">
      <c r="A32" s="13" t="s">
        <v>1057</v>
      </c>
      <c r="B32" s="13" t="s">
        <v>85</v>
      </c>
      <c r="C32" s="13">
        <v>249</v>
      </c>
      <c r="D32" s="13">
        <v>1520</v>
      </c>
      <c r="E32" s="13">
        <f t="shared" si="0"/>
        <v>1520</v>
      </c>
      <c r="F32" s="13">
        <v>0</v>
      </c>
    </row>
    <row r="33" spans="1:6" x14ac:dyDescent="0.25">
      <c r="A33" s="13" t="s">
        <v>1058</v>
      </c>
      <c r="B33" s="13" t="s">
        <v>86</v>
      </c>
      <c r="C33" s="13">
        <v>823</v>
      </c>
      <c r="D33" s="13">
        <v>5020</v>
      </c>
      <c r="E33" s="13">
        <f t="shared" si="0"/>
        <v>5020</v>
      </c>
      <c r="F33" s="13">
        <v>0</v>
      </c>
    </row>
    <row r="34" spans="1:6" x14ac:dyDescent="0.25">
      <c r="A34" s="13" t="s">
        <v>1059</v>
      </c>
      <c r="B34" s="13" t="s">
        <v>87</v>
      </c>
      <c r="C34" s="13">
        <v>89</v>
      </c>
      <c r="D34" s="13">
        <v>541</v>
      </c>
      <c r="E34" s="13">
        <f t="shared" si="0"/>
        <v>541</v>
      </c>
      <c r="F34" s="13">
        <v>0</v>
      </c>
    </row>
    <row r="35" spans="1:6" x14ac:dyDescent="0.25">
      <c r="A35" s="13" t="s">
        <v>1060</v>
      </c>
      <c r="B35" s="13" t="s">
        <v>88</v>
      </c>
      <c r="C35" s="13">
        <v>539</v>
      </c>
      <c r="D35" s="13">
        <v>3280</v>
      </c>
      <c r="E35" s="13">
        <f t="shared" si="0"/>
        <v>3280</v>
      </c>
      <c r="F35" s="13">
        <v>0</v>
      </c>
    </row>
    <row r="36" spans="1:6" x14ac:dyDescent="0.25">
      <c r="A36" s="13" t="s">
        <v>1061</v>
      </c>
      <c r="B36" s="13" t="s">
        <v>89</v>
      </c>
      <c r="C36" s="13">
        <v>339</v>
      </c>
      <c r="D36" s="13">
        <v>2070</v>
      </c>
      <c r="E36" s="13">
        <f t="shared" si="0"/>
        <v>2070</v>
      </c>
      <c r="F36" s="13">
        <v>0</v>
      </c>
    </row>
    <row r="37" spans="1:6" x14ac:dyDescent="0.25">
      <c r="A37" s="13" t="s">
        <v>1062</v>
      </c>
      <c r="B37" s="13" t="s">
        <v>90</v>
      </c>
      <c r="C37" s="13">
        <v>155</v>
      </c>
      <c r="D37" s="13">
        <v>945</v>
      </c>
      <c r="E37" s="13">
        <f t="shared" si="0"/>
        <v>945</v>
      </c>
      <c r="F37" s="13">
        <v>0</v>
      </c>
    </row>
    <row r="38" spans="1:6" x14ac:dyDescent="0.25">
      <c r="A38" s="13" t="s">
        <v>1063</v>
      </c>
      <c r="B38" s="13" t="s">
        <v>91</v>
      </c>
      <c r="C38" s="13">
        <v>1245</v>
      </c>
      <c r="D38" s="13">
        <v>7590</v>
      </c>
      <c r="E38" s="13">
        <f t="shared" si="0"/>
        <v>7590</v>
      </c>
      <c r="F38" s="13">
        <v>0</v>
      </c>
    </row>
    <row r="39" spans="1:6" x14ac:dyDescent="0.25">
      <c r="A39" s="13" t="s">
        <v>1064</v>
      </c>
      <c r="B39" s="13" t="s">
        <v>92</v>
      </c>
      <c r="C39" s="13">
        <v>349</v>
      </c>
      <c r="D39" s="13">
        <v>2130</v>
      </c>
      <c r="E39" s="13">
        <f t="shared" si="0"/>
        <v>2130</v>
      </c>
      <c r="F39" s="13">
        <v>0</v>
      </c>
    </row>
    <row r="40" spans="1:6" x14ac:dyDescent="0.25">
      <c r="A40" s="13" t="s">
        <v>1065</v>
      </c>
      <c r="B40" s="13" t="s">
        <v>93</v>
      </c>
      <c r="C40" s="13">
        <v>1050</v>
      </c>
      <c r="D40" s="13">
        <v>6400</v>
      </c>
      <c r="E40" s="13">
        <f t="shared" si="0"/>
        <v>6400</v>
      </c>
      <c r="F40" s="13">
        <v>0</v>
      </c>
    </row>
    <row r="41" spans="1:6" x14ac:dyDescent="0.25">
      <c r="A41" s="13" t="s">
        <v>1066</v>
      </c>
      <c r="B41" s="13" t="s">
        <v>94</v>
      </c>
      <c r="C41" s="13">
        <v>529</v>
      </c>
      <c r="D41" s="13">
        <v>3220</v>
      </c>
      <c r="E41" s="13">
        <f t="shared" si="0"/>
        <v>3220</v>
      </c>
      <c r="F41" s="13">
        <v>0</v>
      </c>
    </row>
    <row r="42" spans="1:6" x14ac:dyDescent="0.25">
      <c r="A42" s="13" t="s">
        <v>1067</v>
      </c>
      <c r="B42" s="13" t="s">
        <v>95</v>
      </c>
      <c r="C42" s="13">
        <v>116</v>
      </c>
      <c r="D42" s="13">
        <v>706</v>
      </c>
      <c r="E42" s="13">
        <f t="shared" si="0"/>
        <v>706</v>
      </c>
      <c r="F42" s="13">
        <v>0</v>
      </c>
    </row>
    <row r="43" spans="1:6" x14ac:dyDescent="0.25">
      <c r="A43" s="13" t="s">
        <v>1068</v>
      </c>
      <c r="B43" s="13" t="s">
        <v>96</v>
      </c>
      <c r="C43" s="13">
        <v>293</v>
      </c>
      <c r="D43" s="13">
        <v>1780</v>
      </c>
      <c r="E43" s="13">
        <f t="shared" si="0"/>
        <v>1780</v>
      </c>
      <c r="F43" s="13">
        <v>0</v>
      </c>
    </row>
    <row r="44" spans="1:6" x14ac:dyDescent="0.25">
      <c r="A44" s="13" t="s">
        <v>1069</v>
      </c>
      <c r="B44" s="13" t="s">
        <v>97</v>
      </c>
      <c r="C44" s="13">
        <v>182</v>
      </c>
      <c r="D44" s="13">
        <v>1110</v>
      </c>
      <c r="E44" s="13">
        <f t="shared" si="0"/>
        <v>1110</v>
      </c>
      <c r="F44" s="13">
        <v>0</v>
      </c>
    </row>
    <row r="45" spans="1:6" x14ac:dyDescent="0.25">
      <c r="A45" s="13" t="s">
        <v>1070</v>
      </c>
      <c r="B45" s="13" t="s">
        <v>99</v>
      </c>
      <c r="C45" s="13">
        <v>106</v>
      </c>
      <c r="D45" s="13">
        <v>649</v>
      </c>
      <c r="E45" s="13">
        <f t="shared" si="0"/>
        <v>649</v>
      </c>
      <c r="F45" s="13">
        <v>0</v>
      </c>
    </row>
    <row r="46" spans="1:6" x14ac:dyDescent="0.25">
      <c r="A46" s="13" t="s">
        <v>1071</v>
      </c>
      <c r="B46" s="13" t="s">
        <v>100</v>
      </c>
      <c r="C46" s="13">
        <v>213</v>
      </c>
      <c r="D46" s="13">
        <v>1300</v>
      </c>
      <c r="E46" s="13">
        <f t="shared" si="0"/>
        <v>1300</v>
      </c>
      <c r="F46" s="13">
        <v>0</v>
      </c>
    </row>
    <row r="47" spans="1:6" x14ac:dyDescent="0.25">
      <c r="A47" s="13" t="s">
        <v>1072</v>
      </c>
      <c r="B47" s="13" t="s">
        <v>101</v>
      </c>
      <c r="C47" s="13">
        <v>276</v>
      </c>
      <c r="D47" s="13">
        <v>1310</v>
      </c>
      <c r="E47" s="13">
        <f t="shared" si="0"/>
        <v>1310</v>
      </c>
      <c r="F47" s="13">
        <v>0</v>
      </c>
    </row>
    <row r="48" spans="1:6" x14ac:dyDescent="0.25">
      <c r="A48" s="13" t="s">
        <v>1073</v>
      </c>
      <c r="B48" s="13" t="s">
        <v>103</v>
      </c>
      <c r="C48" s="13">
        <v>1440</v>
      </c>
      <c r="D48" s="13">
        <v>6850</v>
      </c>
      <c r="E48" s="13">
        <f t="shared" si="0"/>
        <v>6850</v>
      </c>
      <c r="F48" s="13">
        <v>0</v>
      </c>
    </row>
    <row r="49" spans="1:6" x14ac:dyDescent="0.25">
      <c r="A49" s="13" t="s">
        <v>1074</v>
      </c>
      <c r="B49" s="13" t="s">
        <v>105</v>
      </c>
      <c r="C49" s="13">
        <v>1431</v>
      </c>
      <c r="D49" s="13">
        <v>52200</v>
      </c>
      <c r="E49" s="13">
        <f t="shared" si="0"/>
        <v>52200</v>
      </c>
      <c r="F49" s="13">
        <v>0</v>
      </c>
    </row>
    <row r="50" spans="1:6" x14ac:dyDescent="0.25">
      <c r="A50" s="13" t="s">
        <v>1075</v>
      </c>
      <c r="B50" s="13" t="s">
        <v>106</v>
      </c>
      <c r="C50" s="13">
        <v>540</v>
      </c>
      <c r="D50" s="13">
        <v>3290</v>
      </c>
      <c r="E50" s="13">
        <f t="shared" si="0"/>
        <v>3290</v>
      </c>
      <c r="F50" s="13">
        <v>0</v>
      </c>
    </row>
    <row r="51" spans="1:6" x14ac:dyDescent="0.25">
      <c r="A51" s="13" t="s">
        <v>1076</v>
      </c>
      <c r="B51" s="13" t="s">
        <v>107</v>
      </c>
      <c r="C51" s="13">
        <v>94</v>
      </c>
      <c r="D51" s="13">
        <v>574</v>
      </c>
      <c r="E51" s="13">
        <f t="shared" si="0"/>
        <v>574</v>
      </c>
      <c r="F51" s="13">
        <v>0</v>
      </c>
    </row>
    <row r="52" spans="1:6" x14ac:dyDescent="0.25">
      <c r="A52" s="13" t="s">
        <v>1077</v>
      </c>
      <c r="B52" s="13" t="s">
        <v>108</v>
      </c>
      <c r="C52" s="13">
        <v>288</v>
      </c>
      <c r="D52" s="13">
        <v>1750</v>
      </c>
      <c r="E52" s="13">
        <f t="shared" si="0"/>
        <v>1750</v>
      </c>
      <c r="F52" s="13">
        <v>0</v>
      </c>
    </row>
    <row r="53" spans="1:6" x14ac:dyDescent="0.25">
      <c r="A53" s="13" t="s">
        <v>1078</v>
      </c>
      <c r="B53" s="13" t="s">
        <v>109</v>
      </c>
      <c r="C53" s="13">
        <v>996</v>
      </c>
      <c r="D53" s="13">
        <v>4740</v>
      </c>
      <c r="E53" s="13">
        <f t="shared" si="0"/>
        <v>4740</v>
      </c>
      <c r="F53" s="13">
        <v>0</v>
      </c>
    </row>
    <row r="54" spans="1:6" x14ac:dyDescent="0.25">
      <c r="A54" s="13" t="s">
        <v>1079</v>
      </c>
      <c r="B54" s="13" t="s">
        <v>110</v>
      </c>
      <c r="C54" s="13">
        <v>95</v>
      </c>
      <c r="D54" s="13">
        <v>577</v>
      </c>
      <c r="E54" s="13">
        <f t="shared" si="0"/>
        <v>577</v>
      </c>
      <c r="F54" s="13">
        <v>0</v>
      </c>
    </row>
    <row r="55" spans="1:6" x14ac:dyDescent="0.25">
      <c r="A55" s="13" t="s">
        <v>1080</v>
      </c>
      <c r="B55" s="13" t="s">
        <v>111</v>
      </c>
      <c r="C55" s="13">
        <v>1832</v>
      </c>
      <c r="D55" s="13">
        <v>11200</v>
      </c>
      <c r="E55" s="13">
        <f t="shared" si="0"/>
        <v>11200</v>
      </c>
      <c r="F55" s="13">
        <v>0</v>
      </c>
    </row>
    <row r="56" spans="1:6" x14ac:dyDescent="0.25">
      <c r="A56" s="13" t="s">
        <v>1081</v>
      </c>
      <c r="B56" s="13" t="s">
        <v>112</v>
      </c>
      <c r="C56" s="13">
        <v>996</v>
      </c>
      <c r="D56" s="13">
        <v>6070</v>
      </c>
      <c r="E56" s="13">
        <f t="shared" si="0"/>
        <v>6070</v>
      </c>
      <c r="F56" s="13">
        <v>0</v>
      </c>
    </row>
    <row r="57" spans="1:6" x14ac:dyDescent="0.25">
      <c r="A57" s="13" t="s">
        <v>1082</v>
      </c>
      <c r="B57" s="13" t="s">
        <v>113</v>
      </c>
      <c r="C57" s="13">
        <v>572</v>
      </c>
      <c r="D57" s="13">
        <v>3480</v>
      </c>
      <c r="E57" s="13">
        <f t="shared" si="0"/>
        <v>3480</v>
      </c>
      <c r="F57" s="13">
        <v>0</v>
      </c>
    </row>
    <row r="58" spans="1:6" x14ac:dyDescent="0.25">
      <c r="A58" s="13" t="s">
        <v>1083</v>
      </c>
      <c r="B58" s="13" t="s">
        <v>114</v>
      </c>
      <c r="C58" s="13">
        <v>116</v>
      </c>
      <c r="D58" s="13">
        <v>709</v>
      </c>
      <c r="E58" s="13">
        <f t="shared" si="0"/>
        <v>709</v>
      </c>
      <c r="F58" s="13">
        <v>0</v>
      </c>
    </row>
    <row r="59" spans="1:6" x14ac:dyDescent="0.25">
      <c r="A59" s="13" t="s">
        <v>1084</v>
      </c>
      <c r="B59" s="13" t="s">
        <v>115</v>
      </c>
      <c r="C59" s="13">
        <v>738</v>
      </c>
      <c r="D59" s="13">
        <v>3510</v>
      </c>
      <c r="E59" s="13">
        <f t="shared" si="0"/>
        <v>3510</v>
      </c>
      <c r="F59" s="13">
        <v>0</v>
      </c>
    </row>
    <row r="60" spans="1:6" x14ac:dyDescent="0.25">
      <c r="A60" s="13" t="s">
        <v>1085</v>
      </c>
      <c r="B60" s="13" t="s">
        <v>116</v>
      </c>
      <c r="C60" s="13">
        <v>1728</v>
      </c>
      <c r="D60" s="13">
        <v>10500</v>
      </c>
      <c r="E60" s="13">
        <f t="shared" si="0"/>
        <v>10500</v>
      </c>
      <c r="F60" s="13">
        <v>0</v>
      </c>
    </row>
    <row r="61" spans="1:6" x14ac:dyDescent="0.25">
      <c r="A61" s="13" t="s">
        <v>1086</v>
      </c>
      <c r="B61" s="13" t="s">
        <v>117</v>
      </c>
      <c r="C61" s="13">
        <v>345</v>
      </c>
      <c r="D61" s="13">
        <v>2100</v>
      </c>
      <c r="E61" s="13">
        <f t="shared" si="0"/>
        <v>2100</v>
      </c>
      <c r="F61" s="13">
        <v>0</v>
      </c>
    </row>
    <row r="62" spans="1:6" x14ac:dyDescent="0.25">
      <c r="A62" s="13" t="s">
        <v>1087</v>
      </c>
      <c r="B62" s="13" t="s">
        <v>118</v>
      </c>
      <c r="C62" s="13">
        <v>507</v>
      </c>
      <c r="D62" s="13">
        <v>2410</v>
      </c>
      <c r="E62" s="13">
        <f t="shared" si="0"/>
        <v>2410</v>
      </c>
      <c r="F62" s="13">
        <v>0</v>
      </c>
    </row>
    <row r="63" spans="1:6" x14ac:dyDescent="0.25">
      <c r="A63" s="13" t="s">
        <v>1088</v>
      </c>
      <c r="B63" s="13" t="s">
        <v>119</v>
      </c>
      <c r="C63" s="13">
        <v>191</v>
      </c>
      <c r="D63" s="13">
        <v>910</v>
      </c>
      <c r="E63" s="13">
        <f t="shared" si="0"/>
        <v>910</v>
      </c>
      <c r="F63" s="13">
        <v>0</v>
      </c>
    </row>
    <row r="64" spans="1:6" x14ac:dyDescent="0.25">
      <c r="A64" s="13" t="s">
        <v>1089</v>
      </c>
      <c r="B64" s="13" t="s">
        <v>120</v>
      </c>
      <c r="C64" s="13">
        <v>231</v>
      </c>
      <c r="D64" s="13">
        <v>1410</v>
      </c>
      <c r="E64" s="13">
        <f t="shared" si="0"/>
        <v>1410</v>
      </c>
      <c r="F64" s="13">
        <v>0</v>
      </c>
    </row>
    <row r="65" spans="1:6" x14ac:dyDescent="0.25">
      <c r="A65" s="13" t="s">
        <v>1090</v>
      </c>
      <c r="B65" s="13" t="s">
        <v>121</v>
      </c>
      <c r="C65" s="13">
        <v>857</v>
      </c>
      <c r="D65" s="13">
        <v>5230</v>
      </c>
      <c r="E65" s="13">
        <f t="shared" si="0"/>
        <v>5230</v>
      </c>
      <c r="F65" s="13">
        <v>0</v>
      </c>
    </row>
    <row r="66" spans="1:6" x14ac:dyDescent="0.25">
      <c r="A66" s="13" t="s">
        <v>1091</v>
      </c>
      <c r="B66" s="13" t="s">
        <v>122</v>
      </c>
      <c r="C66" s="13">
        <v>321</v>
      </c>
      <c r="D66" s="13">
        <v>1960</v>
      </c>
      <c r="E66" s="13">
        <f t="shared" si="0"/>
        <v>1960</v>
      </c>
      <c r="F66" s="13">
        <v>0</v>
      </c>
    </row>
    <row r="67" spans="1:6" x14ac:dyDescent="0.25">
      <c r="A67" s="13" t="s">
        <v>1092</v>
      </c>
      <c r="B67" s="13" t="s">
        <v>123</v>
      </c>
      <c r="C67" s="13">
        <v>712</v>
      </c>
      <c r="D67" s="13">
        <v>4340</v>
      </c>
      <c r="E67" s="13">
        <f t="shared" ref="E67:E130" si="1">D67-F67</f>
        <v>4340</v>
      </c>
      <c r="F67" s="13">
        <v>0</v>
      </c>
    </row>
    <row r="68" spans="1:6" x14ac:dyDescent="0.25">
      <c r="A68" s="13" t="s">
        <v>1093</v>
      </c>
      <c r="B68" s="13" t="s">
        <v>124</v>
      </c>
      <c r="C68" s="13">
        <v>502</v>
      </c>
      <c r="D68" s="13">
        <v>3060</v>
      </c>
      <c r="E68" s="13">
        <f t="shared" si="1"/>
        <v>3060</v>
      </c>
      <c r="F68" s="13">
        <v>0</v>
      </c>
    </row>
    <row r="69" spans="1:6" x14ac:dyDescent="0.25">
      <c r="A69" s="13" t="s">
        <v>1094</v>
      </c>
      <c r="B69" s="13" t="s">
        <v>125</v>
      </c>
      <c r="C69" s="13">
        <v>850</v>
      </c>
      <c r="D69" s="13">
        <v>4040</v>
      </c>
      <c r="E69" s="13">
        <f t="shared" si="1"/>
        <v>4040</v>
      </c>
      <c r="F69" s="13">
        <v>0</v>
      </c>
    </row>
    <row r="70" spans="1:6" x14ac:dyDescent="0.25">
      <c r="A70" s="13" t="s">
        <v>1095</v>
      </c>
      <c r="B70" s="13" t="s">
        <v>126</v>
      </c>
      <c r="C70" s="13">
        <v>763</v>
      </c>
      <c r="D70" s="13">
        <v>4650</v>
      </c>
      <c r="E70" s="13">
        <f t="shared" si="1"/>
        <v>4650</v>
      </c>
      <c r="F70" s="13">
        <v>0</v>
      </c>
    </row>
    <row r="71" spans="1:6" x14ac:dyDescent="0.25">
      <c r="A71" s="13" t="s">
        <v>1096</v>
      </c>
      <c r="B71" s="13" t="s">
        <v>127</v>
      </c>
      <c r="C71" s="13">
        <v>126</v>
      </c>
      <c r="D71" s="13">
        <v>767</v>
      </c>
      <c r="E71" s="13">
        <f t="shared" si="1"/>
        <v>767</v>
      </c>
      <c r="F71" s="13">
        <v>0</v>
      </c>
    </row>
    <row r="72" spans="1:6" x14ac:dyDescent="0.25">
      <c r="A72" s="13" t="s">
        <v>1097</v>
      </c>
      <c r="B72" s="13" t="s">
        <v>128</v>
      </c>
      <c r="C72" s="13">
        <v>1790</v>
      </c>
      <c r="D72" s="13">
        <v>8520</v>
      </c>
      <c r="E72" s="13">
        <f t="shared" si="1"/>
        <v>8520</v>
      </c>
      <c r="F72" s="13">
        <v>0</v>
      </c>
    </row>
    <row r="73" spans="1:6" x14ac:dyDescent="0.25">
      <c r="A73" s="13" t="s">
        <v>1098</v>
      </c>
      <c r="B73" s="13" t="s">
        <v>129</v>
      </c>
      <c r="C73" s="13">
        <v>195</v>
      </c>
      <c r="D73" s="13">
        <v>929</v>
      </c>
      <c r="E73" s="13">
        <f t="shared" si="1"/>
        <v>929</v>
      </c>
      <c r="F73" s="13">
        <v>0</v>
      </c>
    </row>
    <row r="74" spans="1:6" x14ac:dyDescent="0.25">
      <c r="A74" s="13" t="s">
        <v>1099</v>
      </c>
      <c r="B74" s="13" t="s">
        <v>130</v>
      </c>
      <c r="C74" s="13">
        <v>325</v>
      </c>
      <c r="D74" s="13">
        <v>1980</v>
      </c>
      <c r="E74" s="13">
        <f t="shared" si="1"/>
        <v>1980</v>
      </c>
      <c r="F74" s="13">
        <v>0</v>
      </c>
    </row>
    <row r="75" spans="1:6" x14ac:dyDescent="0.25">
      <c r="A75" s="13" t="s">
        <v>1100</v>
      </c>
      <c r="B75" s="13" t="s">
        <v>131</v>
      </c>
      <c r="C75" s="13">
        <v>238</v>
      </c>
      <c r="D75" s="13">
        <v>1450</v>
      </c>
      <c r="E75" s="13">
        <f t="shared" si="1"/>
        <v>1450</v>
      </c>
      <c r="F75" s="13">
        <v>0</v>
      </c>
    </row>
    <row r="76" spans="1:6" x14ac:dyDescent="0.25">
      <c r="A76" s="13" t="s">
        <v>1101</v>
      </c>
      <c r="B76" s="13" t="s">
        <v>132</v>
      </c>
      <c r="C76" s="13">
        <v>175</v>
      </c>
      <c r="D76" s="13">
        <v>834</v>
      </c>
      <c r="E76" s="13">
        <f t="shared" si="1"/>
        <v>834</v>
      </c>
      <c r="F76" s="13">
        <v>0</v>
      </c>
    </row>
    <row r="77" spans="1:6" x14ac:dyDescent="0.25">
      <c r="A77" s="13" t="s">
        <v>1102</v>
      </c>
      <c r="B77" s="13" t="s">
        <v>133</v>
      </c>
      <c r="C77" s="13">
        <v>1455</v>
      </c>
      <c r="D77" s="13">
        <v>8870</v>
      </c>
      <c r="E77" s="13">
        <f t="shared" si="1"/>
        <v>8870</v>
      </c>
      <c r="F77" s="13">
        <v>0</v>
      </c>
    </row>
    <row r="78" spans="1:6" x14ac:dyDescent="0.25">
      <c r="A78" s="13" t="s">
        <v>1103</v>
      </c>
      <c r="B78" s="13" t="s">
        <v>134</v>
      </c>
      <c r="C78" s="13">
        <v>958</v>
      </c>
      <c r="D78" s="13">
        <v>4560</v>
      </c>
      <c r="E78" s="13">
        <f t="shared" si="1"/>
        <v>4560</v>
      </c>
      <c r="F78" s="13">
        <v>0</v>
      </c>
    </row>
    <row r="79" spans="1:6" x14ac:dyDescent="0.25">
      <c r="A79" s="13" t="s">
        <v>1104</v>
      </c>
      <c r="B79" s="13" t="s">
        <v>135</v>
      </c>
      <c r="C79" s="13">
        <v>1072</v>
      </c>
      <c r="D79" s="13">
        <v>5100</v>
      </c>
      <c r="E79" s="13">
        <f t="shared" si="1"/>
        <v>5100</v>
      </c>
      <c r="F79" s="13">
        <v>0</v>
      </c>
    </row>
    <row r="80" spans="1:6" x14ac:dyDescent="0.25">
      <c r="A80" s="13" t="s">
        <v>1105</v>
      </c>
      <c r="B80" s="13" t="s">
        <v>136</v>
      </c>
      <c r="C80" s="13">
        <v>254</v>
      </c>
      <c r="D80" s="13">
        <v>1550</v>
      </c>
      <c r="E80" s="13">
        <f t="shared" si="1"/>
        <v>1550</v>
      </c>
      <c r="F80" s="13">
        <v>0</v>
      </c>
    </row>
    <row r="81" spans="1:6" x14ac:dyDescent="0.25">
      <c r="A81" s="13" t="s">
        <v>1106</v>
      </c>
      <c r="B81" s="13" t="s">
        <v>137</v>
      </c>
      <c r="C81" s="13">
        <v>898</v>
      </c>
      <c r="D81" s="13">
        <v>4270</v>
      </c>
      <c r="E81" s="13">
        <f t="shared" si="1"/>
        <v>4270</v>
      </c>
      <c r="F81" s="13">
        <v>0</v>
      </c>
    </row>
    <row r="82" spans="1:6" x14ac:dyDescent="0.25">
      <c r="A82" s="13" t="s">
        <v>1107</v>
      </c>
      <c r="B82" s="13" t="s">
        <v>138</v>
      </c>
      <c r="C82" s="13">
        <v>598</v>
      </c>
      <c r="D82" s="13">
        <v>2850</v>
      </c>
      <c r="E82" s="13">
        <f t="shared" si="1"/>
        <v>2850</v>
      </c>
      <c r="F82" s="13">
        <v>0</v>
      </c>
    </row>
    <row r="83" spans="1:6" x14ac:dyDescent="0.25">
      <c r="A83" s="13" t="s">
        <v>1108</v>
      </c>
      <c r="B83" s="13" t="s">
        <v>139</v>
      </c>
      <c r="C83" s="13">
        <v>427</v>
      </c>
      <c r="D83" s="13">
        <v>2600</v>
      </c>
      <c r="E83" s="13">
        <f t="shared" si="1"/>
        <v>2600</v>
      </c>
      <c r="F83" s="13">
        <v>0</v>
      </c>
    </row>
    <row r="84" spans="1:6" x14ac:dyDescent="0.25">
      <c r="A84" s="13" t="s">
        <v>1109</v>
      </c>
      <c r="B84" s="13" t="s">
        <v>140</v>
      </c>
      <c r="C84" s="13">
        <v>382</v>
      </c>
      <c r="D84" s="13">
        <v>1820</v>
      </c>
      <c r="E84" s="13">
        <f t="shared" si="1"/>
        <v>1820</v>
      </c>
      <c r="F84" s="13">
        <v>0</v>
      </c>
    </row>
    <row r="85" spans="1:6" x14ac:dyDescent="0.25">
      <c r="A85" s="13" t="s">
        <v>1110</v>
      </c>
      <c r="B85" s="13" t="s">
        <v>141</v>
      </c>
      <c r="C85" s="13">
        <v>566</v>
      </c>
      <c r="D85" s="13">
        <v>3450</v>
      </c>
      <c r="E85" s="13">
        <f t="shared" si="1"/>
        <v>3450</v>
      </c>
      <c r="F85" s="13">
        <v>0</v>
      </c>
    </row>
    <row r="86" spans="1:6" x14ac:dyDescent="0.25">
      <c r="A86" s="13" t="s">
        <v>1111</v>
      </c>
      <c r="B86" s="13" t="s">
        <v>142</v>
      </c>
      <c r="C86" s="13">
        <v>651</v>
      </c>
      <c r="D86" s="13">
        <v>3100</v>
      </c>
      <c r="E86" s="13">
        <f t="shared" si="1"/>
        <v>3100</v>
      </c>
      <c r="F86" s="13">
        <v>0</v>
      </c>
    </row>
    <row r="87" spans="1:6" x14ac:dyDescent="0.25">
      <c r="A87" s="13" t="s">
        <v>1112</v>
      </c>
      <c r="B87" s="13" t="s">
        <v>143</v>
      </c>
      <c r="C87" s="13">
        <v>201</v>
      </c>
      <c r="D87" s="13">
        <v>1230</v>
      </c>
      <c r="E87" s="13">
        <f t="shared" si="1"/>
        <v>1230</v>
      </c>
      <c r="F87" s="13">
        <v>0</v>
      </c>
    </row>
    <row r="88" spans="1:6" x14ac:dyDescent="0.25">
      <c r="A88" s="13" t="s">
        <v>1113</v>
      </c>
      <c r="B88" s="13" t="s">
        <v>144</v>
      </c>
      <c r="C88" s="13">
        <v>262</v>
      </c>
      <c r="D88" s="13">
        <v>1590</v>
      </c>
      <c r="E88" s="13">
        <f t="shared" si="1"/>
        <v>1590</v>
      </c>
      <c r="F88" s="13">
        <v>0</v>
      </c>
    </row>
    <row r="89" spans="1:6" x14ac:dyDescent="0.25">
      <c r="A89" s="13" t="s">
        <v>1114</v>
      </c>
      <c r="B89" s="13" t="s">
        <v>145</v>
      </c>
      <c r="C89" s="13">
        <v>2698</v>
      </c>
      <c r="D89" s="13">
        <v>12800</v>
      </c>
      <c r="E89" s="13">
        <f t="shared" si="1"/>
        <v>12800</v>
      </c>
      <c r="F89" s="13">
        <v>0</v>
      </c>
    </row>
    <row r="90" spans="1:6" x14ac:dyDescent="0.25">
      <c r="A90" s="13" t="s">
        <v>1115</v>
      </c>
      <c r="B90" s="13" t="s">
        <v>146</v>
      </c>
      <c r="C90" s="13">
        <v>502</v>
      </c>
      <c r="D90" s="13">
        <v>2390</v>
      </c>
      <c r="E90" s="13">
        <f t="shared" si="1"/>
        <v>2390</v>
      </c>
      <c r="F90" s="13">
        <v>0</v>
      </c>
    </row>
    <row r="91" spans="1:6" x14ac:dyDescent="0.25">
      <c r="A91" s="13" t="s">
        <v>1116</v>
      </c>
      <c r="B91" s="13" t="s">
        <v>147</v>
      </c>
      <c r="C91" s="13">
        <v>1594</v>
      </c>
      <c r="D91" s="13">
        <v>9710</v>
      </c>
      <c r="E91" s="13">
        <f t="shared" si="1"/>
        <v>9710</v>
      </c>
      <c r="F91" s="13">
        <v>0</v>
      </c>
    </row>
    <row r="92" spans="1:6" x14ac:dyDescent="0.25">
      <c r="A92" s="13" t="s">
        <v>1117</v>
      </c>
      <c r="B92" s="13" t="s">
        <v>148</v>
      </c>
      <c r="C92" s="13">
        <v>216</v>
      </c>
      <c r="D92" s="13">
        <v>7900</v>
      </c>
      <c r="E92" s="13">
        <f t="shared" si="1"/>
        <v>7900</v>
      </c>
      <c r="F92" s="13">
        <v>0</v>
      </c>
    </row>
    <row r="93" spans="1:6" x14ac:dyDescent="0.25">
      <c r="A93" s="13" t="s">
        <v>1118</v>
      </c>
      <c r="B93" s="13" t="s">
        <v>149</v>
      </c>
      <c r="C93" s="13">
        <v>129</v>
      </c>
      <c r="D93" s="13">
        <v>787</v>
      </c>
      <c r="E93" s="13">
        <f t="shared" si="1"/>
        <v>787</v>
      </c>
      <c r="F93" s="13">
        <v>0</v>
      </c>
    </row>
    <row r="94" spans="1:6" x14ac:dyDescent="0.25">
      <c r="A94" s="13" t="s">
        <v>1119</v>
      </c>
      <c r="B94" s="13" t="s">
        <v>150</v>
      </c>
      <c r="C94" s="13">
        <v>368</v>
      </c>
      <c r="D94" s="13">
        <v>2240</v>
      </c>
      <c r="E94" s="13">
        <f t="shared" si="1"/>
        <v>2240</v>
      </c>
      <c r="F94" s="13">
        <v>0</v>
      </c>
    </row>
    <row r="95" spans="1:6" x14ac:dyDescent="0.25">
      <c r="A95" s="13" t="s">
        <v>1120</v>
      </c>
      <c r="B95" s="13" t="s">
        <v>151</v>
      </c>
      <c r="C95" s="13">
        <v>142</v>
      </c>
      <c r="D95" s="13">
        <v>676</v>
      </c>
      <c r="E95" s="13">
        <f t="shared" si="1"/>
        <v>676</v>
      </c>
      <c r="F95" s="13">
        <v>0</v>
      </c>
    </row>
    <row r="96" spans="1:6" x14ac:dyDescent="0.25">
      <c r="A96" s="13" t="s">
        <v>1121</v>
      </c>
      <c r="B96" s="13" t="s">
        <v>152</v>
      </c>
      <c r="C96" s="13">
        <v>1292</v>
      </c>
      <c r="D96" s="13">
        <v>7880</v>
      </c>
      <c r="E96" s="13">
        <f t="shared" si="1"/>
        <v>7880</v>
      </c>
      <c r="F96" s="13">
        <v>0</v>
      </c>
    </row>
    <row r="97" spans="1:6" x14ac:dyDescent="0.25">
      <c r="A97" s="13" t="s">
        <v>1122</v>
      </c>
      <c r="B97" s="13" t="s">
        <v>153</v>
      </c>
      <c r="C97" s="13">
        <v>1719</v>
      </c>
      <c r="D97" s="13">
        <v>10500</v>
      </c>
      <c r="E97" s="13">
        <f t="shared" si="1"/>
        <v>10500</v>
      </c>
      <c r="F97" s="13">
        <v>0</v>
      </c>
    </row>
    <row r="98" spans="1:6" x14ac:dyDescent="0.25">
      <c r="A98" s="13" t="s">
        <v>1123</v>
      </c>
      <c r="B98" s="13" t="s">
        <v>154</v>
      </c>
      <c r="C98" s="13">
        <v>1704</v>
      </c>
      <c r="D98" s="13">
        <v>8110</v>
      </c>
      <c r="E98" s="13">
        <f t="shared" si="1"/>
        <v>8110</v>
      </c>
      <c r="F98" s="13">
        <v>0</v>
      </c>
    </row>
    <row r="99" spans="1:6" x14ac:dyDescent="0.25">
      <c r="A99" s="13" t="s">
        <v>1124</v>
      </c>
      <c r="B99" s="13" t="s">
        <v>155</v>
      </c>
      <c r="C99" s="13">
        <v>3061</v>
      </c>
      <c r="D99" s="13">
        <v>14600</v>
      </c>
      <c r="E99" s="13">
        <f t="shared" si="1"/>
        <v>14600</v>
      </c>
      <c r="F99" s="13">
        <v>0</v>
      </c>
    </row>
    <row r="100" spans="1:6" x14ac:dyDescent="0.25">
      <c r="A100" s="13" t="s">
        <v>1125</v>
      </c>
      <c r="B100" s="13" t="s">
        <v>156</v>
      </c>
      <c r="C100" s="13">
        <v>3519</v>
      </c>
      <c r="D100" s="13">
        <v>16700</v>
      </c>
      <c r="E100" s="13">
        <f t="shared" si="1"/>
        <v>16700</v>
      </c>
      <c r="F100" s="13">
        <v>0</v>
      </c>
    </row>
    <row r="101" spans="1:6" x14ac:dyDescent="0.25">
      <c r="A101" s="13" t="s">
        <v>1126</v>
      </c>
      <c r="B101" s="13" t="s">
        <v>157</v>
      </c>
      <c r="C101" s="13">
        <v>648</v>
      </c>
      <c r="D101" s="13">
        <v>3080</v>
      </c>
      <c r="E101" s="13">
        <f t="shared" si="1"/>
        <v>3080</v>
      </c>
      <c r="F101" s="13">
        <v>0</v>
      </c>
    </row>
    <row r="102" spans="1:6" x14ac:dyDescent="0.25">
      <c r="A102" s="13" t="s">
        <v>1127</v>
      </c>
      <c r="B102" s="13" t="s">
        <v>158</v>
      </c>
      <c r="C102" s="13">
        <v>698</v>
      </c>
      <c r="D102" s="13">
        <v>25500</v>
      </c>
      <c r="E102" s="13">
        <f t="shared" si="1"/>
        <v>25500</v>
      </c>
      <c r="F102" s="13">
        <v>0</v>
      </c>
    </row>
    <row r="103" spans="1:6" x14ac:dyDescent="0.25">
      <c r="A103" s="13" t="s">
        <v>1128</v>
      </c>
      <c r="B103" s="13" t="s">
        <v>159</v>
      </c>
      <c r="C103" s="13">
        <v>343</v>
      </c>
      <c r="D103" s="13">
        <v>2090</v>
      </c>
      <c r="E103" s="13">
        <f t="shared" si="1"/>
        <v>2090</v>
      </c>
      <c r="F103" s="13">
        <v>0</v>
      </c>
    </row>
    <row r="104" spans="1:6" x14ac:dyDescent="0.25">
      <c r="A104" s="13" t="s">
        <v>1129</v>
      </c>
      <c r="B104" s="13" t="s">
        <v>160</v>
      </c>
      <c r="C104" s="13">
        <v>516</v>
      </c>
      <c r="D104" s="13">
        <v>3150</v>
      </c>
      <c r="E104" s="13">
        <f t="shared" si="1"/>
        <v>3150</v>
      </c>
      <c r="F104" s="13">
        <v>0</v>
      </c>
    </row>
    <row r="105" spans="1:6" x14ac:dyDescent="0.25">
      <c r="A105" s="13" t="s">
        <v>1130</v>
      </c>
      <c r="B105" s="13" t="s">
        <v>161</v>
      </c>
      <c r="C105" s="13">
        <v>662</v>
      </c>
      <c r="D105" s="13">
        <v>3150</v>
      </c>
      <c r="E105" s="13">
        <f t="shared" si="1"/>
        <v>3150</v>
      </c>
      <c r="F105" s="13">
        <v>0</v>
      </c>
    </row>
    <row r="106" spans="1:6" x14ac:dyDescent="0.25">
      <c r="A106" s="13" t="s">
        <v>1131</v>
      </c>
      <c r="B106" s="13" t="s">
        <v>162</v>
      </c>
      <c r="C106" s="13">
        <v>704</v>
      </c>
      <c r="D106" s="13">
        <v>4290</v>
      </c>
      <c r="E106" s="13">
        <f t="shared" si="1"/>
        <v>4290</v>
      </c>
      <c r="F106" s="13">
        <v>0</v>
      </c>
    </row>
    <row r="107" spans="1:6" x14ac:dyDescent="0.25">
      <c r="A107" s="13" t="s">
        <v>1132</v>
      </c>
      <c r="B107" s="13" t="s">
        <v>163</v>
      </c>
      <c r="C107" s="13">
        <v>1101</v>
      </c>
      <c r="D107" s="13">
        <v>5240</v>
      </c>
      <c r="E107" s="13">
        <f t="shared" si="1"/>
        <v>5240</v>
      </c>
      <c r="F107" s="13">
        <v>0</v>
      </c>
    </row>
    <row r="108" spans="1:6" x14ac:dyDescent="0.25">
      <c r="A108" s="13" t="s">
        <v>1133</v>
      </c>
      <c r="B108" s="13" t="s">
        <v>164</v>
      </c>
      <c r="C108" s="13">
        <v>376</v>
      </c>
      <c r="D108" s="13">
        <v>2290</v>
      </c>
      <c r="E108" s="13">
        <f t="shared" si="1"/>
        <v>2290</v>
      </c>
      <c r="F108" s="13">
        <v>0</v>
      </c>
    </row>
    <row r="109" spans="1:6" x14ac:dyDescent="0.25">
      <c r="A109" s="13" t="s">
        <v>1134</v>
      </c>
      <c r="B109" s="13" t="s">
        <v>165</v>
      </c>
      <c r="C109" s="13">
        <v>1039</v>
      </c>
      <c r="D109" s="13">
        <v>6330</v>
      </c>
      <c r="E109" s="13">
        <f t="shared" si="1"/>
        <v>6330</v>
      </c>
      <c r="F109" s="13">
        <v>0</v>
      </c>
    </row>
    <row r="110" spans="1:6" x14ac:dyDescent="0.25">
      <c r="A110" s="13" t="s">
        <v>1135</v>
      </c>
      <c r="B110" s="13" t="s">
        <v>166</v>
      </c>
      <c r="C110" s="13">
        <v>195</v>
      </c>
      <c r="D110" s="13">
        <v>7110</v>
      </c>
      <c r="E110" s="13">
        <f t="shared" si="1"/>
        <v>7110</v>
      </c>
      <c r="F110" s="13">
        <v>0</v>
      </c>
    </row>
    <row r="111" spans="1:6" x14ac:dyDescent="0.25">
      <c r="A111" s="13" t="s">
        <v>1136</v>
      </c>
      <c r="B111" s="13" t="s">
        <v>167</v>
      </c>
      <c r="C111" s="13">
        <v>4137</v>
      </c>
      <c r="D111" s="13">
        <v>19700</v>
      </c>
      <c r="E111" s="13">
        <f t="shared" si="1"/>
        <v>19700</v>
      </c>
      <c r="F111" s="13">
        <v>0</v>
      </c>
    </row>
    <row r="112" spans="1:6" x14ac:dyDescent="0.25">
      <c r="A112" s="13" t="s">
        <v>1137</v>
      </c>
      <c r="B112" s="13" t="s">
        <v>168</v>
      </c>
      <c r="C112" s="13">
        <v>4487</v>
      </c>
      <c r="D112" s="13">
        <v>21400</v>
      </c>
      <c r="E112" s="13">
        <f t="shared" si="1"/>
        <v>21400</v>
      </c>
      <c r="F112" s="13">
        <v>0</v>
      </c>
    </row>
    <row r="113" spans="1:6" x14ac:dyDescent="0.25">
      <c r="A113" s="13" t="s">
        <v>1138</v>
      </c>
      <c r="B113" s="13" t="s">
        <v>169</v>
      </c>
      <c r="C113" s="13">
        <v>912</v>
      </c>
      <c r="D113" s="13">
        <v>4340</v>
      </c>
      <c r="E113" s="13">
        <f t="shared" si="1"/>
        <v>4340</v>
      </c>
      <c r="F113" s="13">
        <v>0</v>
      </c>
    </row>
    <row r="114" spans="1:6" x14ac:dyDescent="0.25">
      <c r="A114" s="13" t="s">
        <v>1139</v>
      </c>
      <c r="B114" s="13" t="s">
        <v>170</v>
      </c>
      <c r="C114" s="13">
        <v>2052</v>
      </c>
      <c r="D114" s="13">
        <v>74900</v>
      </c>
      <c r="E114" s="13">
        <f t="shared" si="1"/>
        <v>74900</v>
      </c>
      <c r="F114" s="13">
        <v>0</v>
      </c>
    </row>
    <row r="115" spans="1:6" x14ac:dyDescent="0.25">
      <c r="A115" s="13" t="s">
        <v>1140</v>
      </c>
      <c r="B115" s="13" t="s">
        <v>171</v>
      </c>
      <c r="C115" s="13">
        <v>375</v>
      </c>
      <c r="D115" s="13">
        <v>2290</v>
      </c>
      <c r="E115" s="13">
        <f t="shared" si="1"/>
        <v>2290</v>
      </c>
      <c r="F115" s="13">
        <v>0</v>
      </c>
    </row>
    <row r="116" spans="1:6" x14ac:dyDescent="0.25">
      <c r="A116" s="13" t="s">
        <v>1141</v>
      </c>
      <c r="B116" s="13" t="s">
        <v>172</v>
      </c>
      <c r="C116" s="13">
        <v>147</v>
      </c>
      <c r="D116" s="13">
        <v>899</v>
      </c>
      <c r="E116" s="13">
        <f t="shared" si="1"/>
        <v>899</v>
      </c>
      <c r="F116" s="13">
        <v>0</v>
      </c>
    </row>
    <row r="117" spans="1:6" x14ac:dyDescent="0.25">
      <c r="A117" s="13" t="s">
        <v>1142</v>
      </c>
      <c r="B117" s="13" t="s">
        <v>173</v>
      </c>
      <c r="C117" s="13">
        <v>2428</v>
      </c>
      <c r="D117" s="13">
        <v>14800</v>
      </c>
      <c r="E117" s="13">
        <f t="shared" si="1"/>
        <v>14800</v>
      </c>
      <c r="F117" s="13">
        <v>0</v>
      </c>
    </row>
    <row r="118" spans="1:6" x14ac:dyDescent="0.25">
      <c r="A118" s="13" t="s">
        <v>1143</v>
      </c>
      <c r="B118" s="13" t="s">
        <v>174</v>
      </c>
      <c r="C118" s="13">
        <v>1045</v>
      </c>
      <c r="D118" s="13">
        <v>6370</v>
      </c>
      <c r="E118" s="13">
        <f t="shared" si="1"/>
        <v>6370</v>
      </c>
      <c r="F118" s="13">
        <v>0</v>
      </c>
    </row>
    <row r="119" spans="1:6" x14ac:dyDescent="0.25">
      <c r="A119" s="13" t="s">
        <v>1144</v>
      </c>
      <c r="B119" s="13" t="s">
        <v>175</v>
      </c>
      <c r="C119" s="13">
        <v>1119</v>
      </c>
      <c r="D119" s="13">
        <v>6820</v>
      </c>
      <c r="E119" s="13">
        <f t="shared" si="1"/>
        <v>6820</v>
      </c>
      <c r="F119" s="13">
        <v>0</v>
      </c>
    </row>
    <row r="120" spans="1:6" x14ac:dyDescent="0.25">
      <c r="A120" s="13" t="s">
        <v>1145</v>
      </c>
      <c r="B120" s="13" t="s">
        <v>176</v>
      </c>
      <c r="C120" s="13">
        <v>514</v>
      </c>
      <c r="D120" s="13">
        <v>3130</v>
      </c>
      <c r="E120" s="13">
        <f t="shared" si="1"/>
        <v>3130</v>
      </c>
      <c r="F120" s="13">
        <v>0</v>
      </c>
    </row>
    <row r="121" spans="1:6" x14ac:dyDescent="0.25">
      <c r="A121" s="13" t="s">
        <v>1146</v>
      </c>
      <c r="B121" s="13" t="s">
        <v>177</v>
      </c>
      <c r="C121" s="13">
        <v>286</v>
      </c>
      <c r="D121" s="13">
        <v>1360</v>
      </c>
      <c r="E121" s="13">
        <f t="shared" si="1"/>
        <v>1360</v>
      </c>
      <c r="F121" s="13">
        <v>0</v>
      </c>
    </row>
    <row r="122" spans="1:6" x14ac:dyDescent="0.25">
      <c r="A122" s="13" t="s">
        <v>1147</v>
      </c>
      <c r="B122" s="13" t="s">
        <v>178</v>
      </c>
      <c r="C122" s="13">
        <v>2806</v>
      </c>
      <c r="D122" s="13">
        <v>17100</v>
      </c>
      <c r="E122" s="13">
        <f t="shared" si="1"/>
        <v>17100</v>
      </c>
      <c r="F122" s="13">
        <v>0</v>
      </c>
    </row>
    <row r="123" spans="1:6" x14ac:dyDescent="0.25">
      <c r="A123" s="13" t="s">
        <v>1148</v>
      </c>
      <c r="B123" s="13" t="s">
        <v>179</v>
      </c>
      <c r="C123" s="13">
        <v>1470</v>
      </c>
      <c r="D123" s="13">
        <v>8960</v>
      </c>
      <c r="E123" s="13">
        <f t="shared" si="1"/>
        <v>8960</v>
      </c>
      <c r="F123" s="13">
        <v>0</v>
      </c>
    </row>
    <row r="124" spans="1:6" x14ac:dyDescent="0.25">
      <c r="A124" s="13" t="s">
        <v>1149</v>
      </c>
      <c r="B124" s="13" t="s">
        <v>180</v>
      </c>
      <c r="C124" s="13">
        <v>2039</v>
      </c>
      <c r="D124" s="13">
        <v>9700</v>
      </c>
      <c r="E124" s="13">
        <f t="shared" si="1"/>
        <v>9700</v>
      </c>
      <c r="F124" s="13">
        <v>0</v>
      </c>
    </row>
    <row r="125" spans="1:6" x14ac:dyDescent="0.25">
      <c r="A125" s="13" t="s">
        <v>1150</v>
      </c>
      <c r="B125" s="13" t="s">
        <v>181</v>
      </c>
      <c r="C125" s="13">
        <v>2856</v>
      </c>
      <c r="D125" s="13">
        <v>17400</v>
      </c>
      <c r="E125" s="13">
        <f t="shared" si="1"/>
        <v>17400</v>
      </c>
      <c r="F125" s="13">
        <v>0</v>
      </c>
    </row>
    <row r="126" spans="1:6" x14ac:dyDescent="0.25">
      <c r="A126" s="13" t="s">
        <v>1151</v>
      </c>
      <c r="B126" s="13" t="s">
        <v>182</v>
      </c>
      <c r="C126" s="13">
        <v>4511</v>
      </c>
      <c r="D126" s="13">
        <v>21500</v>
      </c>
      <c r="E126" s="13">
        <f t="shared" si="1"/>
        <v>21500</v>
      </c>
      <c r="F126" s="13">
        <v>0</v>
      </c>
    </row>
    <row r="127" spans="1:6" x14ac:dyDescent="0.25">
      <c r="A127" s="13" t="s">
        <v>1152</v>
      </c>
      <c r="B127" s="13" t="s">
        <v>183</v>
      </c>
      <c r="C127" s="13">
        <v>1548</v>
      </c>
      <c r="D127" s="13">
        <v>9440</v>
      </c>
      <c r="E127" s="13">
        <f t="shared" si="1"/>
        <v>9440</v>
      </c>
      <c r="F127" s="13">
        <v>0</v>
      </c>
    </row>
    <row r="128" spans="1:6" x14ac:dyDescent="0.25">
      <c r="A128" s="13" t="s">
        <v>1153</v>
      </c>
      <c r="B128" s="13" t="s">
        <v>184</v>
      </c>
      <c r="C128" s="13">
        <v>1163</v>
      </c>
      <c r="D128" s="13">
        <v>7090</v>
      </c>
      <c r="E128" s="13">
        <f t="shared" si="1"/>
        <v>7090</v>
      </c>
      <c r="F128" s="13">
        <v>0</v>
      </c>
    </row>
    <row r="129" spans="1:6" x14ac:dyDescent="0.25">
      <c r="A129" s="13" t="s">
        <v>1154</v>
      </c>
      <c r="B129" s="13" t="s">
        <v>185</v>
      </c>
      <c r="C129" s="13">
        <v>3049</v>
      </c>
      <c r="D129" s="13">
        <v>18600</v>
      </c>
      <c r="E129" s="13">
        <f t="shared" si="1"/>
        <v>18600</v>
      </c>
      <c r="F129" s="13">
        <v>0</v>
      </c>
    </row>
    <row r="130" spans="1:6" x14ac:dyDescent="0.25">
      <c r="A130" s="13" t="s">
        <v>1155</v>
      </c>
      <c r="B130" s="13" t="s">
        <v>186</v>
      </c>
      <c r="C130" s="13">
        <v>9968</v>
      </c>
      <c r="D130" s="13">
        <v>60800</v>
      </c>
      <c r="E130" s="13">
        <f t="shared" si="1"/>
        <v>60800</v>
      </c>
      <c r="F130" s="13">
        <v>0</v>
      </c>
    </row>
    <row r="131" spans="1:6" x14ac:dyDescent="0.25">
      <c r="A131" s="13" t="s">
        <v>1156</v>
      </c>
      <c r="B131" s="13" t="s">
        <v>187</v>
      </c>
      <c r="C131" s="13">
        <v>2596</v>
      </c>
      <c r="D131" s="13">
        <v>12400</v>
      </c>
      <c r="E131" s="13">
        <f t="shared" ref="E131:E194" si="2">D131-F131</f>
        <v>12400</v>
      </c>
      <c r="F131" s="13">
        <v>0</v>
      </c>
    </row>
    <row r="132" spans="1:6" x14ac:dyDescent="0.25">
      <c r="A132" s="13" t="s">
        <v>1157</v>
      </c>
      <c r="B132" s="13" t="s">
        <v>188</v>
      </c>
      <c r="C132" s="13">
        <v>2233</v>
      </c>
      <c r="D132" s="13">
        <v>13600</v>
      </c>
      <c r="E132" s="13">
        <f t="shared" si="2"/>
        <v>13600</v>
      </c>
      <c r="F132" s="13">
        <v>0</v>
      </c>
    </row>
    <row r="133" spans="1:6" x14ac:dyDescent="0.25">
      <c r="A133" s="13" t="s">
        <v>1158</v>
      </c>
      <c r="B133" s="13" t="s">
        <v>189</v>
      </c>
      <c r="C133" s="13">
        <v>4696</v>
      </c>
      <c r="D133" s="13">
        <v>28600</v>
      </c>
      <c r="E133" s="13">
        <f t="shared" si="2"/>
        <v>28600</v>
      </c>
      <c r="F133" s="13">
        <v>0</v>
      </c>
    </row>
    <row r="134" spans="1:6" x14ac:dyDescent="0.25">
      <c r="A134" s="13" t="s">
        <v>1159</v>
      </c>
      <c r="B134" s="13" t="s">
        <v>190</v>
      </c>
      <c r="C134" s="13">
        <v>1516</v>
      </c>
      <c r="D134" s="13">
        <v>9240</v>
      </c>
      <c r="E134" s="13">
        <f t="shared" si="2"/>
        <v>9240</v>
      </c>
      <c r="F134" s="13">
        <v>0</v>
      </c>
    </row>
    <row r="135" spans="1:6" x14ac:dyDescent="0.25">
      <c r="A135" s="13" t="s">
        <v>1160</v>
      </c>
      <c r="B135" s="13" t="s">
        <v>191</v>
      </c>
      <c r="C135" s="13">
        <v>6694</v>
      </c>
      <c r="D135" s="13">
        <v>31900</v>
      </c>
      <c r="E135" s="13">
        <f t="shared" si="2"/>
        <v>31900</v>
      </c>
      <c r="F135" s="13">
        <v>0</v>
      </c>
    </row>
    <row r="136" spans="1:6" x14ac:dyDescent="0.25">
      <c r="A136" s="13" t="s">
        <v>1161</v>
      </c>
      <c r="B136" s="13" t="s">
        <v>192</v>
      </c>
      <c r="C136" s="13">
        <v>2034</v>
      </c>
      <c r="D136" s="13">
        <v>9680</v>
      </c>
      <c r="E136" s="13">
        <f t="shared" si="2"/>
        <v>9680</v>
      </c>
      <c r="F136" s="13">
        <v>0</v>
      </c>
    </row>
    <row r="137" spans="1:6" x14ac:dyDescent="0.25">
      <c r="A137" s="13" t="s">
        <v>1162</v>
      </c>
      <c r="B137" s="13" t="s">
        <v>193</v>
      </c>
      <c r="C137" s="13">
        <v>381</v>
      </c>
      <c r="D137" s="13">
        <v>2320</v>
      </c>
      <c r="E137" s="13">
        <f t="shared" si="2"/>
        <v>2320</v>
      </c>
      <c r="F137" s="13">
        <v>0</v>
      </c>
    </row>
    <row r="138" spans="1:6" x14ac:dyDescent="0.25">
      <c r="A138" s="13" t="s">
        <v>1163</v>
      </c>
      <c r="B138" s="13" t="s">
        <v>194</v>
      </c>
      <c r="C138" s="13">
        <v>206</v>
      </c>
      <c r="D138" s="13">
        <v>1250</v>
      </c>
      <c r="E138" s="13">
        <f t="shared" si="2"/>
        <v>1250</v>
      </c>
      <c r="F138" s="13">
        <v>0</v>
      </c>
    </row>
    <row r="139" spans="1:6" x14ac:dyDescent="0.25">
      <c r="A139" s="13" t="s">
        <v>1164</v>
      </c>
      <c r="B139" s="13" t="s">
        <v>195</v>
      </c>
      <c r="C139" s="13">
        <v>498</v>
      </c>
      <c r="D139" s="13">
        <v>18200</v>
      </c>
      <c r="E139" s="13">
        <f t="shared" si="2"/>
        <v>18200</v>
      </c>
      <c r="F139" s="13">
        <v>0</v>
      </c>
    </row>
    <row r="140" spans="1:6" x14ac:dyDescent="0.25">
      <c r="A140" s="13" t="s">
        <v>1165</v>
      </c>
      <c r="B140" s="13" t="s">
        <v>196</v>
      </c>
      <c r="C140" s="13">
        <v>324</v>
      </c>
      <c r="D140" s="13">
        <v>1540</v>
      </c>
      <c r="E140" s="13">
        <f t="shared" si="2"/>
        <v>1540</v>
      </c>
      <c r="F140" s="13">
        <v>0</v>
      </c>
    </row>
    <row r="141" spans="1:6" x14ac:dyDescent="0.25">
      <c r="A141" s="13" t="s">
        <v>1166</v>
      </c>
      <c r="B141" s="13" t="s">
        <v>197</v>
      </c>
      <c r="C141" s="13">
        <v>342</v>
      </c>
      <c r="D141" s="13">
        <v>1630</v>
      </c>
      <c r="E141" s="13">
        <f t="shared" si="2"/>
        <v>1630</v>
      </c>
      <c r="F141" s="13">
        <v>0</v>
      </c>
    </row>
    <row r="142" spans="1:6" x14ac:dyDescent="0.25">
      <c r="A142" s="13" t="s">
        <v>1167</v>
      </c>
      <c r="B142" s="13" t="s">
        <v>198</v>
      </c>
      <c r="C142" s="13">
        <v>475</v>
      </c>
      <c r="D142" s="13">
        <v>2890</v>
      </c>
      <c r="E142" s="13">
        <f t="shared" si="2"/>
        <v>2890</v>
      </c>
      <c r="F142" s="13">
        <v>0</v>
      </c>
    </row>
    <row r="143" spans="1:6" x14ac:dyDescent="0.25">
      <c r="A143" s="13" t="s">
        <v>1168</v>
      </c>
      <c r="B143" s="13" t="s">
        <v>199</v>
      </c>
      <c r="C143" s="13">
        <v>112</v>
      </c>
      <c r="D143" s="13">
        <v>684</v>
      </c>
      <c r="E143" s="13">
        <f t="shared" si="2"/>
        <v>684</v>
      </c>
      <c r="F143" s="13">
        <v>0</v>
      </c>
    </row>
    <row r="144" spans="1:6" x14ac:dyDescent="0.25">
      <c r="A144" s="13" t="s">
        <v>1169</v>
      </c>
      <c r="B144" s="13" t="s">
        <v>200</v>
      </c>
      <c r="C144" s="13">
        <v>432</v>
      </c>
      <c r="D144" s="13">
        <v>2630</v>
      </c>
      <c r="E144" s="13">
        <f t="shared" si="2"/>
        <v>2630</v>
      </c>
      <c r="F144" s="13">
        <v>0</v>
      </c>
    </row>
    <row r="145" spans="1:6" x14ac:dyDescent="0.25">
      <c r="A145" s="13" t="s">
        <v>1170</v>
      </c>
      <c r="B145" s="13" t="s">
        <v>201</v>
      </c>
      <c r="C145" s="13">
        <v>147</v>
      </c>
      <c r="D145" s="13">
        <v>894</v>
      </c>
      <c r="E145" s="13">
        <f t="shared" si="2"/>
        <v>894</v>
      </c>
      <c r="F145" s="13">
        <v>0</v>
      </c>
    </row>
    <row r="146" spans="1:6" x14ac:dyDescent="0.25">
      <c r="A146" s="13" t="s">
        <v>1171</v>
      </c>
      <c r="B146" s="13" t="s">
        <v>202</v>
      </c>
      <c r="C146" s="13">
        <v>208</v>
      </c>
      <c r="D146" s="13">
        <v>1270</v>
      </c>
      <c r="E146" s="13">
        <f t="shared" si="2"/>
        <v>1270</v>
      </c>
      <c r="F146" s="13">
        <v>0</v>
      </c>
    </row>
    <row r="147" spans="1:6" x14ac:dyDescent="0.25">
      <c r="A147" s="13" t="s">
        <v>1172</v>
      </c>
      <c r="B147" s="13" t="s">
        <v>203</v>
      </c>
      <c r="C147" s="13">
        <v>552</v>
      </c>
      <c r="D147" s="13">
        <v>2630</v>
      </c>
      <c r="E147" s="13">
        <f t="shared" si="2"/>
        <v>2630</v>
      </c>
      <c r="F147" s="13">
        <v>0</v>
      </c>
    </row>
    <row r="148" spans="1:6" x14ac:dyDescent="0.25">
      <c r="A148" s="13" t="s">
        <v>1173</v>
      </c>
      <c r="B148" s="13" t="s">
        <v>204</v>
      </c>
      <c r="C148" s="13">
        <v>556</v>
      </c>
      <c r="D148" s="13">
        <v>3390</v>
      </c>
      <c r="E148" s="13">
        <f t="shared" si="2"/>
        <v>3390</v>
      </c>
      <c r="F148" s="13">
        <v>0</v>
      </c>
    </row>
    <row r="149" spans="1:6" x14ac:dyDescent="0.25">
      <c r="A149" s="13" t="s">
        <v>1174</v>
      </c>
      <c r="B149" s="13" t="s">
        <v>205</v>
      </c>
      <c r="C149" s="13">
        <v>318</v>
      </c>
      <c r="D149" s="13">
        <v>1520</v>
      </c>
      <c r="E149" s="13">
        <f t="shared" si="2"/>
        <v>1520</v>
      </c>
      <c r="F149" s="13">
        <v>0</v>
      </c>
    </row>
    <row r="150" spans="1:6" x14ac:dyDescent="0.25">
      <c r="A150" s="13" t="s">
        <v>1175</v>
      </c>
      <c r="B150" s="13" t="s">
        <v>206</v>
      </c>
      <c r="C150" s="13">
        <v>91</v>
      </c>
      <c r="D150" s="13">
        <v>431</v>
      </c>
      <c r="E150" s="13">
        <f t="shared" si="2"/>
        <v>431</v>
      </c>
      <c r="F150" s="13">
        <v>0</v>
      </c>
    </row>
    <row r="151" spans="1:6" x14ac:dyDescent="0.25">
      <c r="A151" s="13" t="s">
        <v>1176</v>
      </c>
      <c r="B151" s="13" t="s">
        <v>207</v>
      </c>
      <c r="C151" s="13">
        <v>266</v>
      </c>
      <c r="D151" s="13">
        <v>1270</v>
      </c>
      <c r="E151" s="13">
        <f t="shared" si="2"/>
        <v>1270</v>
      </c>
      <c r="F151" s="13">
        <v>0</v>
      </c>
    </row>
    <row r="152" spans="1:6" x14ac:dyDescent="0.25">
      <c r="A152" s="13" t="s">
        <v>1177</v>
      </c>
      <c r="B152" s="13" t="s">
        <v>208</v>
      </c>
      <c r="C152" s="13">
        <v>584</v>
      </c>
      <c r="D152" s="13">
        <v>3560</v>
      </c>
      <c r="E152" s="13">
        <f t="shared" si="2"/>
        <v>3560</v>
      </c>
      <c r="F152" s="13">
        <v>0</v>
      </c>
    </row>
    <row r="153" spans="1:6" x14ac:dyDescent="0.25">
      <c r="A153" s="13" t="s">
        <v>1178</v>
      </c>
      <c r="B153" s="13" t="s">
        <v>209</v>
      </c>
      <c r="C153" s="13">
        <v>223</v>
      </c>
      <c r="D153" s="13">
        <v>1060</v>
      </c>
      <c r="E153" s="13">
        <f t="shared" si="2"/>
        <v>1060</v>
      </c>
      <c r="F153" s="13">
        <v>0</v>
      </c>
    </row>
    <row r="154" spans="1:6" x14ac:dyDescent="0.25">
      <c r="A154" s="13" t="s">
        <v>1179</v>
      </c>
      <c r="B154" s="13" t="s">
        <v>210</v>
      </c>
      <c r="C154" s="13">
        <v>127</v>
      </c>
      <c r="D154" s="13">
        <v>602</v>
      </c>
      <c r="E154" s="13">
        <f t="shared" si="2"/>
        <v>602</v>
      </c>
      <c r="F154" s="13">
        <v>0</v>
      </c>
    </row>
    <row r="155" spans="1:6" x14ac:dyDescent="0.25">
      <c r="A155" s="13" t="s">
        <v>1180</v>
      </c>
      <c r="B155" s="13" t="s">
        <v>211</v>
      </c>
      <c r="C155" s="13">
        <v>850</v>
      </c>
      <c r="D155" s="13">
        <v>5180</v>
      </c>
      <c r="E155" s="13">
        <f t="shared" si="2"/>
        <v>5180</v>
      </c>
      <c r="F155" s="13">
        <v>0</v>
      </c>
    </row>
    <row r="156" spans="1:6" x14ac:dyDescent="0.25">
      <c r="A156" s="13" t="s">
        <v>1181</v>
      </c>
      <c r="B156" s="13" t="s">
        <v>212</v>
      </c>
      <c r="C156" s="13">
        <v>412</v>
      </c>
      <c r="D156" s="13">
        <v>2510</v>
      </c>
      <c r="E156" s="13">
        <f t="shared" si="2"/>
        <v>2510</v>
      </c>
      <c r="F156" s="13">
        <v>0</v>
      </c>
    </row>
    <row r="157" spans="1:6" x14ac:dyDescent="0.25">
      <c r="A157" s="13" t="s">
        <v>1182</v>
      </c>
      <c r="B157" s="13" t="s">
        <v>213</v>
      </c>
      <c r="C157" s="13">
        <v>1279</v>
      </c>
      <c r="D157" s="13">
        <v>7790</v>
      </c>
      <c r="E157" s="13">
        <f t="shared" si="2"/>
        <v>7790</v>
      </c>
      <c r="F157" s="13">
        <v>0</v>
      </c>
    </row>
    <row r="158" spans="1:6" x14ac:dyDescent="0.25">
      <c r="A158" s="13" t="s">
        <v>1183</v>
      </c>
      <c r="B158" s="13" t="s">
        <v>214</v>
      </c>
      <c r="C158" s="13">
        <v>1109</v>
      </c>
      <c r="D158" s="13">
        <v>6760</v>
      </c>
      <c r="E158" s="13">
        <f t="shared" si="2"/>
        <v>6760</v>
      </c>
      <c r="F158" s="13">
        <v>0</v>
      </c>
    </row>
    <row r="159" spans="1:6" x14ac:dyDescent="0.25">
      <c r="A159" s="13" t="s">
        <v>1184</v>
      </c>
      <c r="B159" s="13" t="s">
        <v>215</v>
      </c>
      <c r="C159" s="13">
        <v>993</v>
      </c>
      <c r="D159" s="13">
        <v>6050</v>
      </c>
      <c r="E159" s="13">
        <f t="shared" si="2"/>
        <v>6050</v>
      </c>
      <c r="F159" s="13">
        <v>0</v>
      </c>
    </row>
    <row r="160" spans="1:6" x14ac:dyDescent="0.25">
      <c r="A160" s="13" t="s">
        <v>1185</v>
      </c>
      <c r="B160" s="13" t="s">
        <v>216</v>
      </c>
      <c r="C160" s="13">
        <v>336</v>
      </c>
      <c r="D160" s="13">
        <v>2050</v>
      </c>
      <c r="E160" s="13">
        <f t="shared" si="2"/>
        <v>2050</v>
      </c>
      <c r="F160" s="13">
        <v>0</v>
      </c>
    </row>
    <row r="161" spans="1:6" x14ac:dyDescent="0.25">
      <c r="A161" s="13" t="s">
        <v>1186</v>
      </c>
      <c r="B161" s="13" t="s">
        <v>217</v>
      </c>
      <c r="C161" s="13">
        <v>97</v>
      </c>
      <c r="D161" s="13">
        <v>591</v>
      </c>
      <c r="E161" s="13">
        <f t="shared" si="2"/>
        <v>591</v>
      </c>
      <c r="F161" s="13">
        <v>0</v>
      </c>
    </row>
    <row r="162" spans="1:6" x14ac:dyDescent="0.25">
      <c r="A162" s="13" t="s">
        <v>1187</v>
      </c>
      <c r="B162" s="13" t="s">
        <v>218</v>
      </c>
      <c r="C162" s="13">
        <v>1413</v>
      </c>
      <c r="D162" s="13">
        <v>8620</v>
      </c>
      <c r="E162" s="13">
        <f t="shared" si="2"/>
        <v>8620</v>
      </c>
      <c r="F162" s="13">
        <v>0</v>
      </c>
    </row>
    <row r="163" spans="1:6" x14ac:dyDescent="0.25">
      <c r="A163" s="13" t="s">
        <v>1188</v>
      </c>
      <c r="B163" s="13" t="s">
        <v>219</v>
      </c>
      <c r="C163" s="13">
        <v>418</v>
      </c>
      <c r="D163" s="13">
        <v>2550</v>
      </c>
      <c r="E163" s="13">
        <f t="shared" si="2"/>
        <v>2550</v>
      </c>
      <c r="F163" s="13">
        <v>0</v>
      </c>
    </row>
    <row r="164" spans="1:6" x14ac:dyDescent="0.25">
      <c r="A164" s="13" t="s">
        <v>1189</v>
      </c>
      <c r="B164" s="13" t="s">
        <v>220</v>
      </c>
      <c r="C164" s="13">
        <v>412</v>
      </c>
      <c r="D164" s="13">
        <v>15000</v>
      </c>
      <c r="E164" s="13">
        <f t="shared" si="2"/>
        <v>15000</v>
      </c>
      <c r="F164" s="13">
        <v>0</v>
      </c>
    </row>
    <row r="165" spans="1:6" x14ac:dyDescent="0.25">
      <c r="A165" s="13" t="s">
        <v>1190</v>
      </c>
      <c r="B165" s="13" t="s">
        <v>221</v>
      </c>
      <c r="C165" s="13">
        <v>133</v>
      </c>
      <c r="D165" s="13">
        <v>810</v>
      </c>
      <c r="E165" s="13">
        <f t="shared" si="2"/>
        <v>810</v>
      </c>
      <c r="F165" s="13">
        <v>0</v>
      </c>
    </row>
    <row r="166" spans="1:6" x14ac:dyDescent="0.25">
      <c r="A166" s="13" t="s">
        <v>1191</v>
      </c>
      <c r="B166" s="13" t="s">
        <v>222</v>
      </c>
      <c r="C166" s="13">
        <v>155</v>
      </c>
      <c r="D166" s="13">
        <v>737</v>
      </c>
      <c r="E166" s="13">
        <f t="shared" si="2"/>
        <v>737</v>
      </c>
      <c r="F166" s="13">
        <v>0</v>
      </c>
    </row>
    <row r="167" spans="1:6" x14ac:dyDescent="0.25">
      <c r="A167" s="13" t="s">
        <v>1192</v>
      </c>
      <c r="B167" s="13" t="s">
        <v>223</v>
      </c>
      <c r="C167" s="13">
        <v>550</v>
      </c>
      <c r="D167" s="13">
        <v>3350</v>
      </c>
      <c r="E167" s="13">
        <f t="shared" si="2"/>
        <v>3350</v>
      </c>
      <c r="F167" s="13">
        <v>0</v>
      </c>
    </row>
    <row r="168" spans="1:6" x14ac:dyDescent="0.25">
      <c r="A168" s="13" t="s">
        <v>1193</v>
      </c>
      <c r="B168" s="13" t="s">
        <v>224</v>
      </c>
      <c r="C168" s="13">
        <v>644</v>
      </c>
      <c r="D168" s="13">
        <v>3070</v>
      </c>
      <c r="E168" s="13">
        <f t="shared" si="2"/>
        <v>3070</v>
      </c>
      <c r="F168" s="13">
        <v>0</v>
      </c>
    </row>
    <row r="169" spans="1:6" x14ac:dyDescent="0.25">
      <c r="A169" s="13" t="s">
        <v>1194</v>
      </c>
      <c r="B169" s="13" t="s">
        <v>225</v>
      </c>
      <c r="C169" s="13">
        <v>471</v>
      </c>
      <c r="D169" s="13">
        <v>2870</v>
      </c>
      <c r="E169" s="13">
        <f t="shared" si="2"/>
        <v>2870</v>
      </c>
      <c r="F169" s="13">
        <v>0</v>
      </c>
    </row>
    <row r="170" spans="1:6" x14ac:dyDescent="0.25">
      <c r="A170" s="13" t="s">
        <v>1195</v>
      </c>
      <c r="B170" s="13" t="s">
        <v>226</v>
      </c>
      <c r="C170" s="13">
        <v>212</v>
      </c>
      <c r="D170" s="13">
        <v>1290</v>
      </c>
      <c r="E170" s="13">
        <f t="shared" si="2"/>
        <v>1290</v>
      </c>
      <c r="F170" s="13">
        <v>0</v>
      </c>
    </row>
    <row r="171" spans="1:6" x14ac:dyDescent="0.25">
      <c r="A171" s="13" t="s">
        <v>1196</v>
      </c>
      <c r="B171" s="13" t="s">
        <v>227</v>
      </c>
      <c r="C171" s="13">
        <v>228</v>
      </c>
      <c r="D171" s="13">
        <v>1090</v>
      </c>
      <c r="E171" s="13">
        <f t="shared" si="2"/>
        <v>1090</v>
      </c>
      <c r="F171" s="13">
        <v>0</v>
      </c>
    </row>
    <row r="172" spans="1:6" x14ac:dyDescent="0.25">
      <c r="A172" s="13" t="s">
        <v>1197</v>
      </c>
      <c r="B172" s="13" t="s">
        <v>228</v>
      </c>
      <c r="C172" s="13">
        <v>140</v>
      </c>
      <c r="D172" s="13">
        <v>668</v>
      </c>
      <c r="E172" s="13">
        <f t="shared" si="2"/>
        <v>668</v>
      </c>
      <c r="F172" s="13">
        <v>0</v>
      </c>
    </row>
    <row r="173" spans="1:6" x14ac:dyDescent="0.25">
      <c r="A173" s="13" t="s">
        <v>1198</v>
      </c>
      <c r="B173" s="13" t="s">
        <v>229</v>
      </c>
      <c r="C173" s="13">
        <v>101</v>
      </c>
      <c r="D173" s="13">
        <v>480</v>
      </c>
      <c r="E173" s="13">
        <f t="shared" si="2"/>
        <v>480</v>
      </c>
      <c r="F173" s="13">
        <v>0</v>
      </c>
    </row>
    <row r="174" spans="1:6" x14ac:dyDescent="0.25">
      <c r="A174" s="13" t="s">
        <v>1199</v>
      </c>
      <c r="B174" s="13" t="s">
        <v>230</v>
      </c>
      <c r="C174" s="13">
        <v>270</v>
      </c>
      <c r="D174" s="13">
        <v>1650</v>
      </c>
      <c r="E174" s="13">
        <f t="shared" si="2"/>
        <v>1650</v>
      </c>
      <c r="F174" s="13">
        <v>0</v>
      </c>
    </row>
    <row r="175" spans="1:6" x14ac:dyDescent="0.25">
      <c r="A175" s="13" t="s">
        <v>1200</v>
      </c>
      <c r="B175" s="13" t="s">
        <v>231</v>
      </c>
      <c r="C175" s="13">
        <v>438</v>
      </c>
      <c r="D175" s="13">
        <v>2670</v>
      </c>
      <c r="E175" s="13">
        <f t="shared" si="2"/>
        <v>2670</v>
      </c>
      <c r="F175" s="13">
        <v>0</v>
      </c>
    </row>
    <row r="176" spans="1:6" x14ac:dyDescent="0.25">
      <c r="A176" s="13" t="s">
        <v>1201</v>
      </c>
      <c r="B176" s="13" t="s">
        <v>232</v>
      </c>
      <c r="C176" s="13">
        <v>191</v>
      </c>
      <c r="D176" s="13">
        <v>910</v>
      </c>
      <c r="E176" s="13">
        <f t="shared" si="2"/>
        <v>910</v>
      </c>
      <c r="F176" s="13">
        <v>0</v>
      </c>
    </row>
    <row r="177" spans="1:6" x14ac:dyDescent="0.25">
      <c r="A177" s="13" t="s">
        <v>1202</v>
      </c>
      <c r="B177" s="13" t="s">
        <v>233</v>
      </c>
      <c r="C177" s="13">
        <v>169</v>
      </c>
      <c r="D177" s="13">
        <v>806</v>
      </c>
      <c r="E177" s="13">
        <f t="shared" si="2"/>
        <v>806</v>
      </c>
      <c r="F177" s="13">
        <v>0</v>
      </c>
    </row>
    <row r="178" spans="1:6" x14ac:dyDescent="0.25">
      <c r="A178" s="13" t="s">
        <v>1203</v>
      </c>
      <c r="B178" s="13" t="s">
        <v>234</v>
      </c>
      <c r="C178" s="13">
        <v>216</v>
      </c>
      <c r="D178" s="13">
        <v>1310</v>
      </c>
      <c r="E178" s="13">
        <f t="shared" si="2"/>
        <v>1310</v>
      </c>
      <c r="F178" s="13">
        <v>0</v>
      </c>
    </row>
    <row r="179" spans="1:6" x14ac:dyDescent="0.25">
      <c r="A179" s="13" t="s">
        <v>1204</v>
      </c>
      <c r="B179" s="13" t="s">
        <v>235</v>
      </c>
      <c r="C179" s="13">
        <v>194</v>
      </c>
      <c r="D179" s="13">
        <v>1190</v>
      </c>
      <c r="E179" s="13">
        <f t="shared" si="2"/>
        <v>1190</v>
      </c>
      <c r="F179" s="13">
        <v>0</v>
      </c>
    </row>
    <row r="180" spans="1:6" x14ac:dyDescent="0.25">
      <c r="A180" s="13" t="s">
        <v>1205</v>
      </c>
      <c r="B180" s="13" t="s">
        <v>236</v>
      </c>
      <c r="C180" s="13">
        <v>115</v>
      </c>
      <c r="D180" s="13">
        <v>698</v>
      </c>
      <c r="E180" s="13">
        <f t="shared" si="2"/>
        <v>698</v>
      </c>
      <c r="F180" s="13">
        <v>0</v>
      </c>
    </row>
    <row r="181" spans="1:6" x14ac:dyDescent="0.25">
      <c r="A181" s="13" t="s">
        <v>1206</v>
      </c>
      <c r="B181" s="13" t="s">
        <v>237</v>
      </c>
      <c r="C181" s="13">
        <v>349</v>
      </c>
      <c r="D181" s="13">
        <v>2130</v>
      </c>
      <c r="E181" s="13">
        <f t="shared" si="2"/>
        <v>2130</v>
      </c>
      <c r="F181" s="13">
        <v>0</v>
      </c>
    </row>
    <row r="182" spans="1:6" x14ac:dyDescent="0.25">
      <c r="A182" s="13" t="s">
        <v>1207</v>
      </c>
      <c r="B182" s="13" t="s">
        <v>238</v>
      </c>
      <c r="C182" s="13">
        <v>550</v>
      </c>
      <c r="D182" s="13">
        <v>3360</v>
      </c>
      <c r="E182" s="13">
        <f t="shared" si="2"/>
        <v>3360</v>
      </c>
      <c r="F182" s="13">
        <v>0</v>
      </c>
    </row>
    <row r="183" spans="1:6" x14ac:dyDescent="0.25">
      <c r="A183" s="13" t="s">
        <v>1208</v>
      </c>
      <c r="B183" s="13" t="s">
        <v>239</v>
      </c>
      <c r="C183" s="13">
        <v>684</v>
      </c>
      <c r="D183" s="13">
        <v>3250</v>
      </c>
      <c r="E183" s="13">
        <f t="shared" si="2"/>
        <v>3250</v>
      </c>
      <c r="F183" s="13">
        <v>0</v>
      </c>
    </row>
    <row r="184" spans="1:6" x14ac:dyDescent="0.25">
      <c r="A184" s="13" t="s">
        <v>1209</v>
      </c>
      <c r="B184" s="13" t="s">
        <v>240</v>
      </c>
      <c r="C184" s="13">
        <v>78</v>
      </c>
      <c r="D184" s="13">
        <v>474</v>
      </c>
      <c r="E184" s="13">
        <f t="shared" si="2"/>
        <v>474</v>
      </c>
      <c r="F184" s="13">
        <v>0</v>
      </c>
    </row>
    <row r="185" spans="1:6" x14ac:dyDescent="0.25">
      <c r="A185" s="13" t="s">
        <v>1210</v>
      </c>
      <c r="B185" s="13" t="s">
        <v>241</v>
      </c>
      <c r="C185" s="13">
        <v>1599</v>
      </c>
      <c r="D185" s="13">
        <v>9750</v>
      </c>
      <c r="E185" s="13">
        <f t="shared" si="2"/>
        <v>9750</v>
      </c>
      <c r="F185" s="13">
        <v>0</v>
      </c>
    </row>
    <row r="186" spans="1:6" x14ac:dyDescent="0.25">
      <c r="A186" s="13" t="s">
        <v>1211</v>
      </c>
      <c r="B186" s="13" t="s">
        <v>242</v>
      </c>
      <c r="C186" s="13">
        <v>329</v>
      </c>
      <c r="D186" s="13">
        <v>2010</v>
      </c>
      <c r="E186" s="13">
        <f t="shared" si="2"/>
        <v>2010</v>
      </c>
      <c r="F186" s="13">
        <v>0</v>
      </c>
    </row>
    <row r="187" spans="1:6" x14ac:dyDescent="0.25">
      <c r="A187" s="13" t="s">
        <v>1212</v>
      </c>
      <c r="B187" s="13" t="s">
        <v>243</v>
      </c>
      <c r="C187" s="13">
        <v>517</v>
      </c>
      <c r="D187" s="13">
        <v>3150</v>
      </c>
      <c r="E187" s="13">
        <f t="shared" si="2"/>
        <v>3150</v>
      </c>
      <c r="F187" s="13">
        <v>0</v>
      </c>
    </row>
    <row r="188" spans="1:6" x14ac:dyDescent="0.25">
      <c r="A188" s="13" t="s">
        <v>1213</v>
      </c>
      <c r="B188" s="13" t="s">
        <v>244</v>
      </c>
      <c r="C188" s="13">
        <v>230</v>
      </c>
      <c r="D188" s="13">
        <v>1090</v>
      </c>
      <c r="E188" s="13">
        <f t="shared" si="2"/>
        <v>1090</v>
      </c>
      <c r="F188" s="13">
        <v>0</v>
      </c>
    </row>
    <row r="189" spans="1:6" x14ac:dyDescent="0.25">
      <c r="A189" s="13" t="s">
        <v>1214</v>
      </c>
      <c r="B189" s="13" t="s">
        <v>245</v>
      </c>
      <c r="C189" s="13">
        <v>250</v>
      </c>
      <c r="D189" s="13">
        <v>1190</v>
      </c>
      <c r="E189" s="13">
        <f t="shared" si="2"/>
        <v>1190</v>
      </c>
      <c r="F189" s="13">
        <v>0</v>
      </c>
    </row>
    <row r="190" spans="1:6" x14ac:dyDescent="0.25">
      <c r="A190" s="13" t="s">
        <v>1215</v>
      </c>
      <c r="B190" s="13" t="s">
        <v>246</v>
      </c>
      <c r="C190" s="13">
        <v>205</v>
      </c>
      <c r="D190" s="13">
        <v>1250</v>
      </c>
      <c r="E190" s="13">
        <f t="shared" si="2"/>
        <v>1250</v>
      </c>
      <c r="F190" s="13">
        <v>0</v>
      </c>
    </row>
    <row r="191" spans="1:6" x14ac:dyDescent="0.25">
      <c r="A191" s="13" t="s">
        <v>1216</v>
      </c>
      <c r="B191" s="13" t="s">
        <v>247</v>
      </c>
      <c r="C191" s="13">
        <v>511</v>
      </c>
      <c r="D191" s="13">
        <v>3110</v>
      </c>
      <c r="E191" s="13">
        <f t="shared" si="2"/>
        <v>3110</v>
      </c>
      <c r="F191" s="13">
        <v>0</v>
      </c>
    </row>
    <row r="192" spans="1:6" x14ac:dyDescent="0.25">
      <c r="A192" s="13" t="s">
        <v>1217</v>
      </c>
      <c r="B192" s="13" t="s">
        <v>248</v>
      </c>
      <c r="C192" s="13">
        <v>83</v>
      </c>
      <c r="D192" s="13">
        <v>508</v>
      </c>
      <c r="E192" s="13">
        <f t="shared" si="2"/>
        <v>508</v>
      </c>
      <c r="F192" s="13">
        <v>0</v>
      </c>
    </row>
    <row r="193" spans="1:6" x14ac:dyDescent="0.25">
      <c r="A193" s="13" t="s">
        <v>1218</v>
      </c>
      <c r="B193" s="13" t="s">
        <v>249</v>
      </c>
      <c r="C193" s="13">
        <v>839</v>
      </c>
      <c r="D193" s="13">
        <v>5120</v>
      </c>
      <c r="E193" s="13">
        <f t="shared" si="2"/>
        <v>5120</v>
      </c>
      <c r="F193" s="13">
        <v>0</v>
      </c>
    </row>
    <row r="194" spans="1:6" x14ac:dyDescent="0.25">
      <c r="A194" s="13" t="s">
        <v>1219</v>
      </c>
      <c r="B194" s="13" t="s">
        <v>250</v>
      </c>
      <c r="C194" s="13">
        <v>592</v>
      </c>
      <c r="D194" s="13">
        <v>2820</v>
      </c>
      <c r="E194" s="13">
        <f t="shared" si="2"/>
        <v>2820</v>
      </c>
      <c r="F194" s="13">
        <v>0</v>
      </c>
    </row>
    <row r="195" spans="1:6" x14ac:dyDescent="0.25">
      <c r="A195" s="13" t="s">
        <v>1220</v>
      </c>
      <c r="B195" s="13" t="s">
        <v>251</v>
      </c>
      <c r="C195" s="13">
        <v>1097</v>
      </c>
      <c r="D195" s="13">
        <v>6690</v>
      </c>
      <c r="E195" s="13">
        <f t="shared" ref="E195:E258" si="3">D195-F195</f>
        <v>6690</v>
      </c>
      <c r="F195" s="13">
        <v>0</v>
      </c>
    </row>
    <row r="196" spans="1:6" x14ac:dyDescent="0.25">
      <c r="A196" s="13" t="s">
        <v>1221</v>
      </c>
      <c r="B196" s="13" t="s">
        <v>252</v>
      </c>
      <c r="C196" s="13">
        <v>251</v>
      </c>
      <c r="D196" s="13">
        <v>1530</v>
      </c>
      <c r="E196" s="13">
        <f t="shared" si="3"/>
        <v>1530</v>
      </c>
      <c r="F196" s="13">
        <v>0</v>
      </c>
    </row>
    <row r="197" spans="1:6" x14ac:dyDescent="0.25">
      <c r="A197" s="13" t="s">
        <v>1222</v>
      </c>
      <c r="B197" s="13" t="s">
        <v>253</v>
      </c>
      <c r="C197" s="13">
        <v>202</v>
      </c>
      <c r="D197" s="13">
        <v>959</v>
      </c>
      <c r="E197" s="13">
        <f t="shared" si="3"/>
        <v>959</v>
      </c>
      <c r="F197" s="13">
        <v>0</v>
      </c>
    </row>
    <row r="198" spans="1:6" x14ac:dyDescent="0.25">
      <c r="A198" s="13" t="s">
        <v>1223</v>
      </c>
      <c r="B198" s="13" t="s">
        <v>254</v>
      </c>
      <c r="C198" s="13">
        <v>193</v>
      </c>
      <c r="D198" s="13">
        <v>1180</v>
      </c>
      <c r="E198" s="13">
        <f t="shared" si="3"/>
        <v>1180</v>
      </c>
      <c r="F198" s="13">
        <v>0</v>
      </c>
    </row>
    <row r="199" spans="1:6" x14ac:dyDescent="0.25">
      <c r="A199" s="13" t="s">
        <v>1224</v>
      </c>
      <c r="B199" s="13" t="s">
        <v>255</v>
      </c>
      <c r="C199" s="13">
        <v>133</v>
      </c>
      <c r="D199" s="13">
        <v>813</v>
      </c>
      <c r="E199" s="13">
        <f t="shared" si="3"/>
        <v>813</v>
      </c>
      <c r="F199" s="13">
        <v>0</v>
      </c>
    </row>
    <row r="200" spans="1:6" x14ac:dyDescent="0.25">
      <c r="A200" s="13" t="s">
        <v>1225</v>
      </c>
      <c r="B200" s="13" t="s">
        <v>256</v>
      </c>
      <c r="C200" s="13">
        <v>1191</v>
      </c>
      <c r="D200" s="13">
        <v>7260</v>
      </c>
      <c r="E200" s="13">
        <f t="shared" si="3"/>
        <v>7260</v>
      </c>
      <c r="F200" s="13">
        <v>0</v>
      </c>
    </row>
    <row r="201" spans="1:6" x14ac:dyDescent="0.25">
      <c r="A201" s="13" t="s">
        <v>1226</v>
      </c>
      <c r="B201" s="13" t="s">
        <v>257</v>
      </c>
      <c r="C201" s="13">
        <v>203</v>
      </c>
      <c r="D201" s="13">
        <v>1240</v>
      </c>
      <c r="E201" s="13">
        <f t="shared" si="3"/>
        <v>1240</v>
      </c>
      <c r="F201" s="13">
        <v>0</v>
      </c>
    </row>
    <row r="202" spans="1:6" x14ac:dyDescent="0.25">
      <c r="A202" s="13" t="s">
        <v>1227</v>
      </c>
      <c r="B202" s="13" t="s">
        <v>258</v>
      </c>
      <c r="C202" s="13">
        <v>146</v>
      </c>
      <c r="D202" s="13">
        <v>890</v>
      </c>
      <c r="E202" s="13">
        <f t="shared" si="3"/>
        <v>890</v>
      </c>
      <c r="F202" s="13">
        <v>0</v>
      </c>
    </row>
    <row r="203" spans="1:6" x14ac:dyDescent="0.25">
      <c r="A203" s="13" t="s">
        <v>1228</v>
      </c>
      <c r="B203" s="13" t="s">
        <v>259</v>
      </c>
      <c r="C203" s="13">
        <v>722</v>
      </c>
      <c r="D203" s="13">
        <v>4400</v>
      </c>
      <c r="E203" s="13">
        <f t="shared" si="3"/>
        <v>4400</v>
      </c>
      <c r="F203" s="13">
        <v>0</v>
      </c>
    </row>
    <row r="204" spans="1:6" x14ac:dyDescent="0.25">
      <c r="A204" s="13" t="s">
        <v>1229</v>
      </c>
      <c r="B204" s="13" t="s">
        <v>260</v>
      </c>
      <c r="C204" s="13">
        <v>83</v>
      </c>
      <c r="D204" s="13">
        <v>393</v>
      </c>
      <c r="E204" s="13">
        <f t="shared" si="3"/>
        <v>393</v>
      </c>
      <c r="F204" s="13">
        <v>0</v>
      </c>
    </row>
    <row r="205" spans="1:6" x14ac:dyDescent="0.25">
      <c r="A205" s="13" t="s">
        <v>1230</v>
      </c>
      <c r="B205" s="13" t="s">
        <v>261</v>
      </c>
      <c r="C205" s="13">
        <v>778</v>
      </c>
      <c r="D205" s="13">
        <v>4740</v>
      </c>
      <c r="E205" s="13">
        <f t="shared" si="3"/>
        <v>4740</v>
      </c>
      <c r="F205" s="13">
        <v>0</v>
      </c>
    </row>
    <row r="206" spans="1:6" x14ac:dyDescent="0.25">
      <c r="A206" s="13" t="s">
        <v>1231</v>
      </c>
      <c r="B206" s="13" t="s">
        <v>262</v>
      </c>
      <c r="C206" s="13">
        <v>255</v>
      </c>
      <c r="D206" s="13">
        <v>1560</v>
      </c>
      <c r="E206" s="13">
        <f t="shared" si="3"/>
        <v>1560</v>
      </c>
      <c r="F206" s="13">
        <v>0</v>
      </c>
    </row>
    <row r="207" spans="1:6" x14ac:dyDescent="0.25">
      <c r="A207" s="13" t="s">
        <v>1232</v>
      </c>
      <c r="B207" s="13" t="s">
        <v>263</v>
      </c>
      <c r="C207" s="13">
        <v>101</v>
      </c>
      <c r="D207" s="13">
        <v>616</v>
      </c>
      <c r="E207" s="13">
        <f t="shared" si="3"/>
        <v>616</v>
      </c>
      <c r="F207" s="13">
        <v>0</v>
      </c>
    </row>
    <row r="208" spans="1:6" x14ac:dyDescent="0.25">
      <c r="A208" s="13" t="s">
        <v>1233</v>
      </c>
      <c r="B208" s="13" t="s">
        <v>264</v>
      </c>
      <c r="C208" s="13">
        <v>164</v>
      </c>
      <c r="D208" s="13">
        <v>998</v>
      </c>
      <c r="E208" s="13">
        <f t="shared" si="3"/>
        <v>998</v>
      </c>
      <c r="F208" s="13">
        <v>0</v>
      </c>
    </row>
    <row r="209" spans="1:6" x14ac:dyDescent="0.25">
      <c r="A209" s="13" t="s">
        <v>1234</v>
      </c>
      <c r="B209" s="13" t="s">
        <v>265</v>
      </c>
      <c r="C209" s="13">
        <v>404</v>
      </c>
      <c r="D209" s="13">
        <v>2460</v>
      </c>
      <c r="E209" s="13">
        <f t="shared" si="3"/>
        <v>2460</v>
      </c>
      <c r="F209" s="13">
        <v>0</v>
      </c>
    </row>
    <row r="210" spans="1:6" x14ac:dyDescent="0.25">
      <c r="A210" s="13" t="s">
        <v>1235</v>
      </c>
      <c r="B210" s="13" t="s">
        <v>266</v>
      </c>
      <c r="C210" s="13">
        <v>942</v>
      </c>
      <c r="D210" s="13">
        <v>4480</v>
      </c>
      <c r="E210" s="13">
        <f t="shared" si="3"/>
        <v>4480</v>
      </c>
      <c r="F210" s="13">
        <v>0</v>
      </c>
    </row>
    <row r="211" spans="1:6" x14ac:dyDescent="0.25">
      <c r="A211" s="13" t="s">
        <v>1236</v>
      </c>
      <c r="B211" s="13" t="s">
        <v>267</v>
      </c>
      <c r="C211" s="13">
        <v>295</v>
      </c>
      <c r="D211" s="13">
        <v>1800</v>
      </c>
      <c r="E211" s="13">
        <f t="shared" si="3"/>
        <v>1800</v>
      </c>
      <c r="F211" s="13">
        <v>0</v>
      </c>
    </row>
    <row r="212" spans="1:6" x14ac:dyDescent="0.25">
      <c r="A212" s="13" t="s">
        <v>1237</v>
      </c>
      <c r="B212" s="13" t="s">
        <v>268</v>
      </c>
      <c r="C212" s="13">
        <v>1000</v>
      </c>
      <c r="D212" s="13">
        <v>6100</v>
      </c>
      <c r="E212" s="13">
        <f t="shared" si="3"/>
        <v>6100</v>
      </c>
      <c r="F212" s="13">
        <v>0</v>
      </c>
    </row>
    <row r="213" spans="1:6" x14ac:dyDescent="0.25">
      <c r="A213" s="13" t="s">
        <v>1238</v>
      </c>
      <c r="B213" s="13" t="s">
        <v>269</v>
      </c>
      <c r="C213" s="13">
        <v>889</v>
      </c>
      <c r="D213" s="13">
        <v>4230</v>
      </c>
      <c r="E213" s="13">
        <f t="shared" si="3"/>
        <v>4230</v>
      </c>
      <c r="F213" s="13">
        <v>0</v>
      </c>
    </row>
    <row r="214" spans="1:6" x14ac:dyDescent="0.25">
      <c r="A214" s="13" t="s">
        <v>1239</v>
      </c>
      <c r="B214" s="13" t="s">
        <v>270</v>
      </c>
      <c r="C214" s="13">
        <v>173</v>
      </c>
      <c r="D214" s="13">
        <v>1050</v>
      </c>
      <c r="E214" s="13">
        <f t="shared" si="3"/>
        <v>1050</v>
      </c>
      <c r="F214" s="13">
        <v>0</v>
      </c>
    </row>
    <row r="215" spans="1:6" x14ac:dyDescent="0.25">
      <c r="A215" s="13" t="s">
        <v>1240</v>
      </c>
      <c r="B215" s="13" t="s">
        <v>271</v>
      </c>
      <c r="C215" s="13">
        <v>835</v>
      </c>
      <c r="D215" s="13">
        <v>3970</v>
      </c>
      <c r="E215" s="13">
        <f t="shared" si="3"/>
        <v>3970</v>
      </c>
      <c r="F215" s="13">
        <v>0</v>
      </c>
    </row>
    <row r="216" spans="1:6" x14ac:dyDescent="0.25">
      <c r="A216" s="13" t="s">
        <v>1241</v>
      </c>
      <c r="B216" s="13" t="s">
        <v>272</v>
      </c>
      <c r="C216" s="13">
        <v>116</v>
      </c>
      <c r="D216" s="13">
        <v>705</v>
      </c>
      <c r="E216" s="13">
        <f t="shared" si="3"/>
        <v>705</v>
      </c>
      <c r="F216" s="13">
        <v>0</v>
      </c>
    </row>
    <row r="217" spans="1:6" x14ac:dyDescent="0.25">
      <c r="A217" s="13" t="s">
        <v>1242</v>
      </c>
      <c r="B217" s="13" t="s">
        <v>273</v>
      </c>
      <c r="C217" s="13">
        <v>1212</v>
      </c>
      <c r="D217" s="13">
        <v>5770</v>
      </c>
      <c r="E217" s="13">
        <f t="shared" si="3"/>
        <v>5770</v>
      </c>
      <c r="F217" s="13">
        <v>0</v>
      </c>
    </row>
    <row r="218" spans="1:6" x14ac:dyDescent="0.25">
      <c r="A218" s="13" t="s">
        <v>1243</v>
      </c>
      <c r="B218" s="13" t="s">
        <v>274</v>
      </c>
      <c r="C218" s="13">
        <v>599</v>
      </c>
      <c r="D218" s="13">
        <v>2850</v>
      </c>
      <c r="E218" s="13">
        <f t="shared" si="3"/>
        <v>2850</v>
      </c>
      <c r="F218" s="13">
        <v>0</v>
      </c>
    </row>
    <row r="219" spans="1:6" x14ac:dyDescent="0.25">
      <c r="A219" s="13" t="s">
        <v>1244</v>
      </c>
      <c r="B219" s="13" t="s">
        <v>275</v>
      </c>
      <c r="C219" s="13">
        <v>159</v>
      </c>
      <c r="D219" s="13">
        <v>969</v>
      </c>
      <c r="E219" s="13">
        <f t="shared" si="3"/>
        <v>969</v>
      </c>
      <c r="F219" s="13">
        <v>0</v>
      </c>
    </row>
    <row r="220" spans="1:6" x14ac:dyDescent="0.25">
      <c r="A220" s="13" t="s">
        <v>1245</v>
      </c>
      <c r="B220" s="13" t="s">
        <v>276</v>
      </c>
      <c r="C220" s="13">
        <v>358</v>
      </c>
      <c r="D220" s="13">
        <v>2180</v>
      </c>
      <c r="E220" s="13">
        <f t="shared" si="3"/>
        <v>2180</v>
      </c>
      <c r="F220" s="13">
        <v>0</v>
      </c>
    </row>
    <row r="221" spans="1:6" x14ac:dyDescent="0.25">
      <c r="A221" s="13" t="s">
        <v>1246</v>
      </c>
      <c r="B221" s="13" t="s">
        <v>277</v>
      </c>
      <c r="C221" s="13">
        <v>1218</v>
      </c>
      <c r="D221" s="13">
        <v>7430</v>
      </c>
      <c r="E221" s="13">
        <f t="shared" si="3"/>
        <v>7430</v>
      </c>
      <c r="F221" s="13">
        <v>0</v>
      </c>
    </row>
    <row r="222" spans="1:6" x14ac:dyDescent="0.25">
      <c r="A222" s="13" t="s">
        <v>1247</v>
      </c>
      <c r="B222" s="13" t="s">
        <v>278</v>
      </c>
      <c r="C222" s="13">
        <v>466</v>
      </c>
      <c r="D222" s="13">
        <v>2840</v>
      </c>
      <c r="E222" s="13">
        <f t="shared" si="3"/>
        <v>2840</v>
      </c>
      <c r="F222" s="13">
        <v>0</v>
      </c>
    </row>
    <row r="223" spans="1:6" x14ac:dyDescent="0.25">
      <c r="A223" s="13" t="s">
        <v>1248</v>
      </c>
      <c r="B223" s="13" t="s">
        <v>279</v>
      </c>
      <c r="C223" s="13">
        <v>253</v>
      </c>
      <c r="D223" s="13">
        <v>1540</v>
      </c>
      <c r="E223" s="13">
        <f t="shared" si="3"/>
        <v>1540</v>
      </c>
      <c r="F223" s="13">
        <v>0</v>
      </c>
    </row>
    <row r="224" spans="1:6" x14ac:dyDescent="0.25">
      <c r="A224" s="13" t="s">
        <v>1249</v>
      </c>
      <c r="B224" s="13" t="s">
        <v>280</v>
      </c>
      <c r="C224" s="13">
        <v>845</v>
      </c>
      <c r="D224" s="13">
        <v>5150</v>
      </c>
      <c r="E224" s="13">
        <f t="shared" si="3"/>
        <v>5150</v>
      </c>
      <c r="F224" s="13">
        <v>0</v>
      </c>
    </row>
    <row r="225" spans="1:6" x14ac:dyDescent="0.25">
      <c r="A225" s="13" t="s">
        <v>1250</v>
      </c>
      <c r="B225" s="13" t="s">
        <v>281</v>
      </c>
      <c r="C225" s="13">
        <v>609</v>
      </c>
      <c r="D225" s="13">
        <v>3710</v>
      </c>
      <c r="E225" s="13">
        <f t="shared" si="3"/>
        <v>3710</v>
      </c>
      <c r="F225" s="13">
        <v>0</v>
      </c>
    </row>
    <row r="226" spans="1:6" x14ac:dyDescent="0.25">
      <c r="A226" s="13" t="s">
        <v>1251</v>
      </c>
      <c r="B226" s="13" t="s">
        <v>282</v>
      </c>
      <c r="C226" s="13">
        <v>244</v>
      </c>
      <c r="D226" s="13">
        <v>1490</v>
      </c>
      <c r="E226" s="13">
        <f t="shared" si="3"/>
        <v>1490</v>
      </c>
      <c r="F226" s="13">
        <v>0</v>
      </c>
    </row>
    <row r="227" spans="1:6" x14ac:dyDescent="0.25">
      <c r="A227" s="13" t="s">
        <v>1252</v>
      </c>
      <c r="B227" s="13" t="s">
        <v>283</v>
      </c>
      <c r="C227" s="13">
        <v>114</v>
      </c>
      <c r="D227" s="13">
        <v>541</v>
      </c>
      <c r="E227" s="13">
        <f t="shared" si="3"/>
        <v>541</v>
      </c>
      <c r="F227" s="13">
        <v>0</v>
      </c>
    </row>
    <row r="228" spans="1:6" x14ac:dyDescent="0.25">
      <c r="A228" s="13" t="s">
        <v>1253</v>
      </c>
      <c r="B228" s="13" t="s">
        <v>284</v>
      </c>
      <c r="C228" s="13">
        <v>500</v>
      </c>
      <c r="D228" s="13">
        <v>2380</v>
      </c>
      <c r="E228" s="13">
        <f t="shared" si="3"/>
        <v>2380</v>
      </c>
      <c r="F228" s="13">
        <v>0</v>
      </c>
    </row>
    <row r="229" spans="1:6" x14ac:dyDescent="0.25">
      <c r="A229" s="13" t="s">
        <v>1254</v>
      </c>
      <c r="B229" s="13" t="s">
        <v>285</v>
      </c>
      <c r="C229" s="13">
        <v>215</v>
      </c>
      <c r="D229" s="13">
        <v>1020</v>
      </c>
      <c r="E229" s="13">
        <f t="shared" si="3"/>
        <v>1020</v>
      </c>
      <c r="F229" s="13">
        <v>0</v>
      </c>
    </row>
    <row r="230" spans="1:6" x14ac:dyDescent="0.25">
      <c r="A230" s="13" t="s">
        <v>1255</v>
      </c>
      <c r="B230" s="13" t="s">
        <v>286</v>
      </c>
      <c r="C230" s="13">
        <v>672</v>
      </c>
      <c r="D230" s="13">
        <v>4100</v>
      </c>
      <c r="E230" s="13">
        <f t="shared" si="3"/>
        <v>4100</v>
      </c>
      <c r="F230" s="13">
        <v>0</v>
      </c>
    </row>
    <row r="231" spans="1:6" x14ac:dyDescent="0.25">
      <c r="A231" s="13" t="s">
        <v>1256</v>
      </c>
      <c r="B231" s="13" t="s">
        <v>287</v>
      </c>
      <c r="C231" s="13">
        <v>330</v>
      </c>
      <c r="D231" s="13">
        <v>1570</v>
      </c>
      <c r="E231" s="13">
        <f t="shared" si="3"/>
        <v>1570</v>
      </c>
      <c r="F231" s="13">
        <v>0</v>
      </c>
    </row>
    <row r="232" spans="1:6" x14ac:dyDescent="0.25">
      <c r="A232" s="13" t="s">
        <v>1257</v>
      </c>
      <c r="B232" s="13" t="s">
        <v>288</v>
      </c>
      <c r="C232" s="13">
        <v>324</v>
      </c>
      <c r="D232" s="13">
        <v>1970</v>
      </c>
      <c r="E232" s="13">
        <f t="shared" si="3"/>
        <v>1970</v>
      </c>
      <c r="F232" s="13">
        <v>0</v>
      </c>
    </row>
    <row r="233" spans="1:6" x14ac:dyDescent="0.25">
      <c r="A233" s="13" t="s">
        <v>1258</v>
      </c>
      <c r="B233" s="13" t="s">
        <v>289</v>
      </c>
      <c r="C233" s="13">
        <v>96</v>
      </c>
      <c r="D233" s="13">
        <v>586</v>
      </c>
      <c r="E233" s="13">
        <f t="shared" si="3"/>
        <v>586</v>
      </c>
      <c r="F233" s="13">
        <v>0</v>
      </c>
    </row>
    <row r="234" spans="1:6" x14ac:dyDescent="0.25">
      <c r="A234" s="13" t="s">
        <v>1259</v>
      </c>
      <c r="B234" s="13" t="s">
        <v>290</v>
      </c>
      <c r="C234" s="13">
        <v>361</v>
      </c>
      <c r="D234" s="13">
        <v>2200</v>
      </c>
      <c r="E234" s="13">
        <f t="shared" si="3"/>
        <v>2200</v>
      </c>
      <c r="F234" s="13">
        <v>0</v>
      </c>
    </row>
    <row r="235" spans="1:6" x14ac:dyDescent="0.25">
      <c r="A235" s="13" t="s">
        <v>1260</v>
      </c>
      <c r="B235" s="13" t="s">
        <v>291</v>
      </c>
      <c r="C235" s="13">
        <v>677</v>
      </c>
      <c r="D235" s="13">
        <v>3220</v>
      </c>
      <c r="E235" s="13">
        <f t="shared" si="3"/>
        <v>3220</v>
      </c>
      <c r="F235" s="13">
        <v>0</v>
      </c>
    </row>
    <row r="236" spans="1:6" x14ac:dyDescent="0.25">
      <c r="A236" s="13" t="s">
        <v>1261</v>
      </c>
      <c r="B236" s="13" t="s">
        <v>292</v>
      </c>
      <c r="C236" s="13">
        <v>256</v>
      </c>
      <c r="D236" s="13">
        <v>1560</v>
      </c>
      <c r="E236" s="13">
        <f t="shared" si="3"/>
        <v>1560</v>
      </c>
      <c r="F236" s="13">
        <v>0</v>
      </c>
    </row>
    <row r="237" spans="1:6" x14ac:dyDescent="0.25">
      <c r="A237" s="13" t="s">
        <v>1262</v>
      </c>
      <c r="B237" s="13" t="s">
        <v>293</v>
      </c>
      <c r="C237" s="13">
        <v>100</v>
      </c>
      <c r="D237" s="13">
        <v>607</v>
      </c>
      <c r="E237" s="13">
        <f t="shared" si="3"/>
        <v>607</v>
      </c>
      <c r="F237" s="13">
        <v>0</v>
      </c>
    </row>
    <row r="238" spans="1:6" x14ac:dyDescent="0.25">
      <c r="A238" s="13" t="s">
        <v>1263</v>
      </c>
      <c r="B238" s="13" t="s">
        <v>294</v>
      </c>
      <c r="C238" s="13">
        <v>375</v>
      </c>
      <c r="D238" s="13">
        <v>1780</v>
      </c>
      <c r="E238" s="13">
        <f t="shared" si="3"/>
        <v>1780</v>
      </c>
      <c r="F238" s="13">
        <v>0</v>
      </c>
    </row>
    <row r="239" spans="1:6" x14ac:dyDescent="0.25">
      <c r="A239" s="13" t="s">
        <v>1264</v>
      </c>
      <c r="B239" s="13" t="s">
        <v>295</v>
      </c>
      <c r="C239" s="13">
        <v>588</v>
      </c>
      <c r="D239" s="13">
        <v>3580</v>
      </c>
      <c r="E239" s="13">
        <f t="shared" si="3"/>
        <v>3580</v>
      </c>
      <c r="F239" s="13">
        <v>0</v>
      </c>
    </row>
    <row r="240" spans="1:6" x14ac:dyDescent="0.25">
      <c r="A240" s="13" t="s">
        <v>1265</v>
      </c>
      <c r="B240" s="13" t="s">
        <v>296</v>
      </c>
      <c r="C240" s="13">
        <v>87</v>
      </c>
      <c r="D240" s="13">
        <v>533</v>
      </c>
      <c r="E240" s="13">
        <f t="shared" si="3"/>
        <v>533</v>
      </c>
      <c r="F240" s="13">
        <v>0</v>
      </c>
    </row>
    <row r="241" spans="1:6" x14ac:dyDescent="0.25">
      <c r="A241" s="13" t="s">
        <v>1266</v>
      </c>
      <c r="B241" s="13" t="s">
        <v>297</v>
      </c>
      <c r="C241" s="13">
        <v>183</v>
      </c>
      <c r="D241" s="13">
        <v>870</v>
      </c>
      <c r="E241" s="13">
        <f t="shared" si="3"/>
        <v>870</v>
      </c>
      <c r="F241" s="13">
        <v>0</v>
      </c>
    </row>
    <row r="242" spans="1:6" x14ac:dyDescent="0.25">
      <c r="A242" s="13" t="s">
        <v>1267</v>
      </c>
      <c r="B242" s="13" t="s">
        <v>298</v>
      </c>
      <c r="C242" s="13">
        <v>511</v>
      </c>
      <c r="D242" s="13">
        <v>3120</v>
      </c>
      <c r="E242" s="13">
        <f t="shared" si="3"/>
        <v>3120</v>
      </c>
      <c r="F242" s="13">
        <v>0</v>
      </c>
    </row>
    <row r="243" spans="1:6" x14ac:dyDescent="0.25">
      <c r="A243" s="13" t="s">
        <v>1268</v>
      </c>
      <c r="B243" s="13" t="s">
        <v>299</v>
      </c>
      <c r="C243" s="13">
        <v>176</v>
      </c>
      <c r="D243" s="13">
        <v>837</v>
      </c>
      <c r="E243" s="13">
        <f t="shared" si="3"/>
        <v>837</v>
      </c>
      <c r="F243" s="13">
        <v>0</v>
      </c>
    </row>
    <row r="244" spans="1:6" x14ac:dyDescent="0.25">
      <c r="A244" s="13" t="s">
        <v>1269</v>
      </c>
      <c r="B244" s="13" t="s">
        <v>300</v>
      </c>
      <c r="C244" s="13">
        <v>236</v>
      </c>
      <c r="D244" s="13">
        <v>1440</v>
      </c>
      <c r="E244" s="13">
        <f t="shared" si="3"/>
        <v>1440</v>
      </c>
      <c r="F244" s="13">
        <v>0</v>
      </c>
    </row>
    <row r="245" spans="1:6" x14ac:dyDescent="0.25">
      <c r="A245" s="13" t="s">
        <v>1270</v>
      </c>
      <c r="B245" s="13" t="s">
        <v>301</v>
      </c>
      <c r="C245" s="13">
        <v>275</v>
      </c>
      <c r="D245" s="13">
        <v>1680</v>
      </c>
      <c r="E245" s="13">
        <f t="shared" si="3"/>
        <v>1680</v>
      </c>
      <c r="F245" s="13">
        <v>0</v>
      </c>
    </row>
    <row r="246" spans="1:6" x14ac:dyDescent="0.25">
      <c r="A246" s="13" t="s">
        <v>1271</v>
      </c>
      <c r="B246" s="13" t="s">
        <v>302</v>
      </c>
      <c r="C246" s="13">
        <v>113</v>
      </c>
      <c r="D246" s="13">
        <v>691</v>
      </c>
      <c r="E246" s="13">
        <f t="shared" si="3"/>
        <v>691</v>
      </c>
      <c r="F246" s="13">
        <v>0</v>
      </c>
    </row>
    <row r="247" spans="1:6" x14ac:dyDescent="0.25">
      <c r="A247" s="13" t="s">
        <v>1272</v>
      </c>
      <c r="B247" s="13" t="s">
        <v>303</v>
      </c>
      <c r="C247" s="13">
        <v>426</v>
      </c>
      <c r="D247" s="13">
        <v>2600</v>
      </c>
      <c r="E247" s="13">
        <f t="shared" si="3"/>
        <v>2600</v>
      </c>
      <c r="F247" s="13">
        <v>0</v>
      </c>
    </row>
    <row r="248" spans="1:6" x14ac:dyDescent="0.25">
      <c r="A248" s="13" t="s">
        <v>1273</v>
      </c>
      <c r="B248" s="13" t="s">
        <v>304</v>
      </c>
      <c r="C248" s="13">
        <v>398</v>
      </c>
      <c r="D248" s="13">
        <v>2430</v>
      </c>
      <c r="E248" s="13">
        <f t="shared" si="3"/>
        <v>2430</v>
      </c>
      <c r="F248" s="13">
        <v>0</v>
      </c>
    </row>
    <row r="249" spans="1:6" x14ac:dyDescent="0.25">
      <c r="A249" s="13" t="s">
        <v>1274</v>
      </c>
      <c r="B249" s="13" t="s">
        <v>305</v>
      </c>
      <c r="C249" s="13">
        <v>516</v>
      </c>
      <c r="D249" s="13">
        <v>2460</v>
      </c>
      <c r="E249" s="13">
        <f t="shared" si="3"/>
        <v>2460</v>
      </c>
      <c r="F249" s="13">
        <v>0</v>
      </c>
    </row>
    <row r="250" spans="1:6" x14ac:dyDescent="0.25">
      <c r="A250" s="13" t="s">
        <v>1275</v>
      </c>
      <c r="B250" s="13" t="s">
        <v>306</v>
      </c>
      <c r="C250" s="13">
        <v>136</v>
      </c>
      <c r="D250" s="13">
        <v>827</v>
      </c>
      <c r="E250" s="13">
        <f t="shared" si="3"/>
        <v>827</v>
      </c>
      <c r="F250" s="13">
        <v>0</v>
      </c>
    </row>
    <row r="251" spans="1:6" x14ac:dyDescent="0.25">
      <c r="A251" s="13" t="s">
        <v>1276</v>
      </c>
      <c r="B251" s="13" t="s">
        <v>307</v>
      </c>
      <c r="C251" s="13">
        <v>89</v>
      </c>
      <c r="D251" s="13">
        <v>425</v>
      </c>
      <c r="E251" s="13">
        <f t="shared" si="3"/>
        <v>425</v>
      </c>
      <c r="F251" s="13">
        <v>0</v>
      </c>
    </row>
    <row r="252" spans="1:6" x14ac:dyDescent="0.25">
      <c r="A252" s="13" t="s">
        <v>1277</v>
      </c>
      <c r="B252" s="13" t="s">
        <v>308</v>
      </c>
      <c r="C252" s="13">
        <v>331</v>
      </c>
      <c r="D252" s="13">
        <v>1570</v>
      </c>
      <c r="E252" s="13">
        <f t="shared" si="3"/>
        <v>1570</v>
      </c>
      <c r="F252" s="13">
        <v>0</v>
      </c>
    </row>
    <row r="253" spans="1:6" x14ac:dyDescent="0.25">
      <c r="A253" s="13" t="s">
        <v>1278</v>
      </c>
      <c r="B253" s="13" t="s">
        <v>309</v>
      </c>
      <c r="C253" s="13">
        <v>2582</v>
      </c>
      <c r="D253" s="13">
        <v>15700</v>
      </c>
      <c r="E253" s="13">
        <f t="shared" si="3"/>
        <v>15700</v>
      </c>
      <c r="F253" s="13">
        <v>0</v>
      </c>
    </row>
    <row r="254" spans="1:6" x14ac:dyDescent="0.25">
      <c r="A254" s="13" t="s">
        <v>1279</v>
      </c>
      <c r="B254" s="13" t="s">
        <v>311</v>
      </c>
      <c r="C254" s="13">
        <v>748</v>
      </c>
      <c r="D254" s="13">
        <v>30900</v>
      </c>
      <c r="E254" s="13">
        <f t="shared" si="3"/>
        <v>30900</v>
      </c>
      <c r="F254" s="13">
        <v>0</v>
      </c>
    </row>
    <row r="255" spans="1:6" x14ac:dyDescent="0.25">
      <c r="A255" s="13" t="s">
        <v>1280</v>
      </c>
      <c r="B255" s="13" t="s">
        <v>312</v>
      </c>
      <c r="C255" s="13">
        <v>682</v>
      </c>
      <c r="D255" s="13">
        <v>24900</v>
      </c>
      <c r="E255" s="13">
        <f t="shared" si="3"/>
        <v>24900</v>
      </c>
      <c r="F255" s="13">
        <v>0</v>
      </c>
    </row>
    <row r="256" spans="1:6" x14ac:dyDescent="0.25">
      <c r="A256" s="13" t="s">
        <v>1281</v>
      </c>
      <c r="B256" s="13" t="s">
        <v>313</v>
      </c>
      <c r="C256" s="13">
        <v>1167</v>
      </c>
      <c r="D256" s="13">
        <v>7110</v>
      </c>
      <c r="E256" s="13">
        <f t="shared" si="3"/>
        <v>7110</v>
      </c>
      <c r="F256" s="13">
        <v>0</v>
      </c>
    </row>
    <row r="257" spans="1:6" x14ac:dyDescent="0.25">
      <c r="A257" s="13" t="s">
        <v>1282</v>
      </c>
      <c r="B257" s="13" t="s">
        <v>314</v>
      </c>
      <c r="C257" s="13">
        <v>618</v>
      </c>
      <c r="D257" s="13">
        <v>2940</v>
      </c>
      <c r="E257" s="13">
        <f t="shared" si="3"/>
        <v>2940</v>
      </c>
      <c r="F257" s="13">
        <v>0</v>
      </c>
    </row>
    <row r="258" spans="1:6" x14ac:dyDescent="0.25">
      <c r="A258" s="13" t="s">
        <v>1283</v>
      </c>
      <c r="B258" s="13" t="s">
        <v>315</v>
      </c>
      <c r="C258" s="13">
        <v>781</v>
      </c>
      <c r="D258" s="13">
        <v>4760</v>
      </c>
      <c r="E258" s="13">
        <f t="shared" si="3"/>
        <v>4760</v>
      </c>
      <c r="F258" s="13">
        <v>0</v>
      </c>
    </row>
    <row r="259" spans="1:6" x14ac:dyDescent="0.25">
      <c r="A259" s="13" t="s">
        <v>1284</v>
      </c>
      <c r="B259" s="13" t="s">
        <v>316</v>
      </c>
      <c r="C259" s="13">
        <v>1073</v>
      </c>
      <c r="D259" s="13">
        <v>6540</v>
      </c>
      <c r="E259" s="13">
        <f t="shared" ref="E259:E322" si="4">D259-F259</f>
        <v>6540</v>
      </c>
      <c r="F259" s="13">
        <v>0</v>
      </c>
    </row>
    <row r="260" spans="1:6" x14ac:dyDescent="0.25">
      <c r="A260" s="13" t="s">
        <v>1285</v>
      </c>
      <c r="B260" s="13" t="s">
        <v>317</v>
      </c>
      <c r="C260" s="13">
        <v>2116</v>
      </c>
      <c r="D260" s="13">
        <v>12900</v>
      </c>
      <c r="E260" s="13">
        <f t="shared" si="4"/>
        <v>12900</v>
      </c>
      <c r="F260" s="13">
        <v>0</v>
      </c>
    </row>
    <row r="261" spans="1:6" x14ac:dyDescent="0.25">
      <c r="A261" s="13" t="s">
        <v>1286</v>
      </c>
      <c r="B261" s="13" t="s">
        <v>318</v>
      </c>
      <c r="C261" s="13">
        <v>1063</v>
      </c>
      <c r="D261" s="13">
        <v>6480</v>
      </c>
      <c r="E261" s="13">
        <f t="shared" si="4"/>
        <v>6480</v>
      </c>
      <c r="F261" s="13">
        <v>0</v>
      </c>
    </row>
    <row r="262" spans="1:6" x14ac:dyDescent="0.25">
      <c r="A262" s="13" t="s">
        <v>1287</v>
      </c>
      <c r="B262" s="13" t="s">
        <v>319</v>
      </c>
      <c r="C262" s="13">
        <v>165</v>
      </c>
      <c r="D262" s="13">
        <v>1010</v>
      </c>
      <c r="E262" s="13">
        <f t="shared" si="4"/>
        <v>1010</v>
      </c>
      <c r="F262" s="13">
        <v>0</v>
      </c>
    </row>
    <row r="263" spans="1:6" x14ac:dyDescent="0.25">
      <c r="A263" s="13" t="s">
        <v>1288</v>
      </c>
      <c r="B263" s="13" t="s">
        <v>320</v>
      </c>
      <c r="C263" s="13">
        <v>129</v>
      </c>
      <c r="D263" s="13">
        <v>785</v>
      </c>
      <c r="E263" s="13">
        <f t="shared" si="4"/>
        <v>785</v>
      </c>
      <c r="F263" s="13">
        <v>0</v>
      </c>
    </row>
    <row r="264" spans="1:6" x14ac:dyDescent="0.25">
      <c r="A264" s="13" t="s">
        <v>1289</v>
      </c>
      <c r="B264" s="13" t="s">
        <v>321</v>
      </c>
      <c r="C264" s="13">
        <v>80</v>
      </c>
      <c r="D264" s="13">
        <v>490</v>
      </c>
      <c r="E264" s="13">
        <f t="shared" si="4"/>
        <v>490</v>
      </c>
      <c r="F264" s="13">
        <v>0</v>
      </c>
    </row>
    <row r="265" spans="1:6" x14ac:dyDescent="0.25">
      <c r="A265" s="13" t="s">
        <v>1290</v>
      </c>
      <c r="B265" s="13" t="s">
        <v>322</v>
      </c>
      <c r="C265" s="13">
        <v>1071</v>
      </c>
      <c r="D265" s="13">
        <v>6530</v>
      </c>
      <c r="E265" s="13">
        <f t="shared" si="4"/>
        <v>6530</v>
      </c>
      <c r="F265" s="13">
        <v>0</v>
      </c>
    </row>
    <row r="266" spans="1:6" x14ac:dyDescent="0.25">
      <c r="A266" s="13" t="s">
        <v>1291</v>
      </c>
      <c r="B266" s="13" t="s">
        <v>323</v>
      </c>
      <c r="C266" s="13">
        <v>109</v>
      </c>
      <c r="D266" s="13">
        <v>666</v>
      </c>
      <c r="E266" s="13">
        <f t="shared" si="4"/>
        <v>666</v>
      </c>
      <c r="F266" s="13">
        <v>0</v>
      </c>
    </row>
    <row r="267" spans="1:6" x14ac:dyDescent="0.25">
      <c r="A267" s="13" t="s">
        <v>1292</v>
      </c>
      <c r="B267" s="13" t="s">
        <v>324</v>
      </c>
      <c r="C267" s="13">
        <v>646</v>
      </c>
      <c r="D267" s="13">
        <v>3940</v>
      </c>
      <c r="E267" s="13">
        <f t="shared" si="4"/>
        <v>3940</v>
      </c>
      <c r="F267" s="13">
        <v>0</v>
      </c>
    </row>
    <row r="268" spans="1:6" x14ac:dyDescent="0.25">
      <c r="A268" s="13" t="s">
        <v>1293</v>
      </c>
      <c r="B268" s="13" t="s">
        <v>325</v>
      </c>
      <c r="C268" s="13">
        <v>453</v>
      </c>
      <c r="D268" s="13">
        <v>2160</v>
      </c>
      <c r="E268" s="13">
        <f t="shared" si="4"/>
        <v>2160</v>
      </c>
      <c r="F268" s="13">
        <v>0</v>
      </c>
    </row>
    <row r="269" spans="1:6" x14ac:dyDescent="0.25">
      <c r="A269" s="13" t="s">
        <v>1294</v>
      </c>
      <c r="B269" s="13" t="s">
        <v>326</v>
      </c>
      <c r="C269" s="13">
        <v>276</v>
      </c>
      <c r="D269" s="13">
        <v>1680</v>
      </c>
      <c r="E269" s="13">
        <f t="shared" si="4"/>
        <v>1680</v>
      </c>
      <c r="F269" s="13">
        <v>0</v>
      </c>
    </row>
    <row r="270" spans="1:6" x14ac:dyDescent="0.25">
      <c r="A270" s="13" t="s">
        <v>1295</v>
      </c>
      <c r="B270" s="13" t="s">
        <v>327</v>
      </c>
      <c r="C270" s="13">
        <v>580</v>
      </c>
      <c r="D270" s="13">
        <v>3530</v>
      </c>
      <c r="E270" s="13">
        <f t="shared" si="4"/>
        <v>3530</v>
      </c>
      <c r="F270" s="13">
        <v>0</v>
      </c>
    </row>
    <row r="271" spans="1:6" x14ac:dyDescent="0.25">
      <c r="A271" s="13" t="s">
        <v>1296</v>
      </c>
      <c r="B271" s="13" t="s">
        <v>328</v>
      </c>
      <c r="C271" s="13">
        <v>398</v>
      </c>
      <c r="D271" s="13">
        <v>2420</v>
      </c>
      <c r="E271" s="13">
        <f t="shared" si="4"/>
        <v>2420</v>
      </c>
      <c r="F271" s="13">
        <v>0</v>
      </c>
    </row>
    <row r="272" spans="1:6" x14ac:dyDescent="0.25">
      <c r="A272" s="13" t="s">
        <v>1297</v>
      </c>
      <c r="B272" s="13" t="s">
        <v>329</v>
      </c>
      <c r="C272" s="13">
        <v>612</v>
      </c>
      <c r="D272" s="13">
        <v>2910</v>
      </c>
      <c r="E272" s="13">
        <f t="shared" si="4"/>
        <v>2910</v>
      </c>
      <c r="F272" s="13">
        <v>0</v>
      </c>
    </row>
    <row r="273" spans="1:6" x14ac:dyDescent="0.25">
      <c r="A273" s="13" t="s">
        <v>1298</v>
      </c>
      <c r="B273" s="13" t="s">
        <v>330</v>
      </c>
      <c r="C273" s="13">
        <v>197</v>
      </c>
      <c r="D273" s="13">
        <v>1200</v>
      </c>
      <c r="E273" s="13">
        <f t="shared" si="4"/>
        <v>1200</v>
      </c>
      <c r="F273" s="13">
        <v>0</v>
      </c>
    </row>
    <row r="274" spans="1:6" x14ac:dyDescent="0.25">
      <c r="A274" s="13" t="s">
        <v>1299</v>
      </c>
      <c r="B274" s="13" t="s">
        <v>331</v>
      </c>
      <c r="C274" s="13">
        <v>575</v>
      </c>
      <c r="D274" s="13">
        <v>2740</v>
      </c>
      <c r="E274" s="13">
        <f t="shared" si="4"/>
        <v>2740</v>
      </c>
      <c r="F274" s="13">
        <v>0</v>
      </c>
    </row>
    <row r="275" spans="1:6" x14ac:dyDescent="0.25">
      <c r="A275" s="13" t="s">
        <v>1300</v>
      </c>
      <c r="B275" s="13" t="s">
        <v>332</v>
      </c>
      <c r="C275" s="13">
        <v>169</v>
      </c>
      <c r="D275" s="13">
        <v>1030</v>
      </c>
      <c r="E275" s="13">
        <f t="shared" si="4"/>
        <v>1030</v>
      </c>
      <c r="F275" s="13">
        <v>0</v>
      </c>
    </row>
    <row r="276" spans="1:6" x14ac:dyDescent="0.25">
      <c r="A276" s="13" t="s">
        <v>1301</v>
      </c>
      <c r="B276" s="13" t="s">
        <v>333</v>
      </c>
      <c r="C276" s="13">
        <v>552</v>
      </c>
      <c r="D276" s="13">
        <v>3370</v>
      </c>
      <c r="E276" s="13">
        <f t="shared" si="4"/>
        <v>3370</v>
      </c>
      <c r="F276" s="13">
        <v>0</v>
      </c>
    </row>
    <row r="277" spans="1:6" x14ac:dyDescent="0.25">
      <c r="A277" s="13" t="s">
        <v>1302</v>
      </c>
      <c r="B277" s="13" t="s">
        <v>334</v>
      </c>
      <c r="C277" s="13">
        <v>214</v>
      </c>
      <c r="D277" s="13">
        <v>1300</v>
      </c>
      <c r="E277" s="13">
        <f t="shared" si="4"/>
        <v>1300</v>
      </c>
      <c r="F277" s="13">
        <v>0</v>
      </c>
    </row>
    <row r="278" spans="1:6" x14ac:dyDescent="0.25">
      <c r="A278" s="13" t="s">
        <v>1303</v>
      </c>
      <c r="B278" s="13" t="s">
        <v>335</v>
      </c>
      <c r="C278" s="13">
        <v>268</v>
      </c>
      <c r="D278" s="13">
        <v>1640</v>
      </c>
      <c r="E278" s="13">
        <f t="shared" si="4"/>
        <v>1640</v>
      </c>
      <c r="F278" s="13">
        <v>0</v>
      </c>
    </row>
    <row r="279" spans="1:6" x14ac:dyDescent="0.25">
      <c r="A279" s="13" t="s">
        <v>1304</v>
      </c>
      <c r="B279" s="13" t="s">
        <v>336</v>
      </c>
      <c r="C279" s="13">
        <v>208</v>
      </c>
      <c r="D279" s="13">
        <v>1270</v>
      </c>
      <c r="E279" s="13">
        <f t="shared" si="4"/>
        <v>1270</v>
      </c>
      <c r="F279" s="13">
        <v>0</v>
      </c>
    </row>
    <row r="280" spans="1:6" x14ac:dyDescent="0.25">
      <c r="A280" s="13" t="s">
        <v>1305</v>
      </c>
      <c r="B280" s="13" t="s">
        <v>337</v>
      </c>
      <c r="C280" s="13">
        <v>434</v>
      </c>
      <c r="D280" s="13">
        <v>2060</v>
      </c>
      <c r="E280" s="13">
        <f t="shared" si="4"/>
        <v>2060</v>
      </c>
      <c r="F280" s="13">
        <v>0</v>
      </c>
    </row>
    <row r="281" spans="1:6" x14ac:dyDescent="0.25">
      <c r="A281" s="13" t="s">
        <v>1306</v>
      </c>
      <c r="B281" s="13" t="s">
        <v>338</v>
      </c>
      <c r="C281" s="13">
        <v>604</v>
      </c>
      <c r="D281" s="13">
        <v>3680</v>
      </c>
      <c r="E281" s="13">
        <f t="shared" si="4"/>
        <v>3680</v>
      </c>
      <c r="F281" s="13">
        <v>0</v>
      </c>
    </row>
    <row r="282" spans="1:6" x14ac:dyDescent="0.25">
      <c r="A282" s="13" t="s">
        <v>1307</v>
      </c>
      <c r="B282" s="13" t="s">
        <v>339</v>
      </c>
      <c r="C282" s="13">
        <v>195</v>
      </c>
      <c r="D282" s="13">
        <v>1190</v>
      </c>
      <c r="E282" s="13">
        <f t="shared" si="4"/>
        <v>1190</v>
      </c>
      <c r="F282" s="13">
        <v>0</v>
      </c>
    </row>
    <row r="283" spans="1:6" x14ac:dyDescent="0.25">
      <c r="A283" s="13" t="s">
        <v>1308</v>
      </c>
      <c r="B283" s="13" t="s">
        <v>340</v>
      </c>
      <c r="C283" s="13">
        <v>143</v>
      </c>
      <c r="D283" s="13">
        <v>874</v>
      </c>
      <c r="E283" s="13">
        <f t="shared" si="4"/>
        <v>874</v>
      </c>
      <c r="F283" s="13">
        <v>0</v>
      </c>
    </row>
    <row r="284" spans="1:6" x14ac:dyDescent="0.25">
      <c r="A284" s="13" t="s">
        <v>1309</v>
      </c>
      <c r="B284" s="13" t="s">
        <v>341</v>
      </c>
      <c r="C284" s="13">
        <v>663</v>
      </c>
      <c r="D284" s="13">
        <v>3160</v>
      </c>
      <c r="E284" s="13">
        <f t="shared" si="4"/>
        <v>3160</v>
      </c>
      <c r="F284" s="13">
        <v>0</v>
      </c>
    </row>
    <row r="285" spans="1:6" x14ac:dyDescent="0.25">
      <c r="A285" s="13" t="s">
        <v>1310</v>
      </c>
      <c r="B285" s="13" t="s">
        <v>342</v>
      </c>
      <c r="C285" s="13">
        <v>480</v>
      </c>
      <c r="D285" s="13">
        <v>2920</v>
      </c>
      <c r="E285" s="13">
        <f t="shared" si="4"/>
        <v>2920</v>
      </c>
      <c r="F285" s="13">
        <v>0</v>
      </c>
    </row>
    <row r="286" spans="1:6" x14ac:dyDescent="0.25">
      <c r="A286" s="13" t="s">
        <v>1311</v>
      </c>
      <c r="B286" s="13" t="s">
        <v>343</v>
      </c>
      <c r="C286" s="13">
        <v>343</v>
      </c>
      <c r="D286" s="13">
        <v>2090</v>
      </c>
      <c r="E286" s="13">
        <f t="shared" si="4"/>
        <v>2090</v>
      </c>
      <c r="F286" s="13">
        <v>0</v>
      </c>
    </row>
    <row r="287" spans="1:6" x14ac:dyDescent="0.25">
      <c r="A287" s="13" t="s">
        <v>1312</v>
      </c>
      <c r="B287" s="13" t="s">
        <v>344</v>
      </c>
      <c r="C287" s="13">
        <v>137</v>
      </c>
      <c r="D287" s="13">
        <v>653</v>
      </c>
      <c r="E287" s="13">
        <f t="shared" si="4"/>
        <v>653</v>
      </c>
      <c r="F287" s="13">
        <v>0</v>
      </c>
    </row>
    <row r="288" spans="1:6" x14ac:dyDescent="0.25">
      <c r="A288" s="13" t="s">
        <v>1313</v>
      </c>
      <c r="B288" s="13" t="s">
        <v>345</v>
      </c>
      <c r="C288" s="13">
        <v>536</v>
      </c>
      <c r="D288" s="13">
        <v>3270</v>
      </c>
      <c r="E288" s="13">
        <f t="shared" si="4"/>
        <v>3270</v>
      </c>
      <c r="F288" s="13">
        <v>0</v>
      </c>
    </row>
    <row r="289" spans="1:6" x14ac:dyDescent="0.25">
      <c r="A289" s="13" t="s">
        <v>1314</v>
      </c>
      <c r="B289" s="13" t="s">
        <v>346</v>
      </c>
      <c r="C289" s="13">
        <v>464</v>
      </c>
      <c r="D289" s="13">
        <v>2210</v>
      </c>
      <c r="E289" s="13">
        <f t="shared" si="4"/>
        <v>2210</v>
      </c>
      <c r="F289" s="13">
        <v>0</v>
      </c>
    </row>
    <row r="290" spans="1:6" x14ac:dyDescent="0.25">
      <c r="A290" s="13" t="s">
        <v>1315</v>
      </c>
      <c r="B290" s="13" t="s">
        <v>347</v>
      </c>
      <c r="C290" s="13">
        <v>344</v>
      </c>
      <c r="D290" s="13">
        <v>2100</v>
      </c>
      <c r="E290" s="13">
        <f t="shared" si="4"/>
        <v>2100</v>
      </c>
      <c r="F290" s="13">
        <v>0</v>
      </c>
    </row>
    <row r="291" spans="1:6" x14ac:dyDescent="0.25">
      <c r="A291" s="13" t="s">
        <v>1316</v>
      </c>
      <c r="B291" s="13" t="s">
        <v>348</v>
      </c>
      <c r="C291" s="13">
        <v>463</v>
      </c>
      <c r="D291" s="13">
        <v>2200</v>
      </c>
      <c r="E291" s="13">
        <f t="shared" si="4"/>
        <v>2200</v>
      </c>
      <c r="F291" s="13">
        <v>0</v>
      </c>
    </row>
    <row r="292" spans="1:6" x14ac:dyDescent="0.25">
      <c r="A292" s="13" t="s">
        <v>1317</v>
      </c>
      <c r="B292" s="13" t="s">
        <v>349</v>
      </c>
      <c r="C292" s="13">
        <v>551</v>
      </c>
      <c r="D292" s="13">
        <v>3360</v>
      </c>
      <c r="E292" s="13">
        <f t="shared" si="4"/>
        <v>3360</v>
      </c>
      <c r="F292" s="13">
        <v>0</v>
      </c>
    </row>
    <row r="293" spans="1:6" x14ac:dyDescent="0.25">
      <c r="A293" s="13" t="s">
        <v>1318</v>
      </c>
      <c r="B293" s="13" t="s">
        <v>350</v>
      </c>
      <c r="C293" s="13">
        <v>151</v>
      </c>
      <c r="D293" s="13">
        <v>717</v>
      </c>
      <c r="E293" s="13">
        <f t="shared" si="4"/>
        <v>717</v>
      </c>
      <c r="F293" s="13">
        <v>0</v>
      </c>
    </row>
    <row r="294" spans="1:6" x14ac:dyDescent="0.25">
      <c r="A294" s="13" t="s">
        <v>1319</v>
      </c>
      <c r="B294" s="13" t="s">
        <v>351</v>
      </c>
      <c r="C294" s="13">
        <v>264</v>
      </c>
      <c r="D294" s="13">
        <v>1610</v>
      </c>
      <c r="E294" s="13">
        <f t="shared" si="4"/>
        <v>1610</v>
      </c>
      <c r="F294" s="13">
        <v>0</v>
      </c>
    </row>
    <row r="295" spans="1:6" x14ac:dyDescent="0.25">
      <c r="A295" s="13" t="s">
        <v>1320</v>
      </c>
      <c r="B295" s="13" t="s">
        <v>352</v>
      </c>
      <c r="C295" s="13">
        <v>103</v>
      </c>
      <c r="D295" s="13">
        <v>628</v>
      </c>
      <c r="E295" s="13">
        <f t="shared" si="4"/>
        <v>628</v>
      </c>
      <c r="F295" s="13">
        <v>0</v>
      </c>
    </row>
    <row r="296" spans="1:6" x14ac:dyDescent="0.25">
      <c r="A296" s="13" t="s">
        <v>1321</v>
      </c>
      <c r="B296" s="13" t="s">
        <v>353</v>
      </c>
      <c r="C296" s="13">
        <v>1466</v>
      </c>
      <c r="D296" s="13">
        <v>8940</v>
      </c>
      <c r="E296" s="13">
        <f t="shared" si="4"/>
        <v>8940</v>
      </c>
      <c r="F296" s="13">
        <v>0</v>
      </c>
    </row>
    <row r="297" spans="1:6" x14ac:dyDescent="0.25">
      <c r="A297" s="13" t="s">
        <v>1322</v>
      </c>
      <c r="B297" s="13" t="s">
        <v>354</v>
      </c>
      <c r="C297" s="13">
        <v>463</v>
      </c>
      <c r="D297" s="13">
        <v>2820</v>
      </c>
      <c r="E297" s="13">
        <f t="shared" si="4"/>
        <v>2820</v>
      </c>
      <c r="F297" s="13">
        <v>0</v>
      </c>
    </row>
    <row r="298" spans="1:6" x14ac:dyDescent="0.25">
      <c r="A298" s="13" t="s">
        <v>1323</v>
      </c>
      <c r="B298" s="13" t="s">
        <v>355</v>
      </c>
      <c r="C298" s="13">
        <v>113</v>
      </c>
      <c r="D298" s="13">
        <v>689</v>
      </c>
      <c r="E298" s="13">
        <f t="shared" si="4"/>
        <v>689</v>
      </c>
      <c r="F298" s="13">
        <v>0</v>
      </c>
    </row>
    <row r="299" spans="1:6" x14ac:dyDescent="0.25">
      <c r="A299" s="13" t="s">
        <v>1324</v>
      </c>
      <c r="B299" s="13" t="s">
        <v>356</v>
      </c>
      <c r="C299" s="13">
        <v>119</v>
      </c>
      <c r="D299" s="13">
        <v>727</v>
      </c>
      <c r="E299" s="13">
        <f t="shared" si="4"/>
        <v>727</v>
      </c>
      <c r="F299" s="13">
        <v>0</v>
      </c>
    </row>
    <row r="300" spans="1:6" x14ac:dyDescent="0.25">
      <c r="A300" s="13" t="s">
        <v>1325</v>
      </c>
      <c r="B300" s="13" t="s">
        <v>357</v>
      </c>
      <c r="C300" s="13">
        <v>746</v>
      </c>
      <c r="D300" s="13">
        <v>30800</v>
      </c>
      <c r="E300" s="13">
        <f t="shared" si="4"/>
        <v>30800</v>
      </c>
      <c r="F300" s="13">
        <v>0</v>
      </c>
    </row>
    <row r="301" spans="1:6" x14ac:dyDescent="0.25">
      <c r="A301" s="13" t="s">
        <v>1326</v>
      </c>
      <c r="B301" s="13" t="s">
        <v>358</v>
      </c>
      <c r="C301" s="13">
        <v>2700</v>
      </c>
      <c r="D301" s="13">
        <v>16500</v>
      </c>
      <c r="E301" s="13">
        <f t="shared" si="4"/>
        <v>16500</v>
      </c>
      <c r="F301" s="13">
        <v>0</v>
      </c>
    </row>
    <row r="302" spans="1:6" x14ac:dyDescent="0.25">
      <c r="A302" s="13" t="s">
        <v>1327</v>
      </c>
      <c r="B302" s="13" t="s">
        <v>359</v>
      </c>
      <c r="C302" s="13">
        <v>753</v>
      </c>
      <c r="D302" s="13">
        <v>4590</v>
      </c>
      <c r="E302" s="13">
        <f t="shared" si="4"/>
        <v>4590</v>
      </c>
      <c r="F302" s="13">
        <v>0</v>
      </c>
    </row>
    <row r="303" spans="1:6" x14ac:dyDescent="0.25">
      <c r="A303" s="13" t="s">
        <v>1328</v>
      </c>
      <c r="B303" s="13" t="s">
        <v>360</v>
      </c>
      <c r="C303" s="13">
        <v>89</v>
      </c>
      <c r="D303" s="13">
        <v>543</v>
      </c>
      <c r="E303" s="13">
        <f t="shared" si="4"/>
        <v>543</v>
      </c>
      <c r="F303" s="13">
        <v>0</v>
      </c>
    </row>
    <row r="304" spans="1:6" x14ac:dyDescent="0.25">
      <c r="A304" s="13" t="s">
        <v>1329</v>
      </c>
      <c r="B304" s="13" t="s">
        <v>361</v>
      </c>
      <c r="C304" s="13">
        <v>228</v>
      </c>
      <c r="D304" s="13">
        <v>1390</v>
      </c>
      <c r="E304" s="13">
        <f t="shared" si="4"/>
        <v>1390</v>
      </c>
      <c r="F304" s="13">
        <v>0</v>
      </c>
    </row>
    <row r="305" spans="1:6" x14ac:dyDescent="0.25">
      <c r="A305" s="13" t="s">
        <v>1330</v>
      </c>
      <c r="B305" s="13" t="s">
        <v>362</v>
      </c>
      <c r="C305" s="13">
        <v>334</v>
      </c>
      <c r="D305" s="13">
        <v>2030</v>
      </c>
      <c r="E305" s="13">
        <f t="shared" si="4"/>
        <v>2030</v>
      </c>
      <c r="F305" s="13">
        <v>0</v>
      </c>
    </row>
    <row r="306" spans="1:6" x14ac:dyDescent="0.25">
      <c r="A306" s="13" t="s">
        <v>1331</v>
      </c>
      <c r="B306" s="13" t="s">
        <v>363</v>
      </c>
      <c r="C306" s="13">
        <v>229</v>
      </c>
      <c r="D306" s="13">
        <v>1400</v>
      </c>
      <c r="E306" s="13">
        <f t="shared" si="4"/>
        <v>1400</v>
      </c>
      <c r="F306" s="13">
        <v>0</v>
      </c>
    </row>
    <row r="307" spans="1:6" x14ac:dyDescent="0.25">
      <c r="A307" s="13" t="s">
        <v>1332</v>
      </c>
      <c r="B307" s="13" t="s">
        <v>364</v>
      </c>
      <c r="C307" s="13">
        <v>452</v>
      </c>
      <c r="D307" s="13">
        <v>2760</v>
      </c>
      <c r="E307" s="13">
        <f t="shared" si="4"/>
        <v>2760</v>
      </c>
      <c r="F307" s="13">
        <v>0</v>
      </c>
    </row>
    <row r="308" spans="1:6" x14ac:dyDescent="0.25">
      <c r="A308" s="13" t="s">
        <v>1333</v>
      </c>
      <c r="B308" s="13" t="s">
        <v>365</v>
      </c>
      <c r="C308" s="13">
        <v>160</v>
      </c>
      <c r="D308" s="13">
        <v>760</v>
      </c>
      <c r="E308" s="13">
        <f t="shared" si="4"/>
        <v>760</v>
      </c>
      <c r="F308" s="13">
        <v>0</v>
      </c>
    </row>
    <row r="309" spans="1:6" x14ac:dyDescent="0.25">
      <c r="A309" s="13" t="s">
        <v>1334</v>
      </c>
      <c r="B309" s="13" t="s">
        <v>366</v>
      </c>
      <c r="C309" s="13">
        <v>643</v>
      </c>
      <c r="D309" s="13">
        <v>3920</v>
      </c>
      <c r="E309" s="13">
        <f t="shared" si="4"/>
        <v>3920</v>
      </c>
      <c r="F309" s="13">
        <v>0</v>
      </c>
    </row>
    <row r="310" spans="1:6" x14ac:dyDescent="0.25">
      <c r="A310" s="13" t="s">
        <v>1335</v>
      </c>
      <c r="B310" s="13" t="s">
        <v>367</v>
      </c>
      <c r="C310" s="13">
        <v>503</v>
      </c>
      <c r="D310" s="13">
        <v>2390</v>
      </c>
      <c r="E310" s="13">
        <f t="shared" si="4"/>
        <v>2390</v>
      </c>
      <c r="F310" s="13">
        <v>0</v>
      </c>
    </row>
    <row r="311" spans="1:6" x14ac:dyDescent="0.25">
      <c r="A311" s="13" t="s">
        <v>1336</v>
      </c>
      <c r="B311" s="13" t="s">
        <v>368</v>
      </c>
      <c r="C311" s="13">
        <v>487</v>
      </c>
      <c r="D311" s="13">
        <v>2970</v>
      </c>
      <c r="E311" s="13">
        <f t="shared" si="4"/>
        <v>2970</v>
      </c>
      <c r="F311" s="13">
        <v>0</v>
      </c>
    </row>
    <row r="312" spans="1:6" x14ac:dyDescent="0.25">
      <c r="A312" s="13" t="s">
        <v>1337</v>
      </c>
      <c r="B312" s="13" t="s">
        <v>370</v>
      </c>
      <c r="C312" s="13">
        <v>1041</v>
      </c>
      <c r="D312" s="13">
        <v>4950</v>
      </c>
      <c r="E312" s="13">
        <f t="shared" si="4"/>
        <v>4950</v>
      </c>
      <c r="F312" s="13">
        <v>0</v>
      </c>
    </row>
    <row r="313" spans="1:6" x14ac:dyDescent="0.25">
      <c r="A313" s="13" t="s">
        <v>1338</v>
      </c>
      <c r="B313" s="13" t="s">
        <v>371</v>
      </c>
      <c r="C313" s="13">
        <v>179</v>
      </c>
      <c r="D313" s="13">
        <v>1090</v>
      </c>
      <c r="E313" s="13">
        <f t="shared" si="4"/>
        <v>1090</v>
      </c>
      <c r="F313" s="13">
        <v>0</v>
      </c>
    </row>
    <row r="314" spans="1:6" x14ac:dyDescent="0.25">
      <c r="A314" s="13" t="s">
        <v>1339</v>
      </c>
      <c r="B314" s="13" t="s">
        <v>372</v>
      </c>
      <c r="C314" s="13">
        <v>625</v>
      </c>
      <c r="D314" s="13">
        <v>3810</v>
      </c>
      <c r="E314" s="13">
        <f t="shared" si="4"/>
        <v>3810</v>
      </c>
      <c r="F314" s="13">
        <v>0</v>
      </c>
    </row>
    <row r="315" spans="1:6" x14ac:dyDescent="0.25">
      <c r="A315" s="13" t="s">
        <v>1340</v>
      </c>
      <c r="B315" s="13" t="s">
        <v>373</v>
      </c>
      <c r="C315" s="13">
        <v>256</v>
      </c>
      <c r="D315" s="13">
        <v>1560</v>
      </c>
      <c r="E315" s="13">
        <f t="shared" si="4"/>
        <v>1560</v>
      </c>
      <c r="F315" s="13">
        <v>0</v>
      </c>
    </row>
    <row r="316" spans="1:6" x14ac:dyDescent="0.25">
      <c r="A316" s="13" t="s">
        <v>1341</v>
      </c>
      <c r="B316" s="13" t="s">
        <v>374</v>
      </c>
      <c r="C316" s="13">
        <v>423</v>
      </c>
      <c r="D316" s="13">
        <v>17400</v>
      </c>
      <c r="E316" s="13">
        <f t="shared" si="4"/>
        <v>17400</v>
      </c>
      <c r="F316" s="13">
        <v>0</v>
      </c>
    </row>
    <row r="317" spans="1:6" x14ac:dyDescent="0.25">
      <c r="A317" s="13" t="s">
        <v>1342</v>
      </c>
      <c r="B317" s="13" t="s">
        <v>375</v>
      </c>
      <c r="C317" s="13">
        <v>1296</v>
      </c>
      <c r="D317" s="13">
        <v>6170</v>
      </c>
      <c r="E317" s="13">
        <f t="shared" si="4"/>
        <v>6170</v>
      </c>
      <c r="F317" s="13">
        <v>0</v>
      </c>
    </row>
    <row r="318" spans="1:6" x14ac:dyDescent="0.25">
      <c r="A318" s="13" t="s">
        <v>1343</v>
      </c>
      <c r="B318" s="13" t="s">
        <v>376</v>
      </c>
      <c r="C318" s="13">
        <v>333</v>
      </c>
      <c r="D318" s="13">
        <v>2030</v>
      </c>
      <c r="E318" s="13">
        <f t="shared" si="4"/>
        <v>2030</v>
      </c>
      <c r="F318" s="13">
        <v>0</v>
      </c>
    </row>
    <row r="319" spans="1:6" x14ac:dyDescent="0.25">
      <c r="A319" s="13" t="s">
        <v>1344</v>
      </c>
      <c r="B319" s="13" t="s">
        <v>377</v>
      </c>
      <c r="C319" s="13">
        <v>420</v>
      </c>
      <c r="D319" s="13">
        <v>2000</v>
      </c>
      <c r="E319" s="13">
        <f t="shared" si="4"/>
        <v>2000</v>
      </c>
      <c r="F319" s="13">
        <v>0</v>
      </c>
    </row>
    <row r="320" spans="1:6" x14ac:dyDescent="0.25">
      <c r="A320" s="13" t="s">
        <v>1345</v>
      </c>
      <c r="B320" s="13" t="s">
        <v>378</v>
      </c>
      <c r="C320" s="13">
        <v>127</v>
      </c>
      <c r="D320" s="13">
        <v>605</v>
      </c>
      <c r="E320" s="13">
        <f t="shared" si="4"/>
        <v>605</v>
      </c>
      <c r="F320" s="13">
        <v>0</v>
      </c>
    </row>
    <row r="321" spans="1:6" x14ac:dyDescent="0.25">
      <c r="A321" s="13" t="s">
        <v>1346</v>
      </c>
      <c r="B321" s="13" t="s">
        <v>379</v>
      </c>
      <c r="C321" s="13">
        <v>704</v>
      </c>
      <c r="D321" s="13">
        <v>3350</v>
      </c>
      <c r="E321" s="13">
        <f t="shared" si="4"/>
        <v>3350</v>
      </c>
      <c r="F321" s="13">
        <v>0</v>
      </c>
    </row>
    <row r="322" spans="1:6" x14ac:dyDescent="0.25">
      <c r="A322" s="13" t="s">
        <v>1347</v>
      </c>
      <c r="B322" s="13" t="s">
        <v>380</v>
      </c>
      <c r="C322" s="13">
        <v>321</v>
      </c>
      <c r="D322" s="13">
        <v>1530</v>
      </c>
      <c r="E322" s="13">
        <f t="shared" si="4"/>
        <v>1530</v>
      </c>
      <c r="F322" s="13">
        <v>0</v>
      </c>
    </row>
    <row r="323" spans="1:6" x14ac:dyDescent="0.25">
      <c r="A323" s="13" t="s">
        <v>1348</v>
      </c>
      <c r="B323" s="13" t="s">
        <v>381</v>
      </c>
      <c r="C323" s="13">
        <v>555</v>
      </c>
      <c r="D323" s="13">
        <v>2640</v>
      </c>
      <c r="E323" s="13">
        <f t="shared" ref="E323:E386" si="5">D323-F323</f>
        <v>2640</v>
      </c>
      <c r="F323" s="13">
        <v>0</v>
      </c>
    </row>
    <row r="324" spans="1:6" x14ac:dyDescent="0.25">
      <c r="A324" s="13" t="s">
        <v>1349</v>
      </c>
      <c r="B324" s="13" t="s">
        <v>382</v>
      </c>
      <c r="C324" s="13">
        <v>185</v>
      </c>
      <c r="D324" s="13">
        <v>1130</v>
      </c>
      <c r="E324" s="13">
        <f t="shared" si="5"/>
        <v>1130</v>
      </c>
      <c r="F324" s="13">
        <v>0</v>
      </c>
    </row>
    <row r="325" spans="1:6" x14ac:dyDescent="0.25">
      <c r="A325" s="13" t="s">
        <v>1350</v>
      </c>
      <c r="B325" s="13" t="s">
        <v>383</v>
      </c>
      <c r="C325" s="13">
        <v>568</v>
      </c>
      <c r="D325" s="13">
        <v>3460</v>
      </c>
      <c r="E325" s="13">
        <f t="shared" si="5"/>
        <v>3460</v>
      </c>
      <c r="F325" s="13">
        <v>0</v>
      </c>
    </row>
    <row r="326" spans="1:6" x14ac:dyDescent="0.25">
      <c r="A326" s="13" t="s">
        <v>1351</v>
      </c>
      <c r="B326" s="13" t="s">
        <v>384</v>
      </c>
      <c r="C326" s="13">
        <v>525</v>
      </c>
      <c r="D326" s="13">
        <v>3200</v>
      </c>
      <c r="E326" s="13">
        <f t="shared" si="5"/>
        <v>3200</v>
      </c>
      <c r="F326" s="13">
        <v>0</v>
      </c>
    </row>
    <row r="327" spans="1:6" x14ac:dyDescent="0.25">
      <c r="A327" s="13" t="s">
        <v>1352</v>
      </c>
      <c r="B327" s="13" t="s">
        <v>385</v>
      </c>
      <c r="C327" s="13">
        <v>455</v>
      </c>
      <c r="D327" s="13">
        <v>18800</v>
      </c>
      <c r="E327" s="13">
        <f t="shared" si="5"/>
        <v>18800</v>
      </c>
      <c r="F327" s="13">
        <v>0</v>
      </c>
    </row>
    <row r="328" spans="1:6" x14ac:dyDescent="0.25">
      <c r="A328" s="13" t="s">
        <v>1353</v>
      </c>
      <c r="B328" s="13" t="s">
        <v>386</v>
      </c>
      <c r="C328" s="13">
        <v>893</v>
      </c>
      <c r="D328" s="13">
        <v>36800</v>
      </c>
      <c r="E328" s="13">
        <f t="shared" si="5"/>
        <v>36800</v>
      </c>
      <c r="F328" s="13">
        <v>0</v>
      </c>
    </row>
    <row r="329" spans="1:6" x14ac:dyDescent="0.25">
      <c r="A329" s="13" t="s">
        <v>1354</v>
      </c>
      <c r="B329" s="13" t="s">
        <v>387</v>
      </c>
      <c r="C329" s="13">
        <v>987</v>
      </c>
      <c r="D329" s="13">
        <v>6020</v>
      </c>
      <c r="E329" s="13">
        <f t="shared" si="5"/>
        <v>6020</v>
      </c>
      <c r="F329" s="13">
        <v>0</v>
      </c>
    </row>
    <row r="330" spans="1:6" x14ac:dyDescent="0.25">
      <c r="A330" s="13" t="s">
        <v>1355</v>
      </c>
      <c r="B330" s="13" t="s">
        <v>388</v>
      </c>
      <c r="C330" s="13">
        <v>338</v>
      </c>
      <c r="D330" s="13">
        <v>1610</v>
      </c>
      <c r="E330" s="13">
        <f t="shared" si="5"/>
        <v>1610</v>
      </c>
      <c r="F330" s="13">
        <v>0</v>
      </c>
    </row>
    <row r="331" spans="1:6" x14ac:dyDescent="0.25">
      <c r="A331" s="13" t="s">
        <v>1356</v>
      </c>
      <c r="B331" s="13" t="s">
        <v>389</v>
      </c>
      <c r="C331" s="13">
        <v>80</v>
      </c>
      <c r="D331" s="13">
        <v>381</v>
      </c>
      <c r="E331" s="13">
        <f t="shared" si="5"/>
        <v>381</v>
      </c>
      <c r="F331" s="13">
        <v>0</v>
      </c>
    </row>
    <row r="332" spans="1:6" x14ac:dyDescent="0.25">
      <c r="A332" s="13" t="s">
        <v>1357</v>
      </c>
      <c r="B332" s="13" t="s">
        <v>390</v>
      </c>
      <c r="C332" s="13">
        <v>1250</v>
      </c>
      <c r="D332" s="13">
        <v>7620</v>
      </c>
      <c r="E332" s="13">
        <f t="shared" si="5"/>
        <v>7620</v>
      </c>
      <c r="F332" s="13">
        <v>0</v>
      </c>
    </row>
    <row r="333" spans="1:6" x14ac:dyDescent="0.25">
      <c r="A333" s="13" t="s">
        <v>1358</v>
      </c>
      <c r="B333" s="13" t="s">
        <v>391</v>
      </c>
      <c r="C333" s="13">
        <v>327</v>
      </c>
      <c r="D333" s="13">
        <v>1990</v>
      </c>
      <c r="E333" s="13">
        <f t="shared" si="5"/>
        <v>1990</v>
      </c>
      <c r="F333" s="13">
        <v>0</v>
      </c>
    </row>
    <row r="334" spans="1:6" x14ac:dyDescent="0.25">
      <c r="A334" s="13" t="s">
        <v>1359</v>
      </c>
      <c r="B334" s="13" t="s">
        <v>393</v>
      </c>
      <c r="C334" s="13">
        <v>264</v>
      </c>
      <c r="D334" s="13">
        <v>1610</v>
      </c>
      <c r="E334" s="13">
        <f t="shared" si="5"/>
        <v>1610</v>
      </c>
      <c r="F334" s="13">
        <v>0</v>
      </c>
    </row>
    <row r="335" spans="1:6" x14ac:dyDescent="0.25">
      <c r="A335" s="13" t="s">
        <v>1360</v>
      </c>
      <c r="B335" s="13" t="s">
        <v>394</v>
      </c>
      <c r="C335" s="13">
        <v>311</v>
      </c>
      <c r="D335" s="13">
        <v>1900</v>
      </c>
      <c r="E335" s="13">
        <f t="shared" si="5"/>
        <v>1900</v>
      </c>
      <c r="F335" s="13">
        <v>0</v>
      </c>
    </row>
    <row r="336" spans="1:6" x14ac:dyDescent="0.25">
      <c r="A336" s="13" t="s">
        <v>1361</v>
      </c>
      <c r="B336" s="13" t="s">
        <v>395</v>
      </c>
      <c r="C336" s="13">
        <v>241</v>
      </c>
      <c r="D336" s="13">
        <v>1470</v>
      </c>
      <c r="E336" s="13">
        <f t="shared" si="5"/>
        <v>1470</v>
      </c>
      <c r="F336" s="13">
        <v>0</v>
      </c>
    </row>
    <row r="337" spans="1:6" x14ac:dyDescent="0.25">
      <c r="A337" s="13" t="s">
        <v>1362</v>
      </c>
      <c r="B337" s="13" t="s">
        <v>396</v>
      </c>
      <c r="C337" s="13">
        <v>1716</v>
      </c>
      <c r="D337" s="13">
        <v>8170</v>
      </c>
      <c r="E337" s="13">
        <f t="shared" si="5"/>
        <v>8170</v>
      </c>
      <c r="F337" s="13">
        <v>0</v>
      </c>
    </row>
    <row r="338" spans="1:6" x14ac:dyDescent="0.25">
      <c r="A338" s="13" t="s">
        <v>1363</v>
      </c>
      <c r="B338" s="13" t="s">
        <v>397</v>
      </c>
      <c r="C338" s="13">
        <v>1827</v>
      </c>
      <c r="D338" s="13">
        <v>11100</v>
      </c>
      <c r="E338" s="13">
        <f t="shared" si="5"/>
        <v>11100</v>
      </c>
      <c r="F338" s="13">
        <v>0</v>
      </c>
    </row>
    <row r="339" spans="1:6" x14ac:dyDescent="0.25">
      <c r="A339" s="13" t="s">
        <v>1364</v>
      </c>
      <c r="B339" s="13" t="s">
        <v>398</v>
      </c>
      <c r="C339" s="13">
        <v>198</v>
      </c>
      <c r="D339" s="13">
        <v>1210</v>
      </c>
      <c r="E339" s="13">
        <f t="shared" si="5"/>
        <v>1210</v>
      </c>
      <c r="F339" s="13">
        <v>0</v>
      </c>
    </row>
    <row r="340" spans="1:6" x14ac:dyDescent="0.25">
      <c r="A340" s="13" t="s">
        <v>1365</v>
      </c>
      <c r="B340" s="13" t="s">
        <v>399</v>
      </c>
      <c r="C340" s="13">
        <v>124</v>
      </c>
      <c r="D340" s="13">
        <v>589</v>
      </c>
      <c r="E340" s="13">
        <f t="shared" si="5"/>
        <v>589</v>
      </c>
      <c r="F340" s="13">
        <v>0</v>
      </c>
    </row>
    <row r="341" spans="1:6" x14ac:dyDescent="0.25">
      <c r="A341" s="13" t="s">
        <v>1366</v>
      </c>
      <c r="B341" s="13" t="s">
        <v>400</v>
      </c>
      <c r="C341" s="13">
        <v>1007</v>
      </c>
      <c r="D341" s="13">
        <v>4790</v>
      </c>
      <c r="E341" s="13">
        <f t="shared" si="5"/>
        <v>4790</v>
      </c>
      <c r="F341" s="13">
        <v>0</v>
      </c>
    </row>
    <row r="342" spans="1:6" x14ac:dyDescent="0.25">
      <c r="A342" s="13" t="s">
        <v>1367</v>
      </c>
      <c r="B342" s="13" t="s">
        <v>401</v>
      </c>
      <c r="C342" s="13">
        <v>470</v>
      </c>
      <c r="D342" s="13">
        <v>2870</v>
      </c>
      <c r="E342" s="13">
        <f t="shared" si="5"/>
        <v>2870</v>
      </c>
      <c r="F342" s="13">
        <v>0</v>
      </c>
    </row>
    <row r="343" spans="1:6" x14ac:dyDescent="0.25">
      <c r="A343" s="13" t="s">
        <v>1368</v>
      </c>
      <c r="B343" s="13" t="s">
        <v>402</v>
      </c>
      <c r="C343" s="13">
        <v>791</v>
      </c>
      <c r="D343" s="13">
        <v>4820</v>
      </c>
      <c r="E343" s="13">
        <f t="shared" si="5"/>
        <v>4820</v>
      </c>
      <c r="F343" s="13">
        <v>0</v>
      </c>
    </row>
    <row r="344" spans="1:6" x14ac:dyDescent="0.25">
      <c r="A344" s="13" t="s">
        <v>1369</v>
      </c>
      <c r="B344" s="13" t="s">
        <v>403</v>
      </c>
      <c r="C344" s="13">
        <v>181</v>
      </c>
      <c r="D344" s="13">
        <v>859</v>
      </c>
      <c r="E344" s="13">
        <f t="shared" si="5"/>
        <v>859</v>
      </c>
      <c r="F344" s="13">
        <v>0</v>
      </c>
    </row>
    <row r="345" spans="1:6" x14ac:dyDescent="0.25">
      <c r="A345" s="13" t="s">
        <v>1370</v>
      </c>
      <c r="B345" s="13" t="s">
        <v>404</v>
      </c>
      <c r="C345" s="13">
        <v>2441</v>
      </c>
      <c r="D345" s="13">
        <v>11600</v>
      </c>
      <c r="E345" s="13">
        <f t="shared" si="5"/>
        <v>11600</v>
      </c>
      <c r="F345" s="13">
        <v>0</v>
      </c>
    </row>
    <row r="346" spans="1:6" x14ac:dyDescent="0.25">
      <c r="A346" s="13" t="s">
        <v>1371</v>
      </c>
      <c r="B346" s="13" t="s">
        <v>405</v>
      </c>
      <c r="C346" s="13">
        <v>5728</v>
      </c>
      <c r="D346" s="13">
        <v>34900</v>
      </c>
      <c r="E346" s="13">
        <f t="shared" si="5"/>
        <v>34900</v>
      </c>
      <c r="F346" s="13">
        <v>0</v>
      </c>
    </row>
    <row r="347" spans="1:6" x14ac:dyDescent="0.25">
      <c r="A347" s="13" t="s">
        <v>1372</v>
      </c>
      <c r="B347" s="13" t="s">
        <v>406</v>
      </c>
      <c r="C347" s="13">
        <v>1102</v>
      </c>
      <c r="D347" s="13">
        <v>5240</v>
      </c>
      <c r="E347" s="13">
        <f t="shared" si="5"/>
        <v>5240</v>
      </c>
      <c r="F347" s="13">
        <v>0</v>
      </c>
    </row>
    <row r="348" spans="1:6" x14ac:dyDescent="0.25">
      <c r="A348" s="13" t="s">
        <v>1373</v>
      </c>
      <c r="B348" s="13" t="s">
        <v>407</v>
      </c>
      <c r="C348" s="13">
        <v>2594</v>
      </c>
      <c r="D348" s="13">
        <v>15800</v>
      </c>
      <c r="E348" s="13">
        <f t="shared" si="5"/>
        <v>15800</v>
      </c>
      <c r="F348" s="13">
        <v>0</v>
      </c>
    </row>
    <row r="349" spans="1:6" x14ac:dyDescent="0.25">
      <c r="A349" s="13" t="s">
        <v>1374</v>
      </c>
      <c r="B349" s="13" t="s">
        <v>408</v>
      </c>
      <c r="C349" s="13">
        <v>1380</v>
      </c>
      <c r="D349" s="13">
        <v>8410</v>
      </c>
      <c r="E349" s="13">
        <f t="shared" si="5"/>
        <v>8410</v>
      </c>
      <c r="F349" s="13">
        <v>0</v>
      </c>
    </row>
    <row r="350" spans="1:6" x14ac:dyDescent="0.25">
      <c r="A350" s="13" t="s">
        <v>1375</v>
      </c>
      <c r="B350" s="13" t="s">
        <v>409</v>
      </c>
      <c r="C350" s="13">
        <v>1286</v>
      </c>
      <c r="D350" s="13">
        <v>7840</v>
      </c>
      <c r="E350" s="13">
        <f t="shared" si="5"/>
        <v>7840</v>
      </c>
      <c r="F350" s="13">
        <v>0</v>
      </c>
    </row>
    <row r="351" spans="1:6" x14ac:dyDescent="0.25">
      <c r="A351" s="13" t="s">
        <v>1376</v>
      </c>
      <c r="B351" s="13" t="s">
        <v>410</v>
      </c>
      <c r="C351" s="13">
        <v>2939</v>
      </c>
      <c r="D351" s="13">
        <v>17900</v>
      </c>
      <c r="E351" s="13">
        <f t="shared" si="5"/>
        <v>17900</v>
      </c>
      <c r="F351" s="13">
        <v>0</v>
      </c>
    </row>
    <row r="352" spans="1:6" x14ac:dyDescent="0.25">
      <c r="A352" s="13" t="s">
        <v>1377</v>
      </c>
      <c r="B352" s="13" t="s">
        <v>411</v>
      </c>
      <c r="C352" s="13">
        <v>1840</v>
      </c>
      <c r="D352" s="13">
        <v>67200</v>
      </c>
      <c r="E352" s="13">
        <f t="shared" si="5"/>
        <v>67200</v>
      </c>
      <c r="F352" s="13">
        <v>0</v>
      </c>
    </row>
    <row r="353" spans="1:6" x14ac:dyDescent="0.25">
      <c r="A353" s="13" t="s">
        <v>1378</v>
      </c>
      <c r="B353" s="13" t="s">
        <v>412</v>
      </c>
      <c r="C353" s="13">
        <v>982</v>
      </c>
      <c r="D353" s="13">
        <v>4670</v>
      </c>
      <c r="E353" s="13">
        <f t="shared" si="5"/>
        <v>4670</v>
      </c>
      <c r="F353" s="13">
        <v>0</v>
      </c>
    </row>
    <row r="354" spans="1:6" x14ac:dyDescent="0.25">
      <c r="A354" s="13" t="s">
        <v>1379</v>
      </c>
      <c r="B354" s="13" t="s">
        <v>413</v>
      </c>
      <c r="C354" s="13">
        <v>1208</v>
      </c>
      <c r="D354" s="13">
        <v>5750</v>
      </c>
      <c r="E354" s="13">
        <f t="shared" si="5"/>
        <v>5750</v>
      </c>
      <c r="F354" s="13">
        <v>0</v>
      </c>
    </row>
    <row r="355" spans="1:6" x14ac:dyDescent="0.25">
      <c r="A355" s="13" t="s">
        <v>1380</v>
      </c>
      <c r="B355" s="13" t="s">
        <v>414</v>
      </c>
      <c r="C355" s="13">
        <v>1115</v>
      </c>
      <c r="D355" s="13">
        <v>6800</v>
      </c>
      <c r="E355" s="13">
        <f t="shared" si="5"/>
        <v>6800</v>
      </c>
      <c r="F355" s="13">
        <v>0</v>
      </c>
    </row>
    <row r="356" spans="1:6" x14ac:dyDescent="0.25">
      <c r="A356" s="13" t="s">
        <v>1381</v>
      </c>
      <c r="B356" s="13" t="s">
        <v>415</v>
      </c>
      <c r="C356" s="13">
        <v>1362</v>
      </c>
      <c r="D356" s="13">
        <v>8300</v>
      </c>
      <c r="E356" s="13">
        <f t="shared" si="5"/>
        <v>8300</v>
      </c>
      <c r="F356" s="13">
        <v>0</v>
      </c>
    </row>
    <row r="357" spans="1:6" x14ac:dyDescent="0.25">
      <c r="A357" s="13" t="s">
        <v>1382</v>
      </c>
      <c r="B357" s="13" t="s">
        <v>416</v>
      </c>
      <c r="C357" s="13">
        <v>1705</v>
      </c>
      <c r="D357" s="13">
        <v>70300</v>
      </c>
      <c r="E357" s="13">
        <f t="shared" si="5"/>
        <v>70300</v>
      </c>
      <c r="F357" s="13">
        <v>0</v>
      </c>
    </row>
    <row r="358" spans="1:6" x14ac:dyDescent="0.25">
      <c r="A358" s="13" t="s">
        <v>1383</v>
      </c>
      <c r="B358" s="13" t="s">
        <v>417</v>
      </c>
      <c r="C358" s="13">
        <v>2252</v>
      </c>
      <c r="D358" s="13">
        <v>10700</v>
      </c>
      <c r="E358" s="13">
        <f t="shared" si="5"/>
        <v>10700</v>
      </c>
      <c r="F358" s="13">
        <v>0</v>
      </c>
    </row>
    <row r="359" spans="1:6" x14ac:dyDescent="0.25">
      <c r="A359" s="13" t="s">
        <v>1384</v>
      </c>
      <c r="B359" s="13" t="s">
        <v>418</v>
      </c>
      <c r="C359" s="13">
        <v>1655</v>
      </c>
      <c r="D359" s="13">
        <v>10100</v>
      </c>
      <c r="E359" s="13">
        <f t="shared" si="5"/>
        <v>10100</v>
      </c>
      <c r="F359" s="13">
        <v>0</v>
      </c>
    </row>
    <row r="360" spans="1:6" x14ac:dyDescent="0.25">
      <c r="A360" s="13" t="s">
        <v>1385</v>
      </c>
      <c r="B360" s="13" t="s">
        <v>419</v>
      </c>
      <c r="C360" s="13">
        <v>586</v>
      </c>
      <c r="D360" s="13">
        <v>3570</v>
      </c>
      <c r="E360" s="13">
        <f t="shared" si="5"/>
        <v>3570</v>
      </c>
      <c r="F360" s="13">
        <v>0</v>
      </c>
    </row>
    <row r="361" spans="1:6" x14ac:dyDescent="0.25">
      <c r="A361" s="13" t="s">
        <v>1386</v>
      </c>
      <c r="B361" s="13" t="s">
        <v>420</v>
      </c>
      <c r="C361" s="13">
        <v>1014</v>
      </c>
      <c r="D361" s="13">
        <v>4830</v>
      </c>
      <c r="E361" s="13">
        <f t="shared" si="5"/>
        <v>4830</v>
      </c>
      <c r="F361" s="13">
        <v>0</v>
      </c>
    </row>
    <row r="362" spans="1:6" x14ac:dyDescent="0.25">
      <c r="A362" s="13" t="s">
        <v>1387</v>
      </c>
      <c r="B362" s="13" t="s">
        <v>421</v>
      </c>
      <c r="C362" s="13">
        <v>1801</v>
      </c>
      <c r="D362" s="13">
        <v>8570</v>
      </c>
      <c r="E362" s="13">
        <f t="shared" si="5"/>
        <v>8570</v>
      </c>
      <c r="F362" s="13">
        <v>0</v>
      </c>
    </row>
    <row r="363" spans="1:6" x14ac:dyDescent="0.25">
      <c r="A363" s="13" t="s">
        <v>1388</v>
      </c>
      <c r="B363" s="13" t="s">
        <v>422</v>
      </c>
      <c r="C363" s="13">
        <v>407</v>
      </c>
      <c r="D363" s="13">
        <v>2480</v>
      </c>
      <c r="E363" s="13">
        <f t="shared" si="5"/>
        <v>2480</v>
      </c>
      <c r="F363" s="13">
        <v>0</v>
      </c>
    </row>
    <row r="364" spans="1:6" x14ac:dyDescent="0.25">
      <c r="A364" s="13" t="s">
        <v>1389</v>
      </c>
      <c r="B364" s="13" t="s">
        <v>423</v>
      </c>
      <c r="C364" s="13">
        <v>3603</v>
      </c>
      <c r="D364" s="13">
        <v>17100</v>
      </c>
      <c r="E364" s="13">
        <f t="shared" si="5"/>
        <v>17100</v>
      </c>
      <c r="F364" s="13">
        <v>0</v>
      </c>
    </row>
    <row r="365" spans="1:6" x14ac:dyDescent="0.25">
      <c r="A365" s="13" t="s">
        <v>1390</v>
      </c>
      <c r="B365" s="13" t="s">
        <v>424</v>
      </c>
      <c r="C365" s="13">
        <v>5436</v>
      </c>
      <c r="D365" s="13">
        <v>198000</v>
      </c>
      <c r="E365" s="13">
        <f t="shared" si="5"/>
        <v>198000</v>
      </c>
      <c r="F365" s="13" cm="1">
        <f t="array" ref="F365">_xlfn.IFS(
  AND(('Cooling - Compression chiller'!E365-Scenario!R365)&lt;0, (Scenario!R365-'Cooling - Compression chiller'!I365)&gt;'Appliances demand'!D365), 'Appliances demand'!D365,
  AND(('Cooling - Compression chiller'!E365-Scenario!R365)&lt;0, (Scenario!R365-'Cooling - Compression chiller'!I365)&lt;='Appliances demand'!D365), (Scenario!R365-'Cooling - Compression chiller'!I365),
  TRUE, 0
)</f>
        <v>0</v>
      </c>
    </row>
    <row r="366" spans="1:6" x14ac:dyDescent="0.25">
      <c r="A366" s="13" t="s">
        <v>1391</v>
      </c>
      <c r="B366" s="13" t="s">
        <v>425</v>
      </c>
      <c r="C366" s="13">
        <v>5797</v>
      </c>
      <c r="D366" s="13">
        <v>35300</v>
      </c>
      <c r="E366" s="13">
        <f t="shared" si="5"/>
        <v>35300</v>
      </c>
      <c r="F366" s="13" cm="1">
        <f t="array" ref="F366">_xlfn.IFS(
  AND(('Cooling - Compression chiller'!E366-Scenario!R366)&lt;0, (Scenario!R366-'Cooling - Compression chiller'!I366)&gt;'Appliances demand'!D366), 'Appliances demand'!D366,
  AND(('Cooling - Compression chiller'!E366-Scenario!R366)&lt;0, (Scenario!R366-'Cooling - Compression chiller'!I366)&lt;='Appliances demand'!D366), (Scenario!R366-'Cooling - Compression chiller'!I366),
  TRUE, 0
)</f>
        <v>0</v>
      </c>
    </row>
    <row r="367" spans="1:6" x14ac:dyDescent="0.25">
      <c r="A367" s="13" t="s">
        <v>1392</v>
      </c>
      <c r="B367" s="13" t="s">
        <v>426</v>
      </c>
      <c r="C367" s="13">
        <v>8793</v>
      </c>
      <c r="D367" s="13">
        <v>53600</v>
      </c>
      <c r="E367" s="13">
        <f t="shared" si="5"/>
        <v>53600</v>
      </c>
      <c r="F367" s="13" cm="1">
        <f t="array" ref="F367">_xlfn.IFS(
  AND(('Cooling - Compression chiller'!E367-Scenario!R367)&lt;0, (Scenario!R367-'Cooling - Compression chiller'!I367)&gt;'Appliances demand'!D367), 'Appliances demand'!D367,
  AND(('Cooling - Compression chiller'!E367-Scenario!R367)&lt;0, (Scenario!R367-'Cooling - Compression chiller'!I367)&lt;='Appliances demand'!D367), (Scenario!R367-'Cooling - Compression chiller'!I367),
  TRUE, 0
)</f>
        <v>0</v>
      </c>
    </row>
    <row r="368" spans="1:6" x14ac:dyDescent="0.25">
      <c r="A368" s="13" t="s">
        <v>1393</v>
      </c>
      <c r="B368" s="13" t="s">
        <v>427</v>
      </c>
      <c r="C368" s="13">
        <v>6906</v>
      </c>
      <c r="D368" s="13">
        <v>32900</v>
      </c>
      <c r="E368" s="13">
        <f t="shared" si="5"/>
        <v>32900</v>
      </c>
      <c r="F368" s="13" cm="1">
        <f t="array" ref="F368">_xlfn.IFS(
  AND(('Cooling - Compression chiller'!E368-Scenario!R368)&lt;0, (Scenario!R368-'Cooling - Compression chiller'!I368)&gt;'Appliances demand'!D368), 'Appliances demand'!D368,
  AND(('Cooling - Compression chiller'!E368-Scenario!R368)&lt;0, (Scenario!R368-'Cooling - Compression chiller'!I368)&lt;='Appliances demand'!D368), (Scenario!R368-'Cooling - Compression chiller'!I368),
  TRUE, 0
)</f>
        <v>0</v>
      </c>
    </row>
    <row r="369" spans="1:6" x14ac:dyDescent="0.25">
      <c r="A369" s="13" t="s">
        <v>1394</v>
      </c>
      <c r="B369" s="13" t="s">
        <v>428</v>
      </c>
      <c r="C369" s="13">
        <v>1908</v>
      </c>
      <c r="D369" s="13">
        <v>69600</v>
      </c>
      <c r="E369" s="13">
        <f t="shared" si="5"/>
        <v>69600</v>
      </c>
      <c r="F369" s="13" cm="1">
        <f t="array" ref="F369">_xlfn.IFS(
  AND(('Cooling - Compression chiller'!E369-Scenario!R369)&lt;0, (Scenario!R369-'Cooling - Compression chiller'!I369)&gt;'Appliances demand'!D369), 'Appliances demand'!D369,
  AND(('Cooling - Compression chiller'!E369-Scenario!R369)&lt;0, (Scenario!R369-'Cooling - Compression chiller'!I369)&lt;='Appliances demand'!D369), (Scenario!R369-'Cooling - Compression chiller'!I369),
  TRUE, 0
)</f>
        <v>0</v>
      </c>
    </row>
    <row r="370" spans="1:6" x14ac:dyDescent="0.25">
      <c r="A370" s="13" t="s">
        <v>1395</v>
      </c>
      <c r="B370" s="13" t="s">
        <v>429</v>
      </c>
      <c r="C370" s="13">
        <v>3567</v>
      </c>
      <c r="D370" s="13">
        <v>21700</v>
      </c>
      <c r="E370" s="13">
        <f t="shared" si="5"/>
        <v>21700</v>
      </c>
      <c r="F370" s="13" cm="1">
        <f t="array" ref="F370">_xlfn.IFS(
  AND(('Cooling - Compression chiller'!E370-Scenario!R370)&lt;0, (Scenario!R370-'Cooling - Compression chiller'!I370)&gt;'Appliances demand'!D370), 'Appliances demand'!D370,
  AND(('Cooling - Compression chiller'!E370-Scenario!R370)&lt;0, (Scenario!R370-'Cooling - Compression chiller'!I370)&lt;='Appliances demand'!D370), (Scenario!R370-'Cooling - Compression chiller'!I370),
  TRUE, 0
)</f>
        <v>0</v>
      </c>
    </row>
    <row r="371" spans="1:6" x14ac:dyDescent="0.25">
      <c r="A371" s="13" t="s">
        <v>1396</v>
      </c>
      <c r="B371" s="13" t="s">
        <v>430</v>
      </c>
      <c r="C371" s="13">
        <v>10683</v>
      </c>
      <c r="D371" s="13">
        <v>50800</v>
      </c>
      <c r="E371" s="13">
        <f t="shared" si="5"/>
        <v>50800</v>
      </c>
      <c r="F371" s="13" cm="1">
        <f t="array" ref="F371">_xlfn.IFS(
  AND(('Cooling - Compression chiller'!E371-Scenario!R371)&lt;0, (Scenario!R371-'Cooling - Compression chiller'!I371)&gt;'Appliances demand'!D371), 'Appliances demand'!D371,
  AND(('Cooling - Compression chiller'!E371-Scenario!R371)&lt;0, (Scenario!R371-'Cooling - Compression chiller'!I371)&lt;='Appliances demand'!D371), (Scenario!R371-'Cooling - Compression chiller'!I371),
  TRUE, 0
)</f>
        <v>0</v>
      </c>
    </row>
    <row r="372" spans="1:6" x14ac:dyDescent="0.25">
      <c r="A372" s="13" t="s">
        <v>1397</v>
      </c>
      <c r="B372" s="13" t="s">
        <v>431</v>
      </c>
      <c r="C372" s="13">
        <v>4931</v>
      </c>
      <c r="D372" s="13">
        <v>23500</v>
      </c>
      <c r="E372" s="13">
        <f t="shared" si="5"/>
        <v>23500</v>
      </c>
      <c r="F372" s="13" cm="1">
        <f t="array" ref="F372">_xlfn.IFS(
  AND(('Cooling - Compression chiller'!E372-Scenario!R372)&lt;0, (Scenario!R372-'Cooling - Compression chiller'!I372)&gt;'Appliances demand'!D372), 'Appliances demand'!D372,
  AND(('Cooling - Compression chiller'!E372-Scenario!R372)&lt;0, (Scenario!R372-'Cooling - Compression chiller'!I372)&lt;='Appliances demand'!D372), (Scenario!R372-'Cooling - Compression chiller'!I372),
  TRUE, 0
)</f>
        <v>0</v>
      </c>
    </row>
    <row r="373" spans="1:6" x14ac:dyDescent="0.25">
      <c r="A373" s="13" t="s">
        <v>1398</v>
      </c>
      <c r="B373" s="13" t="s">
        <v>432</v>
      </c>
      <c r="C373" s="13">
        <v>160</v>
      </c>
      <c r="D373" s="13">
        <v>761</v>
      </c>
      <c r="E373" s="13">
        <f t="shared" si="5"/>
        <v>0</v>
      </c>
      <c r="F373" s="13" cm="1">
        <f t="array" ref="F373">_xlfn.IFS(
  AND(('Cooling - Compression chiller'!E373-Scenario!R373)&lt;0, (Scenario!R373-'Cooling - Compression chiller'!I373)&gt;'Appliances demand'!D373), 'Appliances demand'!D373,
  AND(('Cooling - Compression chiller'!E373-Scenario!R373)&lt;0, (Scenario!R373-'Cooling - Compression chiller'!I373)&lt;='Appliances demand'!D373), (Scenario!R373-'Cooling - Compression chiller'!I373),
  TRUE, 0
)</f>
        <v>761</v>
      </c>
    </row>
    <row r="374" spans="1:6" x14ac:dyDescent="0.25">
      <c r="A374" s="13" t="s">
        <v>1399</v>
      </c>
      <c r="B374" s="13" t="s">
        <v>433</v>
      </c>
      <c r="C374" s="13">
        <v>513</v>
      </c>
      <c r="D374" s="13">
        <v>3130</v>
      </c>
      <c r="E374" s="13">
        <f t="shared" si="5"/>
        <v>3130</v>
      </c>
      <c r="F374" s="13" cm="1">
        <f t="array" ref="F374">_xlfn.IFS(
  AND(('Cooling - Compression chiller'!E374-Scenario!R374)&lt;0, (Scenario!R374-'Cooling - Compression chiller'!I374)&gt;'Appliances demand'!D374), 'Appliances demand'!D374,
  AND(('Cooling - Compression chiller'!E374-Scenario!R374)&lt;0, (Scenario!R374-'Cooling - Compression chiller'!I374)&lt;='Appliances demand'!D374), (Scenario!R374-'Cooling - Compression chiller'!I374),
  TRUE, 0
)</f>
        <v>0</v>
      </c>
    </row>
    <row r="375" spans="1:6" x14ac:dyDescent="0.25">
      <c r="A375" s="13" t="s">
        <v>1400</v>
      </c>
      <c r="B375" s="13" t="s">
        <v>434</v>
      </c>
      <c r="C375" s="13">
        <v>801</v>
      </c>
      <c r="D375" s="13">
        <v>4880</v>
      </c>
      <c r="E375" s="13">
        <f t="shared" si="5"/>
        <v>4880</v>
      </c>
      <c r="F375" s="13" cm="1">
        <f t="array" ref="F375">_xlfn.IFS(
  AND(('Cooling - Compression chiller'!E375-Scenario!R375)&lt;0, (Scenario!R375-'Cooling - Compression chiller'!I375)&gt;'Appliances demand'!D375), 'Appliances demand'!D375,
  AND(('Cooling - Compression chiller'!E375-Scenario!R375)&lt;0, (Scenario!R375-'Cooling - Compression chiller'!I375)&lt;='Appliances demand'!D375), (Scenario!R375-'Cooling - Compression chiller'!I375),
  TRUE, 0
)</f>
        <v>0</v>
      </c>
    </row>
    <row r="376" spans="1:6" x14ac:dyDescent="0.25">
      <c r="A376" s="13" t="s">
        <v>1401</v>
      </c>
      <c r="B376" s="13" t="s">
        <v>435</v>
      </c>
      <c r="C376" s="13">
        <v>88</v>
      </c>
      <c r="D376" s="13">
        <v>536</v>
      </c>
      <c r="E376" s="13">
        <f t="shared" si="5"/>
        <v>536</v>
      </c>
      <c r="F376" s="13" cm="1">
        <f t="array" ref="F376">_xlfn.IFS(
  AND(('Cooling - Compression chiller'!E376-Scenario!R376)&lt;0, (Scenario!R376-'Cooling - Compression chiller'!I376)&gt;'Appliances demand'!D376), 'Appliances demand'!D376,
  AND(('Cooling - Compression chiller'!E376-Scenario!R376)&lt;0, (Scenario!R376-'Cooling - Compression chiller'!I376)&lt;='Appliances demand'!D376), (Scenario!R376-'Cooling - Compression chiller'!I376),
  TRUE, 0
)</f>
        <v>0</v>
      </c>
    </row>
    <row r="377" spans="1:6" x14ac:dyDescent="0.25">
      <c r="A377" s="13" t="s">
        <v>1402</v>
      </c>
      <c r="B377" s="13" t="s">
        <v>436</v>
      </c>
      <c r="C377" s="13">
        <v>91</v>
      </c>
      <c r="D377" s="13">
        <v>552</v>
      </c>
      <c r="E377" s="13">
        <f t="shared" si="5"/>
        <v>552</v>
      </c>
      <c r="F377" s="13" cm="1">
        <f t="array" ref="F377">_xlfn.IFS(
  AND(('Cooling - Compression chiller'!E377-Scenario!R377)&lt;0, (Scenario!R377-'Cooling - Compression chiller'!I377)&gt;'Appliances demand'!D377), 'Appliances demand'!D377,
  AND(('Cooling - Compression chiller'!E377-Scenario!R377)&lt;0, (Scenario!R377-'Cooling - Compression chiller'!I377)&lt;='Appliances demand'!D377), (Scenario!R377-'Cooling - Compression chiller'!I377),
  TRUE, 0
)</f>
        <v>0</v>
      </c>
    </row>
    <row r="378" spans="1:6" x14ac:dyDescent="0.25">
      <c r="A378" s="13" t="s">
        <v>1403</v>
      </c>
      <c r="B378" s="13" t="s">
        <v>437</v>
      </c>
      <c r="C378" s="13">
        <v>452</v>
      </c>
      <c r="D378" s="13">
        <v>2150</v>
      </c>
      <c r="E378" s="13">
        <f t="shared" si="5"/>
        <v>1673.8571428571431</v>
      </c>
      <c r="F378" s="13" cm="1">
        <f t="array" ref="F378">_xlfn.IFS(
  AND(('Cooling - Compression chiller'!E378-Scenario!R378)&lt;0, (Scenario!R378-'Cooling - Compression chiller'!I378)&gt;'Appliances demand'!D378), 'Appliances demand'!D378,
  AND(('Cooling - Compression chiller'!E378-Scenario!R378)&lt;0, (Scenario!R378-'Cooling - Compression chiller'!I378)&lt;='Appliances demand'!D378), (Scenario!R378-'Cooling - Compression chiller'!I378),
  TRUE, 0
)</f>
        <v>476.14285714285688</v>
      </c>
    </row>
    <row r="379" spans="1:6" x14ac:dyDescent="0.25">
      <c r="A379" s="13" t="s">
        <v>1404</v>
      </c>
      <c r="B379" s="13" t="s">
        <v>438</v>
      </c>
      <c r="C379" s="13">
        <v>652</v>
      </c>
      <c r="D379" s="13">
        <v>3970</v>
      </c>
      <c r="E379" s="13">
        <f t="shared" si="5"/>
        <v>3970</v>
      </c>
      <c r="F379" s="13" cm="1">
        <f t="array" ref="F379">_xlfn.IFS(
  AND(('Cooling - Compression chiller'!E379-Scenario!R379)&lt;0, (Scenario!R379-'Cooling - Compression chiller'!I379)&gt;'Appliances demand'!D379), 'Appliances demand'!D379,
  AND(('Cooling - Compression chiller'!E379-Scenario!R379)&lt;0, (Scenario!R379-'Cooling - Compression chiller'!I379)&lt;='Appliances demand'!D379), (Scenario!R379-'Cooling - Compression chiller'!I379),
  TRUE, 0
)</f>
        <v>0</v>
      </c>
    </row>
    <row r="380" spans="1:6" x14ac:dyDescent="0.25">
      <c r="A380" s="13" t="s">
        <v>1405</v>
      </c>
      <c r="B380" s="13" t="s">
        <v>439</v>
      </c>
      <c r="C380" s="13">
        <v>101</v>
      </c>
      <c r="D380" s="13">
        <v>480</v>
      </c>
      <c r="E380" s="13">
        <f t="shared" si="5"/>
        <v>0</v>
      </c>
      <c r="F380" s="13" cm="1">
        <f t="array" ref="F380">_xlfn.IFS(
  AND(('Cooling - Compression chiller'!E380-Scenario!R380)&lt;0, (Scenario!R380-'Cooling - Compression chiller'!I380)&gt;'Appliances demand'!D380), 'Appliances demand'!D380,
  AND(('Cooling - Compression chiller'!E380-Scenario!R380)&lt;0, (Scenario!R380-'Cooling - Compression chiller'!I380)&lt;='Appliances demand'!D380), (Scenario!R380-'Cooling - Compression chiller'!I380),
  TRUE, 0
)</f>
        <v>480</v>
      </c>
    </row>
    <row r="381" spans="1:6" x14ac:dyDescent="0.25">
      <c r="A381" s="13" t="s">
        <v>1406</v>
      </c>
      <c r="B381" s="13" t="s">
        <v>440</v>
      </c>
      <c r="C381" s="13">
        <v>629</v>
      </c>
      <c r="D381" s="13">
        <v>2990</v>
      </c>
      <c r="E381" s="13">
        <f t="shared" si="5"/>
        <v>391.14285714285688</v>
      </c>
      <c r="F381" s="13" cm="1">
        <f t="array" ref="F381">_xlfn.IFS(
  AND(('Cooling - Compression chiller'!E381-Scenario!R381)&lt;0, (Scenario!R381-'Cooling - Compression chiller'!I381)&gt;'Appliances demand'!D381), 'Appliances demand'!D381,
  AND(('Cooling - Compression chiller'!E381-Scenario!R381)&lt;0, (Scenario!R381-'Cooling - Compression chiller'!I381)&lt;='Appliances demand'!D381), (Scenario!R381-'Cooling - Compression chiller'!I381),
  TRUE, 0
)</f>
        <v>2598.8571428571431</v>
      </c>
    </row>
    <row r="382" spans="1:6" x14ac:dyDescent="0.25">
      <c r="A382" s="13" t="s">
        <v>1407</v>
      </c>
      <c r="B382" s="13" t="s">
        <v>441</v>
      </c>
      <c r="C382" s="13">
        <v>7372</v>
      </c>
      <c r="D382" s="13">
        <v>35100</v>
      </c>
      <c r="E382" s="13">
        <f t="shared" si="5"/>
        <v>35100</v>
      </c>
      <c r="F382" s="13" cm="1">
        <f t="array" ref="F382">_xlfn.IFS(
  AND(('Cooling - Compression chiller'!E382-Scenario!R382)&lt;0, (Scenario!R382-'Cooling - Compression chiller'!I382)&gt;'Appliances demand'!D382), 'Appliances demand'!D382,
  AND(('Cooling - Compression chiller'!E382-Scenario!R382)&lt;0, (Scenario!R382-'Cooling - Compression chiller'!I382)&lt;='Appliances demand'!D382), (Scenario!R382-'Cooling - Compression chiller'!I382),
  TRUE, 0
)</f>
        <v>0</v>
      </c>
    </row>
    <row r="383" spans="1:6" x14ac:dyDescent="0.25">
      <c r="A383" s="13" t="s">
        <v>1408</v>
      </c>
      <c r="B383" s="13" t="s">
        <v>442</v>
      </c>
      <c r="C383" s="13">
        <v>335</v>
      </c>
      <c r="D383" s="13">
        <v>2040</v>
      </c>
      <c r="E383" s="13">
        <f t="shared" si="5"/>
        <v>2040</v>
      </c>
      <c r="F383" s="13" cm="1">
        <f t="array" ref="F383">_xlfn.IFS(
  AND(('Cooling - Compression chiller'!E383-Scenario!R383)&lt;0, (Scenario!R383-'Cooling - Compression chiller'!I383)&gt;'Appliances demand'!D383), 'Appliances demand'!D383,
  AND(('Cooling - Compression chiller'!E383-Scenario!R383)&lt;0, (Scenario!R383-'Cooling - Compression chiller'!I383)&lt;='Appliances demand'!D383), (Scenario!R383-'Cooling - Compression chiller'!I383),
  TRUE, 0
)</f>
        <v>0</v>
      </c>
    </row>
    <row r="384" spans="1:6" x14ac:dyDescent="0.25">
      <c r="A384" s="13" t="s">
        <v>1409</v>
      </c>
      <c r="B384" s="13" t="s">
        <v>443</v>
      </c>
      <c r="C384" s="13">
        <v>394</v>
      </c>
      <c r="D384" s="13">
        <v>2400</v>
      </c>
      <c r="E384" s="13">
        <f t="shared" si="5"/>
        <v>2400</v>
      </c>
      <c r="F384" s="13" cm="1">
        <f t="array" ref="F384">_xlfn.IFS(
  AND(('Cooling - Compression chiller'!E384-Scenario!R384)&lt;0, (Scenario!R384-'Cooling - Compression chiller'!I384)&gt;'Appliances demand'!D384), 'Appliances demand'!D384,
  AND(('Cooling - Compression chiller'!E384-Scenario!R384)&lt;0, (Scenario!R384-'Cooling - Compression chiller'!I384)&lt;='Appliances demand'!D384), (Scenario!R384-'Cooling - Compression chiller'!I384),
  TRUE, 0
)</f>
        <v>0</v>
      </c>
    </row>
    <row r="385" spans="1:6" x14ac:dyDescent="0.25">
      <c r="A385" s="13" t="s">
        <v>1410</v>
      </c>
      <c r="B385" s="13" t="s">
        <v>444</v>
      </c>
      <c r="C385" s="13">
        <v>603</v>
      </c>
      <c r="D385" s="13">
        <v>3680</v>
      </c>
      <c r="E385" s="13">
        <f t="shared" si="5"/>
        <v>3680</v>
      </c>
      <c r="F385" s="13" cm="1">
        <f t="array" ref="F385">_xlfn.IFS(
  AND(('Cooling - Compression chiller'!E385-Scenario!R385)&lt;0, (Scenario!R385-'Cooling - Compression chiller'!I385)&gt;'Appliances demand'!D385), 'Appliances demand'!D385,
  AND(('Cooling - Compression chiller'!E385-Scenario!R385)&lt;0, (Scenario!R385-'Cooling - Compression chiller'!I385)&lt;='Appliances demand'!D385), (Scenario!R385-'Cooling - Compression chiller'!I385),
  TRUE, 0
)</f>
        <v>0</v>
      </c>
    </row>
    <row r="386" spans="1:6" x14ac:dyDescent="0.25">
      <c r="A386" s="13" t="s">
        <v>1411</v>
      </c>
      <c r="B386" s="13" t="s">
        <v>445</v>
      </c>
      <c r="C386" s="13">
        <v>372</v>
      </c>
      <c r="D386" s="13">
        <v>2270</v>
      </c>
      <c r="E386" s="13">
        <f t="shared" si="5"/>
        <v>2270</v>
      </c>
      <c r="F386" s="13" cm="1">
        <f t="array" ref="F386">_xlfn.IFS(
  AND(('Cooling - Compression chiller'!E386-Scenario!R386)&lt;0, (Scenario!R386-'Cooling - Compression chiller'!I386)&gt;'Appliances demand'!D386), 'Appliances demand'!D386,
  AND(('Cooling - Compression chiller'!E386-Scenario!R386)&lt;0, (Scenario!R386-'Cooling - Compression chiller'!I386)&lt;='Appliances demand'!D386), (Scenario!R386-'Cooling - Compression chiller'!I386),
  TRUE, 0
)</f>
        <v>0</v>
      </c>
    </row>
    <row r="387" spans="1:6" x14ac:dyDescent="0.25">
      <c r="A387" s="13" t="s">
        <v>1412</v>
      </c>
      <c r="B387" s="13" t="s">
        <v>446</v>
      </c>
      <c r="C387" s="13">
        <v>321</v>
      </c>
      <c r="D387" s="13">
        <v>1530</v>
      </c>
      <c r="E387" s="13">
        <f t="shared" ref="E387:E450" si="6">D387-F387</f>
        <v>0</v>
      </c>
      <c r="F387" s="13" cm="1">
        <f t="array" ref="F387">_xlfn.IFS(
  AND(('Cooling - Compression chiller'!E387-Scenario!R387)&lt;0, (Scenario!R387-'Cooling - Compression chiller'!I387)&gt;'Appliances demand'!D387), 'Appliances demand'!D387,
  AND(('Cooling - Compression chiller'!E387-Scenario!R387)&lt;0, (Scenario!R387-'Cooling - Compression chiller'!I387)&lt;='Appliances demand'!D387), (Scenario!R387-'Cooling - Compression chiller'!I387),
  TRUE, 0
)</f>
        <v>1530</v>
      </c>
    </row>
    <row r="388" spans="1:6" x14ac:dyDescent="0.25">
      <c r="A388" s="13" t="s">
        <v>1413</v>
      </c>
      <c r="B388" s="13" t="s">
        <v>447</v>
      </c>
      <c r="C388" s="13">
        <v>742</v>
      </c>
      <c r="D388" s="13">
        <v>4520</v>
      </c>
      <c r="E388" s="13">
        <f t="shared" si="6"/>
        <v>4520</v>
      </c>
      <c r="F388" s="13" cm="1">
        <f t="array" ref="F388">_xlfn.IFS(
  AND(('Cooling - Compression chiller'!E388-Scenario!R388)&lt;0, (Scenario!R388-'Cooling - Compression chiller'!I388)&gt;'Appliances demand'!D388), 'Appliances demand'!D388,
  AND(('Cooling - Compression chiller'!E388-Scenario!R388)&lt;0, (Scenario!R388-'Cooling - Compression chiller'!I388)&lt;='Appliances demand'!D388), (Scenario!R388-'Cooling - Compression chiller'!I388),
  TRUE, 0
)</f>
        <v>0</v>
      </c>
    </row>
    <row r="389" spans="1:6" x14ac:dyDescent="0.25">
      <c r="A389" s="13" t="s">
        <v>1414</v>
      </c>
      <c r="B389" s="13" t="s">
        <v>448</v>
      </c>
      <c r="C389" s="13">
        <v>244</v>
      </c>
      <c r="D389" s="13">
        <v>1490</v>
      </c>
      <c r="E389" s="13">
        <f t="shared" si="6"/>
        <v>1490</v>
      </c>
      <c r="F389" s="13" cm="1">
        <f t="array" ref="F389">_xlfn.IFS(
  AND(('Cooling - Compression chiller'!E389-Scenario!R389)&lt;0, (Scenario!R389-'Cooling - Compression chiller'!I389)&gt;'Appliances demand'!D389), 'Appliances demand'!D389,
  AND(('Cooling - Compression chiller'!E389-Scenario!R389)&lt;0, (Scenario!R389-'Cooling - Compression chiller'!I389)&lt;='Appliances demand'!D389), (Scenario!R389-'Cooling - Compression chiller'!I389),
  TRUE, 0
)</f>
        <v>0</v>
      </c>
    </row>
    <row r="390" spans="1:6" x14ac:dyDescent="0.25">
      <c r="A390" s="13" t="s">
        <v>1415</v>
      </c>
      <c r="B390" s="13" t="s">
        <v>449</v>
      </c>
      <c r="C390" s="13">
        <v>89</v>
      </c>
      <c r="D390" s="13">
        <v>423</v>
      </c>
      <c r="E390" s="13">
        <f t="shared" si="6"/>
        <v>0</v>
      </c>
      <c r="F390" s="13" cm="1">
        <f t="array" ref="F390">_xlfn.IFS(
  AND(('Cooling - Compression chiller'!E390-Scenario!R390)&lt;0, (Scenario!R390-'Cooling - Compression chiller'!I390)&gt;'Appliances demand'!D390), 'Appliances demand'!D390,
  AND(('Cooling - Compression chiller'!E390-Scenario!R390)&lt;0, (Scenario!R390-'Cooling - Compression chiller'!I390)&lt;='Appliances demand'!D390), (Scenario!R390-'Cooling - Compression chiller'!I390),
  TRUE, 0
)</f>
        <v>423</v>
      </c>
    </row>
    <row r="391" spans="1:6" x14ac:dyDescent="0.25">
      <c r="A391" s="13" t="s">
        <v>1416</v>
      </c>
      <c r="B391" s="13" t="s">
        <v>450</v>
      </c>
      <c r="C391" s="13">
        <v>453</v>
      </c>
      <c r="D391" s="13">
        <v>2760</v>
      </c>
      <c r="E391" s="13">
        <f t="shared" si="6"/>
        <v>2760</v>
      </c>
      <c r="F391" s="13" cm="1">
        <f t="array" ref="F391">_xlfn.IFS(
  AND(('Cooling - Compression chiller'!E391-Scenario!R391)&lt;0, (Scenario!R391-'Cooling - Compression chiller'!I391)&gt;'Appliances demand'!D391), 'Appliances demand'!D391,
  AND(('Cooling - Compression chiller'!E391-Scenario!R391)&lt;0, (Scenario!R391-'Cooling - Compression chiller'!I391)&lt;='Appliances demand'!D391), (Scenario!R391-'Cooling - Compression chiller'!I391),
  TRUE, 0
)</f>
        <v>0</v>
      </c>
    </row>
    <row r="392" spans="1:6" x14ac:dyDescent="0.25">
      <c r="A392" s="13" t="s">
        <v>1417</v>
      </c>
      <c r="B392" s="13" t="s">
        <v>451</v>
      </c>
      <c r="C392" s="13">
        <v>626</v>
      </c>
      <c r="D392" s="13">
        <v>3820</v>
      </c>
      <c r="E392" s="13">
        <f t="shared" si="6"/>
        <v>3820</v>
      </c>
      <c r="F392" s="13" cm="1">
        <f t="array" ref="F392">_xlfn.IFS(
  AND(('Cooling - Compression chiller'!E392-Scenario!R392)&lt;0, (Scenario!R392-'Cooling - Compression chiller'!I392)&gt;'Appliances demand'!D392), 'Appliances demand'!D392,
  AND(('Cooling - Compression chiller'!E392-Scenario!R392)&lt;0, (Scenario!R392-'Cooling - Compression chiller'!I392)&lt;='Appliances demand'!D392), (Scenario!R392-'Cooling - Compression chiller'!I392),
  TRUE, 0
)</f>
        <v>0</v>
      </c>
    </row>
    <row r="393" spans="1:6" x14ac:dyDescent="0.25">
      <c r="A393" s="13" t="s">
        <v>1418</v>
      </c>
      <c r="B393" s="13" t="s">
        <v>452</v>
      </c>
      <c r="C393" s="13">
        <v>138</v>
      </c>
      <c r="D393" s="13">
        <v>841</v>
      </c>
      <c r="E393" s="13">
        <f t="shared" si="6"/>
        <v>841</v>
      </c>
      <c r="F393" s="13" cm="1">
        <f t="array" ref="F393">_xlfn.IFS(
  AND(('Cooling - Compression chiller'!E393-Scenario!R393)&lt;0, (Scenario!R393-'Cooling - Compression chiller'!I393)&gt;'Appliances demand'!D393), 'Appliances demand'!D393,
  AND(('Cooling - Compression chiller'!E393-Scenario!R393)&lt;0, (Scenario!R393-'Cooling - Compression chiller'!I393)&lt;='Appliances demand'!D393), (Scenario!R393-'Cooling - Compression chiller'!I393),
  TRUE, 0
)</f>
        <v>0</v>
      </c>
    </row>
    <row r="394" spans="1:6" x14ac:dyDescent="0.25">
      <c r="A394" s="13" t="s">
        <v>1419</v>
      </c>
      <c r="B394" s="13" t="s">
        <v>453</v>
      </c>
      <c r="C394" s="13">
        <v>373</v>
      </c>
      <c r="D394" s="13">
        <v>2280</v>
      </c>
      <c r="E394" s="13">
        <f t="shared" si="6"/>
        <v>2280</v>
      </c>
      <c r="F394" s="13" cm="1">
        <f t="array" ref="F394">_xlfn.IFS(
  AND(('Cooling - Compression chiller'!E394-Scenario!R394)&lt;0, (Scenario!R394-'Cooling - Compression chiller'!I394)&gt;'Appliances demand'!D394), 'Appliances demand'!D394,
  AND(('Cooling - Compression chiller'!E394-Scenario!R394)&lt;0, (Scenario!R394-'Cooling - Compression chiller'!I394)&lt;='Appliances demand'!D394), (Scenario!R394-'Cooling - Compression chiller'!I394),
  TRUE, 0
)</f>
        <v>0</v>
      </c>
    </row>
    <row r="395" spans="1:6" x14ac:dyDescent="0.25">
      <c r="A395" s="13" t="s">
        <v>1420</v>
      </c>
      <c r="B395" s="13" t="s">
        <v>454</v>
      </c>
      <c r="C395" s="13">
        <v>118</v>
      </c>
      <c r="D395" s="13">
        <v>722</v>
      </c>
      <c r="E395" s="13">
        <f t="shared" si="6"/>
        <v>722</v>
      </c>
      <c r="F395" s="13" cm="1">
        <f t="array" ref="F395">_xlfn.IFS(
  AND(('Cooling - Compression chiller'!E395-Scenario!R395)&lt;0, (Scenario!R395-'Cooling - Compression chiller'!I395)&gt;'Appliances demand'!D395), 'Appliances demand'!D395,
  AND(('Cooling - Compression chiller'!E395-Scenario!R395)&lt;0, (Scenario!R395-'Cooling - Compression chiller'!I395)&lt;='Appliances demand'!D395), (Scenario!R395-'Cooling - Compression chiller'!I395),
  TRUE, 0
)</f>
        <v>0</v>
      </c>
    </row>
    <row r="396" spans="1:6" x14ac:dyDescent="0.25">
      <c r="A396" s="13" t="s">
        <v>1421</v>
      </c>
      <c r="B396" s="13" t="s">
        <v>455</v>
      </c>
      <c r="C396" s="13">
        <v>145</v>
      </c>
      <c r="D396" s="13">
        <v>689</v>
      </c>
      <c r="E396" s="13">
        <f t="shared" si="6"/>
        <v>0</v>
      </c>
      <c r="F396" s="13" cm="1">
        <f t="array" ref="F396">_xlfn.IFS(
  AND(('Cooling - Compression chiller'!E396-Scenario!R396)&lt;0, (Scenario!R396-'Cooling - Compression chiller'!I396)&gt;'Appliances demand'!D396), 'Appliances demand'!D396,
  AND(('Cooling - Compression chiller'!E396-Scenario!R396)&lt;0, (Scenario!R396-'Cooling - Compression chiller'!I396)&lt;='Appliances demand'!D396), (Scenario!R396-'Cooling - Compression chiller'!I396),
  TRUE, 0
)</f>
        <v>689</v>
      </c>
    </row>
    <row r="397" spans="1:6" x14ac:dyDescent="0.25">
      <c r="A397" s="13" t="s">
        <v>1422</v>
      </c>
      <c r="B397" s="13" t="s">
        <v>456</v>
      </c>
      <c r="C397" s="13">
        <v>200</v>
      </c>
      <c r="D397" s="13">
        <v>950</v>
      </c>
      <c r="E397" s="13">
        <f t="shared" si="6"/>
        <v>0</v>
      </c>
      <c r="F397" s="13" cm="1">
        <f t="array" ref="F397">_xlfn.IFS(
  AND(('Cooling - Compression chiller'!E397-Scenario!R397)&lt;0, (Scenario!R397-'Cooling - Compression chiller'!I397)&gt;'Appliances demand'!D397), 'Appliances demand'!D397,
  AND(('Cooling - Compression chiller'!E397-Scenario!R397)&lt;0, (Scenario!R397-'Cooling - Compression chiller'!I397)&lt;='Appliances demand'!D397), (Scenario!R397-'Cooling - Compression chiller'!I397),
  TRUE, 0
)</f>
        <v>950</v>
      </c>
    </row>
    <row r="398" spans="1:6" x14ac:dyDescent="0.25">
      <c r="A398" s="13" t="s">
        <v>1423</v>
      </c>
      <c r="B398" s="13" t="s">
        <v>457</v>
      </c>
      <c r="C398" s="13">
        <v>276</v>
      </c>
      <c r="D398" s="13">
        <v>1680</v>
      </c>
      <c r="E398" s="13">
        <f t="shared" si="6"/>
        <v>1680</v>
      </c>
      <c r="F398" s="13" cm="1">
        <f t="array" ref="F398">_xlfn.IFS(
  AND(('Cooling - Compression chiller'!E398-Scenario!R398)&lt;0, (Scenario!R398-'Cooling - Compression chiller'!I398)&gt;'Appliances demand'!D398), 'Appliances demand'!D398,
  AND(('Cooling - Compression chiller'!E398-Scenario!R398)&lt;0, (Scenario!R398-'Cooling - Compression chiller'!I398)&lt;='Appliances demand'!D398), (Scenario!R398-'Cooling - Compression chiller'!I398),
  TRUE, 0
)</f>
        <v>0</v>
      </c>
    </row>
    <row r="399" spans="1:6" x14ac:dyDescent="0.25">
      <c r="A399" s="13" t="s">
        <v>1424</v>
      </c>
      <c r="B399" s="13" t="s">
        <v>458</v>
      </c>
      <c r="C399" s="13">
        <v>110</v>
      </c>
      <c r="D399" s="13">
        <v>669</v>
      </c>
      <c r="E399" s="13">
        <f t="shared" si="6"/>
        <v>669</v>
      </c>
      <c r="F399" s="13" cm="1">
        <f t="array" ref="F399">_xlfn.IFS(
  AND(('Cooling - Compression chiller'!E399-Scenario!R399)&lt;0, (Scenario!R399-'Cooling - Compression chiller'!I399)&gt;'Appliances demand'!D399), 'Appliances demand'!D399,
  AND(('Cooling - Compression chiller'!E399-Scenario!R399)&lt;0, (Scenario!R399-'Cooling - Compression chiller'!I399)&lt;='Appliances demand'!D399), (Scenario!R399-'Cooling - Compression chiller'!I399),
  TRUE, 0
)</f>
        <v>0</v>
      </c>
    </row>
    <row r="400" spans="1:6" x14ac:dyDescent="0.25">
      <c r="A400" s="13" t="s">
        <v>1425</v>
      </c>
      <c r="B400" s="13" t="s">
        <v>459</v>
      </c>
      <c r="C400" s="13">
        <v>251</v>
      </c>
      <c r="D400" s="13">
        <v>1530</v>
      </c>
      <c r="E400" s="13">
        <f t="shared" si="6"/>
        <v>1530</v>
      </c>
      <c r="F400" s="13" cm="1">
        <f t="array" ref="F400">_xlfn.IFS(
  AND(('Cooling - Compression chiller'!E400-Scenario!R400)&lt;0, (Scenario!R400-'Cooling - Compression chiller'!I400)&gt;'Appliances demand'!D400), 'Appliances demand'!D400,
  AND(('Cooling - Compression chiller'!E400-Scenario!R400)&lt;0, (Scenario!R400-'Cooling - Compression chiller'!I400)&lt;='Appliances demand'!D400), (Scenario!R400-'Cooling - Compression chiller'!I400),
  TRUE, 0
)</f>
        <v>0</v>
      </c>
    </row>
    <row r="401" spans="1:6" x14ac:dyDescent="0.25">
      <c r="A401" s="13" t="s">
        <v>1426</v>
      </c>
      <c r="B401" s="13" t="s">
        <v>460</v>
      </c>
      <c r="C401" s="13">
        <v>99</v>
      </c>
      <c r="D401" s="13">
        <v>602</v>
      </c>
      <c r="E401" s="13">
        <f t="shared" si="6"/>
        <v>602</v>
      </c>
      <c r="F401" s="13" cm="1">
        <f t="array" ref="F401">_xlfn.IFS(
  AND(('Cooling - Compression chiller'!E401-Scenario!R401)&lt;0, (Scenario!R401-'Cooling - Compression chiller'!I401)&gt;'Appliances demand'!D401), 'Appliances demand'!D401,
  AND(('Cooling - Compression chiller'!E401-Scenario!R401)&lt;0, (Scenario!R401-'Cooling - Compression chiller'!I401)&lt;='Appliances demand'!D401), (Scenario!R401-'Cooling - Compression chiller'!I401),
  TRUE, 0
)</f>
        <v>0</v>
      </c>
    </row>
    <row r="402" spans="1:6" x14ac:dyDescent="0.25">
      <c r="A402" s="13" t="s">
        <v>1427</v>
      </c>
      <c r="B402" s="13" t="s">
        <v>461</v>
      </c>
      <c r="C402" s="13">
        <v>162</v>
      </c>
      <c r="D402" s="13">
        <v>773</v>
      </c>
      <c r="E402" s="13">
        <f t="shared" si="6"/>
        <v>773</v>
      </c>
      <c r="F402" s="13" cm="1">
        <f t="array" ref="F402">_xlfn.IFS(
  AND(('Cooling - Compression chiller'!E402-Scenario!R402)&lt;0, (Scenario!R402-'Cooling - Compression chiller'!I402)&gt;'Appliances demand'!D402), 'Appliances demand'!D402,
  AND(('Cooling - Compression chiller'!E402-Scenario!R402)&lt;0, (Scenario!R402-'Cooling - Compression chiller'!I402)&lt;='Appliances demand'!D402), (Scenario!R402-'Cooling - Compression chiller'!I402),
  TRUE, 0
)</f>
        <v>0</v>
      </c>
    </row>
    <row r="403" spans="1:6" x14ac:dyDescent="0.25">
      <c r="A403" s="13" t="s">
        <v>1428</v>
      </c>
      <c r="B403" s="13" t="s">
        <v>462</v>
      </c>
      <c r="C403" s="13">
        <v>1073</v>
      </c>
      <c r="D403" s="13">
        <v>5110</v>
      </c>
      <c r="E403" s="13">
        <f t="shared" si="6"/>
        <v>5110</v>
      </c>
      <c r="F403" s="13" cm="1">
        <f t="array" ref="F403">_xlfn.IFS(
  AND(('Cooling - Compression chiller'!E403-Scenario!R403)&lt;0, (Scenario!R403-'Cooling - Compression chiller'!I403)&gt;'Appliances demand'!D403), 'Appliances demand'!D403,
  AND(('Cooling - Compression chiller'!E403-Scenario!R403)&lt;0, (Scenario!R403-'Cooling - Compression chiller'!I403)&lt;='Appliances demand'!D403), (Scenario!R403-'Cooling - Compression chiller'!I403),
  TRUE, 0
)</f>
        <v>0</v>
      </c>
    </row>
    <row r="404" spans="1:6" x14ac:dyDescent="0.25">
      <c r="A404" s="13" t="s">
        <v>1429</v>
      </c>
      <c r="B404" s="13" t="s">
        <v>463</v>
      </c>
      <c r="C404" s="13">
        <v>96</v>
      </c>
      <c r="D404" s="13">
        <v>458</v>
      </c>
      <c r="E404" s="13">
        <f t="shared" si="6"/>
        <v>0</v>
      </c>
      <c r="F404" s="13" cm="1">
        <f t="array" ref="F404">_xlfn.IFS(
  AND(('Cooling - Compression chiller'!E404-Scenario!R404)&lt;0, (Scenario!R404-'Cooling - Compression chiller'!I404)&gt;'Appliances demand'!D404), 'Appliances demand'!D404,
  AND(('Cooling - Compression chiller'!E404-Scenario!R404)&lt;0, (Scenario!R404-'Cooling - Compression chiller'!I404)&lt;='Appliances demand'!D404), (Scenario!R404-'Cooling - Compression chiller'!I404),
  TRUE, 0
)</f>
        <v>458</v>
      </c>
    </row>
    <row r="405" spans="1:6" x14ac:dyDescent="0.25">
      <c r="A405" s="13" t="s">
        <v>1430</v>
      </c>
      <c r="B405" s="13" t="s">
        <v>464</v>
      </c>
      <c r="C405" s="13">
        <v>507</v>
      </c>
      <c r="D405" s="13">
        <v>2410</v>
      </c>
      <c r="E405" s="13">
        <f t="shared" si="6"/>
        <v>1448.1428571428569</v>
      </c>
      <c r="F405" s="13" cm="1">
        <f t="array" ref="F405">_xlfn.IFS(
  AND(('Cooling - Compression chiller'!E405-Scenario!R405)&lt;0, (Scenario!R405-'Cooling - Compression chiller'!I405)&gt;'Appliances demand'!D405), 'Appliances demand'!D405,
  AND(('Cooling - Compression chiller'!E405-Scenario!R405)&lt;0, (Scenario!R405-'Cooling - Compression chiller'!I405)&lt;='Appliances demand'!D405), (Scenario!R405-'Cooling - Compression chiller'!I405),
  TRUE, 0
)</f>
        <v>961.85714285714312</v>
      </c>
    </row>
    <row r="406" spans="1:6" x14ac:dyDescent="0.25">
      <c r="A406" s="13" t="s">
        <v>1431</v>
      </c>
      <c r="B406" s="13" t="s">
        <v>465</v>
      </c>
      <c r="C406" s="13">
        <v>1365</v>
      </c>
      <c r="D406" s="13">
        <v>6500</v>
      </c>
      <c r="E406" s="13">
        <f t="shared" si="6"/>
        <v>6500</v>
      </c>
      <c r="F406" s="13" cm="1">
        <f t="array" ref="F406">_xlfn.IFS(
  AND(('Cooling - Compression chiller'!E406-Scenario!R406)&lt;0, (Scenario!R406-'Cooling - Compression chiller'!I406)&gt;'Appliances demand'!D406), 'Appliances demand'!D406,
  AND(('Cooling - Compression chiller'!E406-Scenario!R406)&lt;0, (Scenario!R406-'Cooling - Compression chiller'!I406)&lt;='Appliances demand'!D406), (Scenario!R406-'Cooling - Compression chiller'!I406),
  TRUE, 0
)</f>
        <v>0</v>
      </c>
    </row>
    <row r="407" spans="1:6" x14ac:dyDescent="0.25">
      <c r="A407" s="13" t="s">
        <v>1432</v>
      </c>
      <c r="B407" s="13" t="s">
        <v>466</v>
      </c>
      <c r="C407" s="13">
        <v>674</v>
      </c>
      <c r="D407" s="13">
        <v>4110</v>
      </c>
      <c r="E407" s="13">
        <f t="shared" si="6"/>
        <v>4110</v>
      </c>
      <c r="F407" s="13" cm="1">
        <f t="array" ref="F407">_xlfn.IFS(
  AND(('Cooling - Compression chiller'!E407-Scenario!R407)&lt;0, (Scenario!R407-'Cooling - Compression chiller'!I407)&gt;'Appliances demand'!D407), 'Appliances demand'!D407,
  AND(('Cooling - Compression chiller'!E407-Scenario!R407)&lt;0, (Scenario!R407-'Cooling - Compression chiller'!I407)&lt;='Appliances demand'!D407), (Scenario!R407-'Cooling - Compression chiller'!I407),
  TRUE, 0
)</f>
        <v>0</v>
      </c>
    </row>
    <row r="408" spans="1:6" x14ac:dyDescent="0.25">
      <c r="A408" s="13" t="s">
        <v>1433</v>
      </c>
      <c r="B408" s="13" t="s">
        <v>467</v>
      </c>
      <c r="C408" s="13">
        <v>187</v>
      </c>
      <c r="D408" s="13">
        <v>1140</v>
      </c>
      <c r="E408" s="13">
        <f t="shared" si="6"/>
        <v>1140</v>
      </c>
      <c r="F408" s="13" cm="1">
        <f t="array" ref="F408">_xlfn.IFS(
  AND(('Cooling - Compression chiller'!E408-Scenario!R408)&lt;0, (Scenario!R408-'Cooling - Compression chiller'!I408)&gt;'Appliances demand'!D408), 'Appliances demand'!D408,
  AND(('Cooling - Compression chiller'!E408-Scenario!R408)&lt;0, (Scenario!R408-'Cooling - Compression chiller'!I408)&lt;='Appliances demand'!D408), (Scenario!R408-'Cooling - Compression chiller'!I408),
  TRUE, 0
)</f>
        <v>0</v>
      </c>
    </row>
    <row r="409" spans="1:6" x14ac:dyDescent="0.25">
      <c r="A409" s="13" t="s">
        <v>1434</v>
      </c>
      <c r="B409" s="13" t="s">
        <v>468</v>
      </c>
      <c r="C409" s="13">
        <v>635</v>
      </c>
      <c r="D409" s="13">
        <v>3870</v>
      </c>
      <c r="E409" s="13">
        <f t="shared" si="6"/>
        <v>3870</v>
      </c>
      <c r="F409" s="13" cm="1">
        <f t="array" ref="F409">_xlfn.IFS(
  AND(('Cooling - Compression chiller'!E409-Scenario!R409)&lt;0, (Scenario!R409-'Cooling - Compression chiller'!I409)&gt;'Appliances demand'!D409), 'Appliances demand'!D409,
  AND(('Cooling - Compression chiller'!E409-Scenario!R409)&lt;0, (Scenario!R409-'Cooling - Compression chiller'!I409)&lt;='Appliances demand'!D409), (Scenario!R409-'Cooling - Compression chiller'!I409),
  TRUE, 0
)</f>
        <v>0</v>
      </c>
    </row>
    <row r="410" spans="1:6" x14ac:dyDescent="0.25">
      <c r="A410" s="13" t="s">
        <v>1435</v>
      </c>
      <c r="B410" s="13" t="s">
        <v>469</v>
      </c>
      <c r="C410" s="13">
        <v>91</v>
      </c>
      <c r="D410" s="13">
        <v>434</v>
      </c>
      <c r="E410" s="13">
        <f t="shared" si="6"/>
        <v>0</v>
      </c>
      <c r="F410" s="13" cm="1">
        <f t="array" ref="F410">_xlfn.IFS(
  AND(('Cooling - Compression chiller'!E410-Scenario!R410)&lt;0, (Scenario!R410-'Cooling - Compression chiller'!I410)&gt;'Appliances demand'!D410), 'Appliances demand'!D410,
  AND(('Cooling - Compression chiller'!E410-Scenario!R410)&lt;0, (Scenario!R410-'Cooling - Compression chiller'!I410)&lt;='Appliances demand'!D410), (Scenario!R410-'Cooling - Compression chiller'!I410),
  TRUE, 0
)</f>
        <v>434</v>
      </c>
    </row>
    <row r="411" spans="1:6" x14ac:dyDescent="0.25">
      <c r="A411" s="13" t="s">
        <v>1436</v>
      </c>
      <c r="B411" s="13" t="s">
        <v>470</v>
      </c>
      <c r="C411" s="13">
        <v>216</v>
      </c>
      <c r="D411" s="13">
        <v>1320</v>
      </c>
      <c r="E411" s="13">
        <f t="shared" si="6"/>
        <v>1320</v>
      </c>
      <c r="F411" s="13" cm="1">
        <f t="array" ref="F411">_xlfn.IFS(
  AND(('Cooling - Compression chiller'!E411-Scenario!R411)&lt;0, (Scenario!R411-'Cooling - Compression chiller'!I411)&gt;'Appliances demand'!D411), 'Appliances demand'!D411,
  AND(('Cooling - Compression chiller'!E411-Scenario!R411)&lt;0, (Scenario!R411-'Cooling - Compression chiller'!I411)&lt;='Appliances demand'!D411), (Scenario!R411-'Cooling - Compression chiller'!I411),
  TRUE, 0
)</f>
        <v>0</v>
      </c>
    </row>
    <row r="412" spans="1:6" x14ac:dyDescent="0.25">
      <c r="A412" s="13" t="s">
        <v>1437</v>
      </c>
      <c r="B412" s="13" t="s">
        <v>471</v>
      </c>
      <c r="C412" s="13">
        <v>163</v>
      </c>
      <c r="D412" s="13">
        <v>775</v>
      </c>
      <c r="E412" s="13">
        <f t="shared" si="6"/>
        <v>0</v>
      </c>
      <c r="F412" s="13" cm="1">
        <f t="array" ref="F412">_xlfn.IFS(
  AND(('Cooling - Compression chiller'!E412-Scenario!R412)&lt;0, (Scenario!R412-'Cooling - Compression chiller'!I412)&gt;'Appliances demand'!D412), 'Appliances demand'!D412,
  AND(('Cooling - Compression chiller'!E412-Scenario!R412)&lt;0, (Scenario!R412-'Cooling - Compression chiller'!I412)&lt;='Appliances demand'!D412), (Scenario!R412-'Cooling - Compression chiller'!I412),
  TRUE, 0
)</f>
        <v>775</v>
      </c>
    </row>
    <row r="413" spans="1:6" x14ac:dyDescent="0.25">
      <c r="A413" s="13" t="s">
        <v>1438</v>
      </c>
      <c r="B413" s="13" t="s">
        <v>472</v>
      </c>
      <c r="C413" s="13">
        <v>237</v>
      </c>
      <c r="D413" s="13">
        <v>1440</v>
      </c>
      <c r="E413" s="13">
        <f t="shared" si="6"/>
        <v>1440</v>
      </c>
      <c r="F413" s="13" cm="1">
        <f t="array" ref="F413">_xlfn.IFS(
  AND(('Cooling - Compression chiller'!E413-Scenario!R413)&lt;0, (Scenario!R413-'Cooling - Compression chiller'!I413)&gt;'Appliances demand'!D413), 'Appliances demand'!D413,
  AND(('Cooling - Compression chiller'!E413-Scenario!R413)&lt;0, (Scenario!R413-'Cooling - Compression chiller'!I413)&lt;='Appliances demand'!D413), (Scenario!R413-'Cooling - Compression chiller'!I413),
  TRUE, 0
)</f>
        <v>0</v>
      </c>
    </row>
    <row r="414" spans="1:6" x14ac:dyDescent="0.25">
      <c r="A414" s="13" t="s">
        <v>1439</v>
      </c>
      <c r="B414" s="13" t="s">
        <v>473</v>
      </c>
      <c r="C414" s="13">
        <v>341</v>
      </c>
      <c r="D414" s="13">
        <v>1620</v>
      </c>
      <c r="E414" s="13">
        <f t="shared" si="6"/>
        <v>172.42857142857156</v>
      </c>
      <c r="F414" s="13" cm="1">
        <f t="array" ref="F414">_xlfn.IFS(
  AND(('Cooling - Compression chiller'!E414-Scenario!R414)&lt;0, (Scenario!R414-'Cooling - Compression chiller'!I414)&gt;'Appliances demand'!D414), 'Appliances demand'!D414,
  AND(('Cooling - Compression chiller'!E414-Scenario!R414)&lt;0, (Scenario!R414-'Cooling - Compression chiller'!I414)&lt;='Appliances demand'!D414), (Scenario!R414-'Cooling - Compression chiller'!I414),
  TRUE, 0
)</f>
        <v>1447.5714285714284</v>
      </c>
    </row>
    <row r="415" spans="1:6" x14ac:dyDescent="0.25">
      <c r="A415" s="13" t="s">
        <v>1440</v>
      </c>
      <c r="B415" s="13" t="s">
        <v>474</v>
      </c>
      <c r="C415" s="13">
        <v>611</v>
      </c>
      <c r="D415" s="13">
        <v>2910</v>
      </c>
      <c r="E415" s="13">
        <f t="shared" si="6"/>
        <v>0</v>
      </c>
      <c r="F415" s="13" cm="1">
        <f t="array" ref="F415">_xlfn.IFS(
  AND(('Cooling - Compression chiller'!E415-Scenario!R415)&lt;0, (Scenario!R415-'Cooling - Compression chiller'!I415)&gt;'Appliances demand'!D415), 'Appliances demand'!D415,
  AND(('Cooling - Compression chiller'!E415-Scenario!R415)&lt;0, (Scenario!R415-'Cooling - Compression chiller'!I415)&lt;='Appliances demand'!D415), (Scenario!R415-'Cooling - Compression chiller'!I415),
  TRUE, 0
)</f>
        <v>2910</v>
      </c>
    </row>
    <row r="416" spans="1:6" x14ac:dyDescent="0.25">
      <c r="A416" s="13" t="s">
        <v>1441</v>
      </c>
      <c r="B416" s="13" t="s">
        <v>475</v>
      </c>
      <c r="C416" s="13">
        <v>150</v>
      </c>
      <c r="D416" s="13">
        <v>715</v>
      </c>
      <c r="E416" s="13">
        <f t="shared" si="6"/>
        <v>0</v>
      </c>
      <c r="F416" s="13" cm="1">
        <f t="array" ref="F416">_xlfn.IFS(
  AND(('Cooling - Compression chiller'!E416-Scenario!R416)&lt;0, (Scenario!R416-'Cooling - Compression chiller'!I416)&gt;'Appliances demand'!D416), 'Appliances demand'!D416,
  AND(('Cooling - Compression chiller'!E416-Scenario!R416)&lt;0, (Scenario!R416-'Cooling - Compression chiller'!I416)&lt;='Appliances demand'!D416), (Scenario!R416-'Cooling - Compression chiller'!I416),
  TRUE, 0
)</f>
        <v>715</v>
      </c>
    </row>
    <row r="417" spans="1:6" x14ac:dyDescent="0.25">
      <c r="A417" s="13" t="s">
        <v>1442</v>
      </c>
      <c r="B417" s="13" t="s">
        <v>476</v>
      </c>
      <c r="C417" s="13">
        <v>4595</v>
      </c>
      <c r="D417" s="13">
        <v>21900</v>
      </c>
      <c r="E417" s="13">
        <f t="shared" si="6"/>
        <v>21900</v>
      </c>
      <c r="F417" s="13" cm="1">
        <f t="array" ref="F417">_xlfn.IFS(
  AND(('Cooling - Compression chiller'!E417-Scenario!R417)&lt;0, (Scenario!R417-'Cooling - Compression chiller'!I417)&gt;'Appliances demand'!D417), 'Appliances demand'!D417,
  AND(('Cooling - Compression chiller'!E417-Scenario!R417)&lt;0, (Scenario!R417-'Cooling - Compression chiller'!I417)&lt;='Appliances demand'!D417), (Scenario!R417-'Cooling - Compression chiller'!I417),
  TRUE, 0
)</f>
        <v>0</v>
      </c>
    </row>
    <row r="418" spans="1:6" x14ac:dyDescent="0.25">
      <c r="A418" s="13" t="s">
        <v>1443</v>
      </c>
      <c r="B418" s="13" t="s">
        <v>477</v>
      </c>
      <c r="C418" s="13">
        <v>197</v>
      </c>
      <c r="D418" s="13">
        <v>8120</v>
      </c>
      <c r="E418" s="13">
        <f t="shared" si="6"/>
        <v>8120</v>
      </c>
      <c r="F418" s="13" cm="1">
        <f t="array" ref="F418">_xlfn.IFS(
  AND(('Cooling - Compression chiller'!E418-Scenario!R418)&lt;0, (Scenario!R418-'Cooling - Compression chiller'!I418)&gt;'Appliances demand'!D418), 'Appliances demand'!D418,
  AND(('Cooling - Compression chiller'!E418-Scenario!R418)&lt;0, (Scenario!R418-'Cooling - Compression chiller'!I418)&lt;='Appliances demand'!D418), (Scenario!R418-'Cooling - Compression chiller'!I418),
  TRUE, 0
)</f>
        <v>0</v>
      </c>
    </row>
    <row r="419" spans="1:6" x14ac:dyDescent="0.25">
      <c r="A419" s="13" t="s">
        <v>1444</v>
      </c>
      <c r="B419" s="13" t="s">
        <v>478</v>
      </c>
      <c r="C419" s="13">
        <v>216</v>
      </c>
      <c r="D419" s="13">
        <v>7900</v>
      </c>
      <c r="E419" s="13">
        <f t="shared" si="6"/>
        <v>7900</v>
      </c>
      <c r="F419" s="13" cm="1">
        <f t="array" ref="F419">_xlfn.IFS(
  AND(('Cooling - Compression chiller'!E419-Scenario!R419)&lt;0, (Scenario!R419-'Cooling - Compression chiller'!I419)&gt;'Appliances demand'!D419), 'Appliances demand'!D419,
  AND(('Cooling - Compression chiller'!E419-Scenario!R419)&lt;0, (Scenario!R419-'Cooling - Compression chiller'!I419)&lt;='Appliances demand'!D419), (Scenario!R419-'Cooling - Compression chiller'!I419),
  TRUE, 0
)</f>
        <v>0</v>
      </c>
    </row>
    <row r="420" spans="1:6" x14ac:dyDescent="0.25">
      <c r="A420" s="13" t="s">
        <v>1445</v>
      </c>
      <c r="B420" s="13" t="s">
        <v>479</v>
      </c>
      <c r="C420" s="13">
        <v>683</v>
      </c>
      <c r="D420" s="13">
        <v>3250</v>
      </c>
      <c r="E420" s="13">
        <f t="shared" si="6"/>
        <v>0</v>
      </c>
      <c r="F420" s="13" cm="1">
        <f t="array" ref="F420">_xlfn.IFS(
  AND(('Cooling - Compression chiller'!E420-Scenario!R420)&lt;0, (Scenario!R420-'Cooling - Compression chiller'!I420)&gt;'Appliances demand'!D420), 'Appliances demand'!D420,
  AND(('Cooling - Compression chiller'!E420-Scenario!R420)&lt;0, (Scenario!R420-'Cooling - Compression chiller'!I420)&lt;='Appliances demand'!D420), (Scenario!R420-'Cooling - Compression chiller'!I420),
  TRUE, 0
)</f>
        <v>3250</v>
      </c>
    </row>
    <row r="421" spans="1:6" x14ac:dyDescent="0.25">
      <c r="A421" s="13" t="s">
        <v>1446</v>
      </c>
      <c r="B421" s="13" t="s">
        <v>480</v>
      </c>
      <c r="C421" s="13">
        <v>691</v>
      </c>
      <c r="D421" s="13">
        <v>3290</v>
      </c>
      <c r="E421" s="13">
        <f t="shared" si="6"/>
        <v>3290</v>
      </c>
      <c r="F421" s="13" cm="1">
        <f t="array" ref="F421">_xlfn.IFS(
  AND(('Cooling - Compression chiller'!E421-Scenario!R421)&lt;0, (Scenario!R421-'Cooling - Compression chiller'!I421)&gt;'Appliances demand'!D421), 'Appliances demand'!D421,
  AND(('Cooling - Compression chiller'!E421-Scenario!R421)&lt;0, (Scenario!R421-'Cooling - Compression chiller'!I421)&lt;='Appliances demand'!D421), (Scenario!R421-'Cooling - Compression chiller'!I421),
  TRUE, 0
)</f>
        <v>0</v>
      </c>
    </row>
    <row r="422" spans="1:6" x14ac:dyDescent="0.25">
      <c r="A422" s="13" t="s">
        <v>1447</v>
      </c>
      <c r="B422" s="13" t="s">
        <v>481</v>
      </c>
      <c r="C422" s="13">
        <v>191</v>
      </c>
      <c r="D422" s="13">
        <v>908</v>
      </c>
      <c r="E422" s="13">
        <f t="shared" si="6"/>
        <v>0</v>
      </c>
      <c r="F422" s="13" cm="1">
        <f t="array" ref="F422">_xlfn.IFS(
  AND(('Cooling - Compression chiller'!E422-Scenario!R422)&lt;0, (Scenario!R422-'Cooling - Compression chiller'!I422)&gt;'Appliances demand'!D422), 'Appliances demand'!D422,
  AND(('Cooling - Compression chiller'!E422-Scenario!R422)&lt;0, (Scenario!R422-'Cooling - Compression chiller'!I422)&lt;='Appliances demand'!D422), (Scenario!R422-'Cooling - Compression chiller'!I422),
  TRUE, 0
)</f>
        <v>908</v>
      </c>
    </row>
    <row r="423" spans="1:6" x14ac:dyDescent="0.25">
      <c r="A423" s="13" t="s">
        <v>1448</v>
      </c>
      <c r="B423" s="13" t="s">
        <v>482</v>
      </c>
      <c r="C423" s="13">
        <v>99</v>
      </c>
      <c r="D423" s="13">
        <v>473</v>
      </c>
      <c r="E423" s="13">
        <f t="shared" si="6"/>
        <v>0</v>
      </c>
      <c r="F423" s="13" cm="1">
        <f t="array" ref="F423">_xlfn.IFS(
  AND(('Cooling - Compression chiller'!E423-Scenario!R423)&lt;0, (Scenario!R423-'Cooling - Compression chiller'!I423)&gt;'Appliances demand'!D423), 'Appliances demand'!D423,
  AND(('Cooling - Compression chiller'!E423-Scenario!R423)&lt;0, (Scenario!R423-'Cooling - Compression chiller'!I423)&lt;='Appliances demand'!D423), (Scenario!R423-'Cooling - Compression chiller'!I423),
  TRUE, 0
)</f>
        <v>473</v>
      </c>
    </row>
    <row r="424" spans="1:6" x14ac:dyDescent="0.25">
      <c r="A424" s="13" t="s">
        <v>1449</v>
      </c>
      <c r="B424" s="13" t="s">
        <v>483</v>
      </c>
      <c r="C424" s="13">
        <v>548</v>
      </c>
      <c r="D424" s="13">
        <v>3340</v>
      </c>
      <c r="E424" s="13">
        <f t="shared" si="6"/>
        <v>3340</v>
      </c>
      <c r="F424" s="13" cm="1">
        <f t="array" ref="F424">_xlfn.IFS(
  AND(('Cooling - Compression chiller'!E424-Scenario!R424)&lt;0, (Scenario!R424-'Cooling - Compression chiller'!I424)&gt;'Appliances demand'!D424), 'Appliances demand'!D424,
  AND(('Cooling - Compression chiller'!E424-Scenario!R424)&lt;0, (Scenario!R424-'Cooling - Compression chiller'!I424)&lt;='Appliances demand'!D424), (Scenario!R424-'Cooling - Compression chiller'!I424),
  TRUE, 0
)</f>
        <v>0</v>
      </c>
    </row>
    <row r="425" spans="1:6" x14ac:dyDescent="0.25">
      <c r="A425" s="13" t="s">
        <v>1450</v>
      </c>
      <c r="B425" s="13" t="s">
        <v>484</v>
      </c>
      <c r="C425" s="13">
        <v>1682</v>
      </c>
      <c r="D425" s="13">
        <v>8000</v>
      </c>
      <c r="E425" s="13">
        <f t="shared" si="6"/>
        <v>8000</v>
      </c>
      <c r="F425" s="13" cm="1">
        <f t="array" ref="F425">_xlfn.IFS(
  AND(('Cooling - Compression chiller'!E425-Scenario!R425)&lt;0, (Scenario!R425-'Cooling - Compression chiller'!I425)&gt;'Appliances demand'!D425), 'Appliances demand'!D425,
  AND(('Cooling - Compression chiller'!E425-Scenario!R425)&lt;0, (Scenario!R425-'Cooling - Compression chiller'!I425)&lt;='Appliances demand'!D425), (Scenario!R425-'Cooling - Compression chiller'!I425),
  TRUE, 0
)</f>
        <v>0</v>
      </c>
    </row>
    <row r="426" spans="1:6" x14ac:dyDescent="0.25">
      <c r="A426" s="13" t="s">
        <v>1451</v>
      </c>
      <c r="B426" s="13" t="s">
        <v>485</v>
      </c>
      <c r="C426" s="13">
        <v>186</v>
      </c>
      <c r="D426" s="13">
        <v>1140</v>
      </c>
      <c r="E426" s="13">
        <f t="shared" si="6"/>
        <v>1140</v>
      </c>
      <c r="F426" s="13" cm="1">
        <f t="array" ref="F426">_xlfn.IFS(
  AND(('Cooling - Compression chiller'!E426-Scenario!R426)&lt;0, (Scenario!R426-'Cooling - Compression chiller'!I426)&gt;'Appliances demand'!D426), 'Appliances demand'!D426,
  AND(('Cooling - Compression chiller'!E426-Scenario!R426)&lt;0, (Scenario!R426-'Cooling - Compression chiller'!I426)&lt;='Appliances demand'!D426), (Scenario!R426-'Cooling - Compression chiller'!I426),
  TRUE, 0
)</f>
        <v>0</v>
      </c>
    </row>
    <row r="427" spans="1:6" x14ac:dyDescent="0.25">
      <c r="A427" s="13" t="s">
        <v>1452</v>
      </c>
      <c r="B427" s="13" t="s">
        <v>486</v>
      </c>
      <c r="C427" s="13">
        <v>639</v>
      </c>
      <c r="D427" s="13">
        <v>3040</v>
      </c>
      <c r="E427" s="13">
        <f t="shared" si="6"/>
        <v>0</v>
      </c>
      <c r="F427" s="13" cm="1">
        <f t="array" ref="F427">_xlfn.IFS(
  AND(('Cooling - Compression chiller'!E427-Scenario!R427)&lt;0, (Scenario!R427-'Cooling - Compression chiller'!I427)&gt;'Appliances demand'!D427), 'Appliances demand'!D427,
  AND(('Cooling - Compression chiller'!E427-Scenario!R427)&lt;0, (Scenario!R427-'Cooling - Compression chiller'!I427)&lt;='Appliances demand'!D427), (Scenario!R427-'Cooling - Compression chiller'!I427),
  TRUE, 0
)</f>
        <v>3040</v>
      </c>
    </row>
    <row r="428" spans="1:6" x14ac:dyDescent="0.25">
      <c r="A428" s="13" t="s">
        <v>1453</v>
      </c>
      <c r="B428" s="13" t="s">
        <v>487</v>
      </c>
      <c r="C428" s="13">
        <v>181</v>
      </c>
      <c r="D428" s="13">
        <v>1100</v>
      </c>
      <c r="E428" s="13">
        <f t="shared" si="6"/>
        <v>1100</v>
      </c>
      <c r="F428" s="13" cm="1">
        <f t="array" ref="F428">_xlfn.IFS(
  AND(('Cooling - Compression chiller'!E428-Scenario!R428)&lt;0, (Scenario!R428-'Cooling - Compression chiller'!I428)&gt;'Appliances demand'!D428), 'Appliances demand'!D428,
  AND(('Cooling - Compression chiller'!E428-Scenario!R428)&lt;0, (Scenario!R428-'Cooling - Compression chiller'!I428)&lt;='Appliances demand'!D428), (Scenario!R428-'Cooling - Compression chiller'!I428),
  TRUE, 0
)</f>
        <v>0</v>
      </c>
    </row>
    <row r="429" spans="1:6" x14ac:dyDescent="0.25">
      <c r="A429" s="13" t="s">
        <v>1454</v>
      </c>
      <c r="B429" s="13" t="s">
        <v>488</v>
      </c>
      <c r="C429" s="13">
        <v>107</v>
      </c>
      <c r="D429" s="13">
        <v>651</v>
      </c>
      <c r="E429" s="13">
        <f t="shared" si="6"/>
        <v>651</v>
      </c>
      <c r="F429" s="13" cm="1">
        <f t="array" ref="F429">_xlfn.IFS(
  AND(('Cooling - Compression chiller'!E429-Scenario!R429)&lt;0, (Scenario!R429-'Cooling - Compression chiller'!I429)&gt;'Appliances demand'!D429), 'Appliances demand'!D429,
  AND(('Cooling - Compression chiller'!E429-Scenario!R429)&lt;0, (Scenario!R429-'Cooling - Compression chiller'!I429)&lt;='Appliances demand'!D429), (Scenario!R429-'Cooling - Compression chiller'!I429),
  TRUE, 0
)</f>
        <v>0</v>
      </c>
    </row>
    <row r="430" spans="1:6" x14ac:dyDescent="0.25">
      <c r="A430" s="13" t="s">
        <v>1455</v>
      </c>
      <c r="B430" s="13" t="s">
        <v>489</v>
      </c>
      <c r="C430" s="13">
        <v>415</v>
      </c>
      <c r="D430" s="13">
        <v>2530</v>
      </c>
      <c r="E430" s="13">
        <f t="shared" si="6"/>
        <v>2530</v>
      </c>
      <c r="F430" s="13" cm="1">
        <f t="array" ref="F430">_xlfn.IFS(
  AND(('Cooling - Compression chiller'!E430-Scenario!R430)&lt;0, (Scenario!R430-'Cooling - Compression chiller'!I430)&gt;'Appliances demand'!D430), 'Appliances demand'!D430,
  AND(('Cooling - Compression chiller'!E430-Scenario!R430)&lt;0, (Scenario!R430-'Cooling - Compression chiller'!I430)&lt;='Appliances demand'!D430), (Scenario!R430-'Cooling - Compression chiller'!I430),
  TRUE, 0
)</f>
        <v>0</v>
      </c>
    </row>
    <row r="431" spans="1:6" x14ac:dyDescent="0.25">
      <c r="A431" s="13" t="s">
        <v>1456</v>
      </c>
      <c r="B431" s="13" t="s">
        <v>490</v>
      </c>
      <c r="C431" s="13">
        <v>79</v>
      </c>
      <c r="D431" s="13">
        <v>482</v>
      </c>
      <c r="E431" s="13">
        <f t="shared" si="6"/>
        <v>482</v>
      </c>
      <c r="F431" s="13" cm="1">
        <f t="array" ref="F431">_xlfn.IFS(
  AND(('Cooling - Compression chiller'!E431-Scenario!R431)&lt;0, (Scenario!R431-'Cooling - Compression chiller'!I431)&gt;'Appliances demand'!D431), 'Appliances demand'!D431,
  AND(('Cooling - Compression chiller'!E431-Scenario!R431)&lt;0, (Scenario!R431-'Cooling - Compression chiller'!I431)&lt;='Appliances demand'!D431), (Scenario!R431-'Cooling - Compression chiller'!I431),
  TRUE, 0
)</f>
        <v>0</v>
      </c>
    </row>
    <row r="432" spans="1:6" x14ac:dyDescent="0.25">
      <c r="A432" s="13" t="s">
        <v>1457</v>
      </c>
      <c r="B432" s="13" t="s">
        <v>491</v>
      </c>
      <c r="C432" s="13">
        <v>901</v>
      </c>
      <c r="D432" s="13">
        <v>4290</v>
      </c>
      <c r="E432" s="13">
        <f t="shared" si="6"/>
        <v>4005.4285714285706</v>
      </c>
      <c r="F432" s="13" cm="1">
        <f t="array" ref="F432">_xlfn.IFS(
  AND(('Cooling - Compression chiller'!E432-Scenario!R432)&lt;0, (Scenario!R432-'Cooling - Compression chiller'!I432)&gt;'Appliances demand'!D432), 'Appliances demand'!D432,
  AND(('Cooling - Compression chiller'!E432-Scenario!R432)&lt;0, (Scenario!R432-'Cooling - Compression chiller'!I432)&lt;='Appliances demand'!D432), (Scenario!R432-'Cooling - Compression chiller'!I432),
  TRUE, 0
)</f>
        <v>284.57142857142935</v>
      </c>
    </row>
    <row r="433" spans="1:6" x14ac:dyDescent="0.25">
      <c r="A433" s="13" t="s">
        <v>1458</v>
      </c>
      <c r="B433" s="13" t="s">
        <v>492</v>
      </c>
      <c r="C433" s="13">
        <v>113</v>
      </c>
      <c r="D433" s="13">
        <v>690</v>
      </c>
      <c r="E433" s="13">
        <f t="shared" si="6"/>
        <v>690</v>
      </c>
      <c r="F433" s="13" cm="1">
        <f t="array" ref="F433">_xlfn.IFS(
  AND(('Cooling - Compression chiller'!E433-Scenario!R433)&lt;0, (Scenario!R433-'Cooling - Compression chiller'!I433)&gt;'Appliances demand'!D433), 'Appliances demand'!D433,
  AND(('Cooling - Compression chiller'!E433-Scenario!R433)&lt;0, (Scenario!R433-'Cooling - Compression chiller'!I433)&lt;='Appliances demand'!D433), (Scenario!R433-'Cooling - Compression chiller'!I433),
  TRUE, 0
)</f>
        <v>0</v>
      </c>
    </row>
    <row r="434" spans="1:6" x14ac:dyDescent="0.25">
      <c r="A434" s="13" t="s">
        <v>1459</v>
      </c>
      <c r="B434" s="13" t="s">
        <v>493</v>
      </c>
      <c r="C434" s="13">
        <v>278</v>
      </c>
      <c r="D434" s="13">
        <v>11500</v>
      </c>
      <c r="E434" s="13">
        <f t="shared" si="6"/>
        <v>11500</v>
      </c>
      <c r="F434" s="13" cm="1">
        <f t="array" ref="F434">_xlfn.IFS(
  AND(('Cooling - Compression chiller'!E434-Scenario!R434)&lt;0, (Scenario!R434-'Cooling - Compression chiller'!I434)&gt;'Appliances demand'!D434), 'Appliances demand'!D434,
  AND(('Cooling - Compression chiller'!E434-Scenario!R434)&lt;0, (Scenario!R434-'Cooling - Compression chiller'!I434)&lt;='Appliances demand'!D434), (Scenario!R434-'Cooling - Compression chiller'!I434),
  TRUE, 0
)</f>
        <v>0</v>
      </c>
    </row>
    <row r="435" spans="1:6" x14ac:dyDescent="0.25">
      <c r="A435" s="13" t="s">
        <v>1460</v>
      </c>
      <c r="B435" s="13" t="s">
        <v>494</v>
      </c>
      <c r="C435" s="13">
        <v>279</v>
      </c>
      <c r="D435" s="13">
        <v>1700</v>
      </c>
      <c r="E435" s="13">
        <f t="shared" si="6"/>
        <v>1700</v>
      </c>
      <c r="F435" s="13" cm="1">
        <f t="array" ref="F435">_xlfn.IFS(
  AND(('Cooling - Compression chiller'!E435-Scenario!R435)&lt;0, (Scenario!R435-'Cooling - Compression chiller'!I435)&gt;'Appliances demand'!D435), 'Appliances demand'!D435,
  AND(('Cooling - Compression chiller'!E435-Scenario!R435)&lt;0, (Scenario!R435-'Cooling - Compression chiller'!I435)&lt;='Appliances demand'!D435), (Scenario!R435-'Cooling - Compression chiller'!I435),
  TRUE, 0
)</f>
        <v>0</v>
      </c>
    </row>
    <row r="436" spans="1:6" x14ac:dyDescent="0.25">
      <c r="A436" s="13" t="s">
        <v>1461</v>
      </c>
      <c r="B436" s="13" t="s">
        <v>495</v>
      </c>
      <c r="C436" s="13">
        <v>255</v>
      </c>
      <c r="D436" s="13">
        <v>1560</v>
      </c>
      <c r="E436" s="13">
        <f t="shared" si="6"/>
        <v>1560</v>
      </c>
      <c r="F436" s="13" cm="1">
        <f t="array" ref="F436">_xlfn.IFS(
  AND(('Cooling - Compression chiller'!E436-Scenario!R436)&lt;0, (Scenario!R436-'Cooling - Compression chiller'!I436)&gt;'Appliances demand'!D436), 'Appliances demand'!D436,
  AND(('Cooling - Compression chiller'!E436-Scenario!R436)&lt;0, (Scenario!R436-'Cooling - Compression chiller'!I436)&lt;='Appliances demand'!D436), (Scenario!R436-'Cooling - Compression chiller'!I436),
  TRUE, 0
)</f>
        <v>0</v>
      </c>
    </row>
    <row r="437" spans="1:6" x14ac:dyDescent="0.25">
      <c r="A437" s="13" t="s">
        <v>1462</v>
      </c>
      <c r="B437" s="13" t="s">
        <v>496</v>
      </c>
      <c r="C437" s="13">
        <v>565</v>
      </c>
      <c r="D437" s="13">
        <v>3440</v>
      </c>
      <c r="E437" s="13">
        <f t="shared" si="6"/>
        <v>3440</v>
      </c>
      <c r="F437" s="13" cm="1">
        <f t="array" ref="F437">_xlfn.IFS(
  AND(('Cooling - Compression chiller'!E437-Scenario!R437)&lt;0, (Scenario!R437-'Cooling - Compression chiller'!I437)&gt;'Appliances demand'!D437), 'Appliances demand'!D437,
  AND(('Cooling - Compression chiller'!E437-Scenario!R437)&lt;0, (Scenario!R437-'Cooling - Compression chiller'!I437)&lt;='Appliances demand'!D437), (Scenario!R437-'Cooling - Compression chiller'!I437),
  TRUE, 0
)</f>
        <v>0</v>
      </c>
    </row>
    <row r="438" spans="1:6" x14ac:dyDescent="0.25">
      <c r="A438" s="13" t="s">
        <v>1463</v>
      </c>
      <c r="B438" s="13" t="s">
        <v>497</v>
      </c>
      <c r="C438" s="13">
        <v>114</v>
      </c>
      <c r="D438" s="13">
        <v>697</v>
      </c>
      <c r="E438" s="13">
        <f t="shared" si="6"/>
        <v>697</v>
      </c>
      <c r="F438" s="13" cm="1">
        <f t="array" ref="F438">_xlfn.IFS(
  AND(('Cooling - Compression chiller'!E438-Scenario!R438)&lt;0, (Scenario!R438-'Cooling - Compression chiller'!I438)&gt;'Appliances demand'!D438), 'Appliances demand'!D438,
  AND(('Cooling - Compression chiller'!E438-Scenario!R438)&lt;0, (Scenario!R438-'Cooling - Compression chiller'!I438)&lt;='Appliances demand'!D438), (Scenario!R438-'Cooling - Compression chiller'!I438),
  TRUE, 0
)</f>
        <v>0</v>
      </c>
    </row>
    <row r="439" spans="1:6" x14ac:dyDescent="0.25">
      <c r="A439" s="13" t="s">
        <v>1464</v>
      </c>
      <c r="B439" s="13" t="s">
        <v>498</v>
      </c>
      <c r="C439" s="13">
        <v>597</v>
      </c>
      <c r="D439" s="13">
        <v>2840</v>
      </c>
      <c r="E439" s="13">
        <f t="shared" si="6"/>
        <v>0</v>
      </c>
      <c r="F439" s="13" cm="1">
        <f t="array" ref="F439">_xlfn.IFS(
  AND(('Cooling - Compression chiller'!E439-Scenario!R439)&lt;0, (Scenario!R439-'Cooling - Compression chiller'!I439)&gt;'Appliances demand'!D439), 'Appliances demand'!D439,
  AND(('Cooling - Compression chiller'!E439-Scenario!R439)&lt;0, (Scenario!R439-'Cooling - Compression chiller'!I439)&lt;='Appliances demand'!D439), (Scenario!R439-'Cooling - Compression chiller'!I439),
  TRUE, 0
)</f>
        <v>2840</v>
      </c>
    </row>
    <row r="440" spans="1:6" x14ac:dyDescent="0.25">
      <c r="A440" s="13" t="s">
        <v>1465</v>
      </c>
      <c r="B440" s="13" t="s">
        <v>499</v>
      </c>
      <c r="C440" s="13">
        <v>89</v>
      </c>
      <c r="D440" s="13">
        <v>425</v>
      </c>
      <c r="E440" s="13">
        <f t="shared" si="6"/>
        <v>0</v>
      </c>
      <c r="F440" s="13" cm="1">
        <f t="array" ref="F440">_xlfn.IFS(
  AND(('Cooling - Compression chiller'!E440-Scenario!R440)&lt;0, (Scenario!R440-'Cooling - Compression chiller'!I440)&gt;'Appliances demand'!D440), 'Appliances demand'!D440,
  AND(('Cooling - Compression chiller'!E440-Scenario!R440)&lt;0, (Scenario!R440-'Cooling - Compression chiller'!I440)&lt;='Appliances demand'!D440), (Scenario!R440-'Cooling - Compression chiller'!I440),
  TRUE, 0
)</f>
        <v>425</v>
      </c>
    </row>
    <row r="441" spans="1:6" x14ac:dyDescent="0.25">
      <c r="A441" s="13" t="s">
        <v>1466</v>
      </c>
      <c r="B441" s="13" t="s">
        <v>500</v>
      </c>
      <c r="C441" s="13">
        <v>999</v>
      </c>
      <c r="D441" s="13">
        <v>4750</v>
      </c>
      <c r="E441" s="13">
        <f t="shared" si="6"/>
        <v>2836.8571428571431</v>
      </c>
      <c r="F441" s="13" cm="1">
        <f t="array" ref="F441">_xlfn.IFS(
  AND(('Cooling - Compression chiller'!E441-Scenario!R441)&lt;0, (Scenario!R441-'Cooling - Compression chiller'!I441)&gt;'Appliances demand'!D441), 'Appliances demand'!D441,
  AND(('Cooling - Compression chiller'!E441-Scenario!R441)&lt;0, (Scenario!R441-'Cooling - Compression chiller'!I441)&lt;='Appliances demand'!D441), (Scenario!R441-'Cooling - Compression chiller'!I441),
  TRUE, 0
)</f>
        <v>1913.1428571428569</v>
      </c>
    </row>
    <row r="442" spans="1:6" x14ac:dyDescent="0.25">
      <c r="A442" s="13" t="s">
        <v>1467</v>
      </c>
      <c r="B442" s="13" t="s">
        <v>501</v>
      </c>
      <c r="C442" s="13">
        <v>123</v>
      </c>
      <c r="D442" s="13">
        <v>750</v>
      </c>
      <c r="E442" s="13">
        <f t="shared" si="6"/>
        <v>750</v>
      </c>
      <c r="F442" s="13" cm="1">
        <f t="array" ref="F442">_xlfn.IFS(
  AND(('Cooling - Compression chiller'!E442-Scenario!R442)&lt;0, (Scenario!R442-'Cooling - Compression chiller'!I442)&gt;'Appliances demand'!D442), 'Appliances demand'!D442,
  AND(('Cooling - Compression chiller'!E442-Scenario!R442)&lt;0, (Scenario!R442-'Cooling - Compression chiller'!I442)&lt;='Appliances demand'!D442), (Scenario!R442-'Cooling - Compression chiller'!I442),
  TRUE, 0
)</f>
        <v>0</v>
      </c>
    </row>
    <row r="443" spans="1:6" x14ac:dyDescent="0.25">
      <c r="A443" s="13" t="s">
        <v>1468</v>
      </c>
      <c r="B443" s="13" t="s">
        <v>502</v>
      </c>
      <c r="C443" s="13">
        <v>472</v>
      </c>
      <c r="D443" s="13">
        <v>2880</v>
      </c>
      <c r="E443" s="13">
        <f t="shared" si="6"/>
        <v>2880</v>
      </c>
      <c r="F443" s="13" cm="1">
        <f t="array" ref="F443">_xlfn.IFS(
  AND(('Cooling - Compression chiller'!E443-Scenario!R443)&lt;0, (Scenario!R443-'Cooling - Compression chiller'!I443)&gt;'Appliances demand'!D443), 'Appliances demand'!D443,
  AND(('Cooling - Compression chiller'!E443-Scenario!R443)&lt;0, (Scenario!R443-'Cooling - Compression chiller'!I443)&lt;='Appliances demand'!D443), (Scenario!R443-'Cooling - Compression chiller'!I443),
  TRUE, 0
)</f>
        <v>0</v>
      </c>
    </row>
    <row r="444" spans="1:6" x14ac:dyDescent="0.25">
      <c r="A444" s="13" t="s">
        <v>1469</v>
      </c>
      <c r="B444" s="13" t="s">
        <v>503</v>
      </c>
      <c r="C444" s="13">
        <v>287</v>
      </c>
      <c r="D444" s="13">
        <v>1370</v>
      </c>
      <c r="E444" s="13">
        <f t="shared" si="6"/>
        <v>0</v>
      </c>
      <c r="F444" s="13" cm="1">
        <f t="array" ref="F444">_xlfn.IFS(
  AND(('Cooling - Compression chiller'!E444-Scenario!R444)&lt;0, (Scenario!R444-'Cooling - Compression chiller'!I444)&gt;'Appliances demand'!D444), 'Appliances demand'!D444,
  AND(('Cooling - Compression chiller'!E444-Scenario!R444)&lt;0, (Scenario!R444-'Cooling - Compression chiller'!I444)&lt;='Appliances demand'!D444), (Scenario!R444-'Cooling - Compression chiller'!I444),
  TRUE, 0
)</f>
        <v>1370</v>
      </c>
    </row>
    <row r="445" spans="1:6" x14ac:dyDescent="0.25">
      <c r="A445" s="13" t="s">
        <v>1470</v>
      </c>
      <c r="B445" s="13" t="s">
        <v>504</v>
      </c>
      <c r="C445" s="13">
        <v>379</v>
      </c>
      <c r="D445" s="13">
        <v>1810</v>
      </c>
      <c r="E445" s="13">
        <f t="shared" si="6"/>
        <v>0</v>
      </c>
      <c r="F445" s="13" cm="1">
        <f t="array" ref="F445">_xlfn.IFS(
  AND(('Cooling - Compression chiller'!E445-Scenario!R445)&lt;0, (Scenario!R445-'Cooling - Compression chiller'!I445)&gt;'Appliances demand'!D445), 'Appliances demand'!D445,
  AND(('Cooling - Compression chiller'!E445-Scenario!R445)&lt;0, (Scenario!R445-'Cooling - Compression chiller'!I445)&lt;='Appliances demand'!D445), (Scenario!R445-'Cooling - Compression chiller'!I445),
  TRUE, 0
)</f>
        <v>1810</v>
      </c>
    </row>
    <row r="446" spans="1:6" x14ac:dyDescent="0.25">
      <c r="A446" s="13" t="s">
        <v>1471</v>
      </c>
      <c r="B446" s="13" t="s">
        <v>505</v>
      </c>
      <c r="C446" s="13">
        <v>96</v>
      </c>
      <c r="D446" s="13">
        <v>583</v>
      </c>
      <c r="E446" s="13">
        <f t="shared" si="6"/>
        <v>583</v>
      </c>
      <c r="F446" s="13" cm="1">
        <f t="array" ref="F446">_xlfn.IFS(
  AND(('Cooling - Compression chiller'!E446-Scenario!R446)&lt;0, (Scenario!R446-'Cooling - Compression chiller'!I446)&gt;'Appliances demand'!D446), 'Appliances demand'!D446,
  AND(('Cooling - Compression chiller'!E446-Scenario!R446)&lt;0, (Scenario!R446-'Cooling - Compression chiller'!I446)&lt;='Appliances demand'!D446), (Scenario!R446-'Cooling - Compression chiller'!I446),
  TRUE, 0
)</f>
        <v>0</v>
      </c>
    </row>
    <row r="447" spans="1:6" x14ac:dyDescent="0.25">
      <c r="A447" s="13" t="s">
        <v>1472</v>
      </c>
      <c r="B447" s="13" t="s">
        <v>506</v>
      </c>
      <c r="C447" s="13">
        <v>174</v>
      </c>
      <c r="D447" s="13">
        <v>1060</v>
      </c>
      <c r="E447" s="13">
        <f t="shared" si="6"/>
        <v>1060</v>
      </c>
      <c r="F447" s="13" cm="1">
        <f t="array" ref="F447">_xlfn.IFS(
  AND(('Cooling - Compression chiller'!E447-Scenario!R447)&lt;0, (Scenario!R447-'Cooling - Compression chiller'!I447)&gt;'Appliances demand'!D447), 'Appliances demand'!D447,
  AND(('Cooling - Compression chiller'!E447-Scenario!R447)&lt;0, (Scenario!R447-'Cooling - Compression chiller'!I447)&lt;='Appliances demand'!D447), (Scenario!R447-'Cooling - Compression chiller'!I447),
  TRUE, 0
)</f>
        <v>0</v>
      </c>
    </row>
    <row r="448" spans="1:6" x14ac:dyDescent="0.25">
      <c r="A448" s="13" t="s">
        <v>1473</v>
      </c>
      <c r="B448" s="13" t="s">
        <v>507</v>
      </c>
      <c r="C448" s="13">
        <v>167</v>
      </c>
      <c r="D448" s="13">
        <v>1020</v>
      </c>
      <c r="E448" s="13">
        <f t="shared" si="6"/>
        <v>1020</v>
      </c>
      <c r="F448" s="13" cm="1">
        <f t="array" ref="F448">_xlfn.IFS(
  AND(('Cooling - Compression chiller'!E448-Scenario!R448)&lt;0, (Scenario!R448-'Cooling - Compression chiller'!I448)&gt;'Appliances demand'!D448), 'Appliances demand'!D448,
  AND(('Cooling - Compression chiller'!E448-Scenario!R448)&lt;0, (Scenario!R448-'Cooling - Compression chiller'!I448)&lt;='Appliances demand'!D448), (Scenario!R448-'Cooling - Compression chiller'!I448),
  TRUE, 0
)</f>
        <v>0</v>
      </c>
    </row>
    <row r="449" spans="1:6" x14ac:dyDescent="0.25">
      <c r="A449" s="13" t="s">
        <v>1474</v>
      </c>
      <c r="B449" s="13" t="s">
        <v>508</v>
      </c>
      <c r="C449" s="13">
        <v>191</v>
      </c>
      <c r="D449" s="13">
        <v>911</v>
      </c>
      <c r="E449" s="13">
        <f t="shared" si="6"/>
        <v>0</v>
      </c>
      <c r="F449" s="13" cm="1">
        <f t="array" ref="F449">_xlfn.IFS(
  AND(('Cooling - Compression chiller'!E449-Scenario!R449)&lt;0, (Scenario!R449-'Cooling - Compression chiller'!I449)&gt;'Appliances demand'!D449), 'Appliances demand'!D449,
  AND(('Cooling - Compression chiller'!E449-Scenario!R449)&lt;0, (Scenario!R449-'Cooling - Compression chiller'!I449)&lt;='Appliances demand'!D449), (Scenario!R449-'Cooling - Compression chiller'!I449),
  TRUE, 0
)</f>
        <v>911</v>
      </c>
    </row>
    <row r="450" spans="1:6" x14ac:dyDescent="0.25">
      <c r="A450" s="13" t="s">
        <v>1475</v>
      </c>
      <c r="B450" s="13" t="s">
        <v>509</v>
      </c>
      <c r="C450" s="13">
        <v>625</v>
      </c>
      <c r="D450" s="13">
        <v>2970</v>
      </c>
      <c r="E450" s="13">
        <f t="shared" si="6"/>
        <v>0</v>
      </c>
      <c r="F450" s="13" cm="1">
        <f t="array" ref="F450">_xlfn.IFS(
  AND(('Cooling - Compression chiller'!E450-Scenario!R450)&lt;0, (Scenario!R450-'Cooling - Compression chiller'!I450)&gt;'Appliances demand'!D450), 'Appliances demand'!D450,
  AND(('Cooling - Compression chiller'!E450-Scenario!R450)&lt;0, (Scenario!R450-'Cooling - Compression chiller'!I450)&lt;='Appliances demand'!D450), (Scenario!R450-'Cooling - Compression chiller'!I450),
  TRUE, 0
)</f>
        <v>2970</v>
      </c>
    </row>
    <row r="451" spans="1:6" x14ac:dyDescent="0.25">
      <c r="A451" s="13" t="s">
        <v>1476</v>
      </c>
      <c r="B451" s="13" t="s">
        <v>510</v>
      </c>
      <c r="C451" s="13">
        <v>1304</v>
      </c>
      <c r="D451" s="13">
        <v>7950</v>
      </c>
      <c r="E451" s="13">
        <f t="shared" ref="E451:E476" si="7">D451-F451</f>
        <v>7950</v>
      </c>
      <c r="F451" s="13" cm="1">
        <f t="array" ref="F451">_xlfn.IFS(
  AND(('Cooling - Compression chiller'!E451-Scenario!R451)&lt;0, (Scenario!R451-'Cooling - Compression chiller'!I451)&gt;'Appliances demand'!D451), 'Appliances demand'!D451,
  AND(('Cooling - Compression chiller'!E451-Scenario!R451)&lt;0, (Scenario!R451-'Cooling - Compression chiller'!I451)&lt;='Appliances demand'!D451), (Scenario!R451-'Cooling - Compression chiller'!I451),
  TRUE, 0
)</f>
        <v>0</v>
      </c>
    </row>
    <row r="452" spans="1:6" x14ac:dyDescent="0.25">
      <c r="A452" s="13" t="s">
        <v>1477</v>
      </c>
      <c r="B452" s="13" t="s">
        <v>511</v>
      </c>
      <c r="C452" s="13">
        <v>218</v>
      </c>
      <c r="D452" s="13">
        <v>1040</v>
      </c>
      <c r="E452" s="13">
        <f t="shared" si="7"/>
        <v>0</v>
      </c>
      <c r="F452" s="13" cm="1">
        <f t="array" ref="F452">_xlfn.IFS(
  AND(('Cooling - Compression chiller'!E452-Scenario!R452)&lt;0, (Scenario!R452-'Cooling - Compression chiller'!I452)&gt;'Appliances demand'!D452), 'Appliances demand'!D452,
  AND(('Cooling - Compression chiller'!E452-Scenario!R452)&lt;0, (Scenario!R452-'Cooling - Compression chiller'!I452)&lt;='Appliances demand'!D452), (Scenario!R452-'Cooling - Compression chiller'!I452),
  TRUE, 0
)</f>
        <v>1040</v>
      </c>
    </row>
    <row r="453" spans="1:6" x14ac:dyDescent="0.25">
      <c r="A453" s="13" t="s">
        <v>1478</v>
      </c>
      <c r="B453" s="13" t="s">
        <v>512</v>
      </c>
      <c r="C453" s="13">
        <v>5417</v>
      </c>
      <c r="D453" s="13">
        <v>25800</v>
      </c>
      <c r="E453" s="13">
        <f t="shared" si="7"/>
        <v>25800</v>
      </c>
      <c r="F453" s="13" cm="1">
        <f t="array" ref="F453">_xlfn.IFS(
  AND(('Cooling - Compression chiller'!E453-Scenario!R453)&lt;0, (Scenario!R453-'Cooling - Compression chiller'!I453)&gt;'Appliances demand'!D453), 'Appliances demand'!D453,
  AND(('Cooling - Compression chiller'!E453-Scenario!R453)&lt;0, (Scenario!R453-'Cooling - Compression chiller'!I453)&lt;='Appliances demand'!D453), (Scenario!R453-'Cooling - Compression chiller'!I453),
  TRUE, 0
)</f>
        <v>0</v>
      </c>
    </row>
    <row r="454" spans="1:6" x14ac:dyDescent="0.25">
      <c r="A454" s="13" t="s">
        <v>1479</v>
      </c>
      <c r="B454" s="13" t="s">
        <v>513</v>
      </c>
      <c r="C454" s="13">
        <v>832</v>
      </c>
      <c r="D454" s="13">
        <v>3960</v>
      </c>
      <c r="E454" s="13">
        <f t="shared" si="7"/>
        <v>2504</v>
      </c>
      <c r="F454" s="13" cm="1">
        <f t="array" ref="F454">_xlfn.IFS(
  AND(('Cooling - Compression chiller'!E454-Scenario!R454)&lt;0, (Scenario!R454-'Cooling - Compression chiller'!I454)&gt;'Appliances demand'!D454), 'Appliances demand'!D454,
  AND(('Cooling - Compression chiller'!E454-Scenario!R454)&lt;0, (Scenario!R454-'Cooling - Compression chiller'!I454)&lt;='Appliances demand'!D454), (Scenario!R454-'Cooling - Compression chiller'!I454),
  TRUE, 0
)</f>
        <v>1456</v>
      </c>
    </row>
    <row r="455" spans="1:6" x14ac:dyDescent="0.25">
      <c r="A455" s="13" t="s">
        <v>1480</v>
      </c>
      <c r="B455" s="13" t="s">
        <v>514</v>
      </c>
      <c r="C455" s="13">
        <v>1524</v>
      </c>
      <c r="D455" s="13">
        <v>7250</v>
      </c>
      <c r="E455" s="13">
        <f t="shared" si="7"/>
        <v>7250</v>
      </c>
      <c r="F455" s="13" cm="1">
        <f t="array" ref="F455">_xlfn.IFS(
  AND(('Cooling - Compression chiller'!E455-Scenario!R455)&lt;0, (Scenario!R455-'Cooling - Compression chiller'!I455)&gt;'Appliances demand'!D455), 'Appliances demand'!D455,
  AND(('Cooling - Compression chiller'!E455-Scenario!R455)&lt;0, (Scenario!R455-'Cooling - Compression chiller'!I455)&lt;='Appliances demand'!D455), (Scenario!R455-'Cooling - Compression chiller'!I455),
  TRUE, 0
)</f>
        <v>0</v>
      </c>
    </row>
    <row r="456" spans="1:6" x14ac:dyDescent="0.25">
      <c r="A456" s="13" t="s">
        <v>1481</v>
      </c>
      <c r="B456" s="13" t="s">
        <v>515</v>
      </c>
      <c r="C456" s="13">
        <v>853</v>
      </c>
      <c r="D456" s="13">
        <v>4060</v>
      </c>
      <c r="E456" s="13">
        <f t="shared" si="7"/>
        <v>4060</v>
      </c>
      <c r="F456" s="13" cm="1">
        <f t="array" ref="F456">_xlfn.IFS(
  AND(('Cooling - Compression chiller'!E456-Scenario!R456)&lt;0, (Scenario!R456-'Cooling - Compression chiller'!I456)&gt;'Appliances demand'!D456), 'Appliances demand'!D456,
  AND(('Cooling - Compression chiller'!E456-Scenario!R456)&lt;0, (Scenario!R456-'Cooling - Compression chiller'!I456)&lt;='Appliances demand'!D456), (Scenario!R456-'Cooling - Compression chiller'!I456),
  TRUE, 0
)</f>
        <v>0</v>
      </c>
    </row>
    <row r="457" spans="1:6" x14ac:dyDescent="0.25">
      <c r="A457" s="13" t="s">
        <v>1482</v>
      </c>
      <c r="B457" s="13" t="s">
        <v>516</v>
      </c>
      <c r="C457" s="13">
        <v>175</v>
      </c>
      <c r="D457" s="13">
        <v>832</v>
      </c>
      <c r="E457" s="13">
        <f t="shared" si="7"/>
        <v>0</v>
      </c>
      <c r="F457" s="13" cm="1">
        <f t="array" ref="F457">_xlfn.IFS(
  AND(('Cooling - Compression chiller'!E457-Scenario!R457)&lt;0, (Scenario!R457-'Cooling - Compression chiller'!I457)&gt;'Appliances demand'!D457), 'Appliances demand'!D457,
  AND(('Cooling - Compression chiller'!E457-Scenario!R457)&lt;0, (Scenario!R457-'Cooling - Compression chiller'!I457)&lt;='Appliances demand'!D457), (Scenario!R457-'Cooling - Compression chiller'!I457),
  TRUE, 0
)</f>
        <v>832</v>
      </c>
    </row>
    <row r="458" spans="1:6" x14ac:dyDescent="0.25">
      <c r="A458" s="13" t="s">
        <v>1483</v>
      </c>
      <c r="B458" s="13" t="s">
        <v>517</v>
      </c>
      <c r="C458" s="13">
        <v>1959</v>
      </c>
      <c r="D458" s="13">
        <v>9320</v>
      </c>
      <c r="E458" s="13">
        <f t="shared" si="7"/>
        <v>9320</v>
      </c>
      <c r="F458" s="13" cm="1">
        <f t="array" ref="F458">_xlfn.IFS(
  AND(('Cooling - Compression chiller'!E458-Scenario!R458)&lt;0, (Scenario!R458-'Cooling - Compression chiller'!I458)&gt;'Appliances demand'!D458), 'Appliances demand'!D458,
  AND(('Cooling - Compression chiller'!E458-Scenario!R458)&lt;0, (Scenario!R458-'Cooling - Compression chiller'!I458)&lt;='Appliances demand'!D458), (Scenario!R458-'Cooling - Compression chiller'!I458),
  TRUE, 0
)</f>
        <v>0</v>
      </c>
    </row>
    <row r="459" spans="1:6" x14ac:dyDescent="0.25">
      <c r="A459" s="13" t="s">
        <v>1484</v>
      </c>
      <c r="B459" s="13" t="s">
        <v>518</v>
      </c>
      <c r="C459" s="13">
        <v>1707</v>
      </c>
      <c r="D459" s="13">
        <v>8120</v>
      </c>
      <c r="E459" s="13">
        <f t="shared" si="7"/>
        <v>8120</v>
      </c>
      <c r="F459" s="13" cm="1">
        <f t="array" ref="F459">_xlfn.IFS(
  AND(('Cooling - Compression chiller'!E459-Scenario!R459)&lt;0, (Scenario!R459-'Cooling - Compression chiller'!I459)&gt;'Appliances demand'!D459), 'Appliances demand'!D459,
  AND(('Cooling - Compression chiller'!E459-Scenario!R459)&lt;0, (Scenario!R459-'Cooling - Compression chiller'!I459)&lt;='Appliances demand'!D459), (Scenario!R459-'Cooling - Compression chiller'!I459),
  TRUE, 0
)</f>
        <v>0</v>
      </c>
    </row>
    <row r="460" spans="1:6" x14ac:dyDescent="0.25">
      <c r="A460" s="13" t="s">
        <v>1485</v>
      </c>
      <c r="B460" s="13" t="s">
        <v>519</v>
      </c>
      <c r="C460" s="13">
        <v>889</v>
      </c>
      <c r="D460" s="13">
        <v>4230</v>
      </c>
      <c r="E460" s="13">
        <f t="shared" si="7"/>
        <v>3259.7142857142862</v>
      </c>
      <c r="F460" s="13" cm="1">
        <f t="array" ref="F460">_xlfn.IFS(
  AND(('Cooling - Compression chiller'!E460-Scenario!R460)&lt;0, (Scenario!R460-'Cooling - Compression chiller'!I460)&gt;'Appliances demand'!D460), 'Appliances demand'!D460,
  AND(('Cooling - Compression chiller'!E460-Scenario!R460)&lt;0, (Scenario!R460-'Cooling - Compression chiller'!I460)&lt;='Appliances demand'!D460), (Scenario!R460-'Cooling - Compression chiller'!I460),
  TRUE, 0
)</f>
        <v>970.28571428571377</v>
      </c>
    </row>
    <row r="461" spans="1:6" x14ac:dyDescent="0.25">
      <c r="A461" s="13" t="s">
        <v>1486</v>
      </c>
      <c r="B461" s="13" t="s">
        <v>520</v>
      </c>
      <c r="C461" s="13">
        <v>447</v>
      </c>
      <c r="D461" s="13">
        <v>2130</v>
      </c>
      <c r="E461" s="13">
        <f t="shared" si="7"/>
        <v>0</v>
      </c>
      <c r="F461" s="13" cm="1">
        <f t="array" ref="F461">_xlfn.IFS(
  AND(('Cooling - Compression chiller'!E461-Scenario!R461)&lt;0, (Scenario!R461-'Cooling - Compression chiller'!I461)&gt;'Appliances demand'!D461), 'Appliances demand'!D461,
  AND(('Cooling - Compression chiller'!E461-Scenario!R461)&lt;0, (Scenario!R461-'Cooling - Compression chiller'!I461)&lt;='Appliances demand'!D461), (Scenario!R461-'Cooling - Compression chiller'!I461),
  TRUE, 0
)</f>
        <v>2130</v>
      </c>
    </row>
    <row r="462" spans="1:6" x14ac:dyDescent="0.25">
      <c r="A462" s="13" t="s">
        <v>1487</v>
      </c>
      <c r="B462" s="13" t="s">
        <v>521</v>
      </c>
      <c r="C462" s="13">
        <v>103</v>
      </c>
      <c r="D462" s="13">
        <v>492</v>
      </c>
      <c r="E462" s="13">
        <f t="shared" si="7"/>
        <v>0</v>
      </c>
      <c r="F462" s="13" cm="1">
        <f t="array" ref="F462">_xlfn.IFS(
  AND(('Cooling - Compression chiller'!E462-Scenario!R462)&lt;0, (Scenario!R462-'Cooling - Compression chiller'!I462)&gt;'Appliances demand'!D462), 'Appliances demand'!D462,
  AND(('Cooling - Compression chiller'!E462-Scenario!R462)&lt;0, (Scenario!R462-'Cooling - Compression chiller'!I462)&lt;='Appliances demand'!D462), (Scenario!R462-'Cooling - Compression chiller'!I462),
  TRUE, 0
)</f>
        <v>492</v>
      </c>
    </row>
    <row r="463" spans="1:6" x14ac:dyDescent="0.25">
      <c r="A463" s="13" t="s">
        <v>1488</v>
      </c>
      <c r="B463" s="13" t="s">
        <v>522</v>
      </c>
      <c r="C463" s="13">
        <v>1165</v>
      </c>
      <c r="D463" s="13">
        <v>5540</v>
      </c>
      <c r="E463" s="13">
        <f t="shared" si="7"/>
        <v>5540</v>
      </c>
      <c r="F463" s="13" cm="1">
        <f t="array" ref="F463">_xlfn.IFS(
  AND(('Cooling - Compression chiller'!E463-Scenario!R463)&lt;0, (Scenario!R463-'Cooling - Compression chiller'!I463)&gt;'Appliances demand'!D463), 'Appliances demand'!D463,
  AND(('Cooling - Compression chiller'!E463-Scenario!R463)&lt;0, (Scenario!R463-'Cooling - Compression chiller'!I463)&lt;='Appliances demand'!D463), (Scenario!R463-'Cooling - Compression chiller'!I463),
  TRUE, 0
)</f>
        <v>0</v>
      </c>
    </row>
    <row r="464" spans="1:6" x14ac:dyDescent="0.25">
      <c r="A464" s="13" t="s">
        <v>1489</v>
      </c>
      <c r="B464" s="13" t="s">
        <v>523</v>
      </c>
      <c r="C464" s="13">
        <v>576</v>
      </c>
      <c r="D464" s="13">
        <v>2740</v>
      </c>
      <c r="E464" s="13">
        <f t="shared" si="7"/>
        <v>2549.5714285714284</v>
      </c>
      <c r="F464" s="13" cm="1">
        <f t="array" ref="F464">_xlfn.IFS(
  AND(('Cooling - Compression chiller'!E464-Scenario!R464)&lt;0, (Scenario!R464-'Cooling - Compression chiller'!I464)&gt;'Appliances demand'!D464), 'Appliances demand'!D464,
  AND(('Cooling - Compression chiller'!E464-Scenario!R464)&lt;0, (Scenario!R464-'Cooling - Compression chiller'!I464)&lt;='Appliances demand'!D464), (Scenario!R464-'Cooling - Compression chiller'!I464),
  TRUE, 0
)</f>
        <v>190.42857142857156</v>
      </c>
    </row>
    <row r="465" spans="1:6" x14ac:dyDescent="0.25">
      <c r="A465" s="13" t="s">
        <v>1490</v>
      </c>
      <c r="B465" s="13" t="s">
        <v>524</v>
      </c>
      <c r="C465" s="13">
        <v>555</v>
      </c>
      <c r="D465" s="13">
        <v>2640</v>
      </c>
      <c r="E465" s="13">
        <f t="shared" si="7"/>
        <v>2621</v>
      </c>
      <c r="F465" s="13" cm="1">
        <f t="array" ref="F465">_xlfn.IFS(
  AND(('Cooling - Compression chiller'!E465-Scenario!R465)&lt;0, (Scenario!R465-'Cooling - Compression chiller'!I465)&gt;'Appliances demand'!D465), 'Appliances demand'!D465,
  AND(('Cooling - Compression chiller'!E465-Scenario!R465)&lt;0, (Scenario!R465-'Cooling - Compression chiller'!I465)&lt;='Appliances demand'!D465), (Scenario!R465-'Cooling - Compression chiller'!I465),
  TRUE, 0
)</f>
        <v>19</v>
      </c>
    </row>
    <row r="466" spans="1:6" x14ac:dyDescent="0.25">
      <c r="A466" s="13" t="s">
        <v>1491</v>
      </c>
      <c r="B466" s="13" t="s">
        <v>525</v>
      </c>
      <c r="C466" s="13">
        <v>2647</v>
      </c>
      <c r="D466" s="13">
        <v>12600</v>
      </c>
      <c r="E466" s="13">
        <f t="shared" si="7"/>
        <v>12600</v>
      </c>
      <c r="F466" s="13" cm="1">
        <f t="array" ref="F466">_xlfn.IFS(
  AND(('Cooling - Compression chiller'!E466-Scenario!R466)&lt;0, (Scenario!R466-'Cooling - Compression chiller'!I466)&gt;'Appliances demand'!D466), 'Appliances demand'!D466,
  AND(('Cooling - Compression chiller'!E466-Scenario!R466)&lt;0, (Scenario!R466-'Cooling - Compression chiller'!I466)&lt;='Appliances demand'!D466), (Scenario!R466-'Cooling - Compression chiller'!I466),
  TRUE, 0
)</f>
        <v>0</v>
      </c>
    </row>
    <row r="467" spans="1:6" x14ac:dyDescent="0.25">
      <c r="A467" s="13" t="s">
        <v>1492</v>
      </c>
      <c r="B467" s="13" t="s">
        <v>526</v>
      </c>
      <c r="C467" s="13">
        <v>892</v>
      </c>
      <c r="D467" s="13">
        <v>4240</v>
      </c>
      <c r="E467" s="13">
        <f t="shared" si="7"/>
        <v>3269.7142857142862</v>
      </c>
      <c r="F467" s="13" cm="1">
        <f t="array" ref="F467">_xlfn.IFS(
  AND(('Cooling - Compression chiller'!E467-Scenario!R467)&lt;0, (Scenario!R467-'Cooling - Compression chiller'!I467)&gt;'Appliances demand'!D467), 'Appliances demand'!D467,
  AND(('Cooling - Compression chiller'!E467-Scenario!R467)&lt;0, (Scenario!R467-'Cooling - Compression chiller'!I467)&lt;='Appliances demand'!D467), (Scenario!R467-'Cooling - Compression chiller'!I467),
  TRUE, 0
)</f>
        <v>970.28571428571377</v>
      </c>
    </row>
    <row r="468" spans="1:6" x14ac:dyDescent="0.25">
      <c r="A468" s="13" t="s">
        <v>1493</v>
      </c>
      <c r="B468" s="13" t="s">
        <v>527</v>
      </c>
      <c r="C468" s="13">
        <v>535</v>
      </c>
      <c r="D468" s="13">
        <v>2550</v>
      </c>
      <c r="E468" s="13">
        <f t="shared" si="7"/>
        <v>0</v>
      </c>
      <c r="F468" s="13" cm="1">
        <f t="array" ref="F468">_xlfn.IFS(
  AND(('Cooling - Compression chiller'!E468-Scenario!R468)&lt;0, (Scenario!R468-'Cooling - Compression chiller'!I468)&gt;'Appliances demand'!D468), 'Appliances demand'!D468,
  AND(('Cooling - Compression chiller'!E468-Scenario!R468)&lt;0, (Scenario!R468-'Cooling - Compression chiller'!I468)&lt;='Appliances demand'!D468), (Scenario!R468-'Cooling - Compression chiller'!I468),
  TRUE, 0
)</f>
        <v>2550</v>
      </c>
    </row>
    <row r="469" spans="1:6" x14ac:dyDescent="0.25">
      <c r="A469" s="13" t="s">
        <v>1494</v>
      </c>
      <c r="B469" s="13" t="s">
        <v>528</v>
      </c>
      <c r="C469" s="13">
        <v>438</v>
      </c>
      <c r="D469" s="13">
        <v>2670</v>
      </c>
      <c r="E469" s="13">
        <f t="shared" si="7"/>
        <v>2670</v>
      </c>
      <c r="F469" s="13" cm="1">
        <f t="array" ref="F469">_xlfn.IFS(
  AND(('Cooling - Compression chiller'!E469-Scenario!R469)&lt;0, (Scenario!R469-'Cooling - Compression chiller'!I469)&gt;'Appliances demand'!D469), 'Appliances demand'!D469,
  AND(('Cooling - Compression chiller'!E469-Scenario!R469)&lt;0, (Scenario!R469-'Cooling - Compression chiller'!I469)&lt;='Appliances demand'!D469), (Scenario!R469-'Cooling - Compression chiller'!I469),
  TRUE, 0
)</f>
        <v>0</v>
      </c>
    </row>
    <row r="470" spans="1:6" x14ac:dyDescent="0.25">
      <c r="A470" s="13" t="s">
        <v>1495</v>
      </c>
      <c r="B470" s="13" t="s">
        <v>529</v>
      </c>
      <c r="C470" s="13">
        <v>824</v>
      </c>
      <c r="D470" s="13">
        <v>3920</v>
      </c>
      <c r="E470" s="13">
        <f t="shared" si="7"/>
        <v>3920</v>
      </c>
      <c r="F470" s="13" cm="1">
        <f t="array" ref="F470">_xlfn.IFS(
  AND(('Cooling - Compression chiller'!E470-Scenario!R470)&lt;0, (Scenario!R470-'Cooling - Compression chiller'!I470)&gt;'Appliances demand'!D470), 'Appliances demand'!D470,
  AND(('Cooling - Compression chiller'!E470-Scenario!R470)&lt;0, (Scenario!R470-'Cooling - Compression chiller'!I470)&lt;='Appliances demand'!D470), (Scenario!R470-'Cooling - Compression chiller'!I470),
  TRUE, 0
)</f>
        <v>0</v>
      </c>
    </row>
    <row r="471" spans="1:6" x14ac:dyDescent="0.25">
      <c r="A471" s="13" t="s">
        <v>1496</v>
      </c>
      <c r="B471" s="13" t="s">
        <v>530</v>
      </c>
      <c r="C471" s="13">
        <v>278</v>
      </c>
      <c r="D471" s="13">
        <v>1320</v>
      </c>
      <c r="E471" s="13">
        <f t="shared" si="7"/>
        <v>0</v>
      </c>
      <c r="F471" s="13" cm="1">
        <f t="array" ref="F471">_xlfn.IFS(
  AND(('Cooling - Compression chiller'!E471-Scenario!R471)&lt;0, (Scenario!R471-'Cooling - Compression chiller'!I471)&gt;'Appliances demand'!D471), 'Appliances demand'!D471,
  AND(('Cooling - Compression chiller'!E471-Scenario!R471)&lt;0, (Scenario!R471-'Cooling - Compression chiller'!I471)&lt;='Appliances demand'!D471), (Scenario!R471-'Cooling - Compression chiller'!I471),
  TRUE, 0
)</f>
        <v>1320</v>
      </c>
    </row>
    <row r="472" spans="1:6" x14ac:dyDescent="0.25">
      <c r="A472" s="13" t="s">
        <v>1497</v>
      </c>
      <c r="B472" s="13" t="s">
        <v>531</v>
      </c>
      <c r="C472" s="13">
        <v>874</v>
      </c>
      <c r="D472" s="13">
        <v>4160</v>
      </c>
      <c r="E472" s="13">
        <f t="shared" si="7"/>
        <v>2818.2857142857138</v>
      </c>
      <c r="F472" s="13" cm="1">
        <f t="array" ref="F472">_xlfn.IFS(
  AND(('Cooling - Compression chiller'!E472-Scenario!R472)&lt;0, (Scenario!R472-'Cooling - Compression chiller'!I472)&gt;'Appliances demand'!D472), 'Appliances demand'!D472,
  AND(('Cooling - Compression chiller'!E472-Scenario!R472)&lt;0, (Scenario!R472-'Cooling - Compression chiller'!I472)&lt;='Appliances demand'!D472), (Scenario!R472-'Cooling - Compression chiller'!I472),
  TRUE, 0
)</f>
        <v>1341.7142857142862</v>
      </c>
    </row>
    <row r="473" spans="1:6" x14ac:dyDescent="0.25">
      <c r="A473" s="13" t="s">
        <v>1498</v>
      </c>
      <c r="B473" s="13" t="s">
        <v>532</v>
      </c>
      <c r="C473" s="13">
        <v>991</v>
      </c>
      <c r="D473" s="13">
        <v>4710</v>
      </c>
      <c r="E473" s="13">
        <f t="shared" si="7"/>
        <v>4710</v>
      </c>
      <c r="F473" s="13" cm="1">
        <f t="array" ref="F473">_xlfn.IFS(
  AND(('Cooling - Compression chiller'!E473-Scenario!R473)&lt;0, (Scenario!R473-'Cooling - Compression chiller'!I473)&gt;'Appliances demand'!D473), 'Appliances demand'!D473,
  AND(('Cooling - Compression chiller'!E473-Scenario!R473)&lt;0, (Scenario!R473-'Cooling - Compression chiller'!I473)&lt;='Appliances demand'!D473), (Scenario!R473-'Cooling - Compression chiller'!I473),
  TRUE, 0
)</f>
        <v>0</v>
      </c>
    </row>
    <row r="474" spans="1:6" x14ac:dyDescent="0.25">
      <c r="A474" s="13" t="s">
        <v>1499</v>
      </c>
      <c r="B474" s="13" t="s">
        <v>533</v>
      </c>
      <c r="C474" s="13">
        <v>481</v>
      </c>
      <c r="D474" s="13">
        <v>2930</v>
      </c>
      <c r="E474" s="13">
        <f t="shared" si="7"/>
        <v>2930</v>
      </c>
      <c r="F474" s="13" cm="1">
        <f t="array" ref="F474">_xlfn.IFS(
  AND(('Cooling - Compression chiller'!E474-Scenario!R474)&lt;0, (Scenario!R474-'Cooling - Compression chiller'!I474)&gt;'Appliances demand'!D474), 'Appliances demand'!D474,
  AND(('Cooling - Compression chiller'!E474-Scenario!R474)&lt;0, (Scenario!R474-'Cooling - Compression chiller'!I474)&lt;='Appliances demand'!D474), (Scenario!R474-'Cooling - Compression chiller'!I474),
  TRUE, 0
)</f>
        <v>0</v>
      </c>
    </row>
    <row r="475" spans="1:6" x14ac:dyDescent="0.25">
      <c r="A475" s="13" t="s">
        <v>1500</v>
      </c>
      <c r="B475" s="13" t="s">
        <v>534</v>
      </c>
      <c r="C475" s="13">
        <v>4879</v>
      </c>
      <c r="D475" s="13">
        <v>29700</v>
      </c>
      <c r="E475" s="13">
        <f t="shared" si="7"/>
        <v>29700</v>
      </c>
      <c r="F475" s="13" cm="1">
        <f t="array" ref="F475">_xlfn.IFS(
  AND(('Cooling - Compression chiller'!E475-Scenario!R475)&lt;0, (Scenario!R475-'Cooling - Compression chiller'!I475)&gt;'Appliances demand'!D475), 'Appliances demand'!D475,
  AND(('Cooling - Compression chiller'!E475-Scenario!R475)&lt;0, (Scenario!R475-'Cooling - Compression chiller'!I475)&lt;='Appliances demand'!D475), (Scenario!R475-'Cooling - Compression chiller'!I475),
  TRUE, 0
)</f>
        <v>0</v>
      </c>
    </row>
    <row r="476" spans="1:6" x14ac:dyDescent="0.25">
      <c r="A476" s="13" t="s">
        <v>1501</v>
      </c>
      <c r="B476" s="13" t="s">
        <v>535</v>
      </c>
      <c r="C476" s="13">
        <v>89</v>
      </c>
      <c r="D476" s="13">
        <v>541</v>
      </c>
      <c r="E476" s="13">
        <f t="shared" si="7"/>
        <v>541</v>
      </c>
      <c r="F476" s="13" cm="1">
        <f t="array" ref="F476">_xlfn.IFS(
  AND(('Cooling - Compression chiller'!E476-Scenario!R476)&lt;0, (Scenario!R476-'Cooling - Compression chiller'!I476)&gt;'Appliances demand'!D476), 'Appliances demand'!D476,
  AND(('Cooling - Compression chiller'!E476-Scenario!R476)&lt;0, (Scenario!R476-'Cooling - Compression chiller'!I476)&lt;='Appliances demand'!D476), (Scenario!R476-'Cooling - Compression chiller'!I476),
  TRUE, 0
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99BC39A92A5054A91E7110C3163003E" ma:contentTypeVersion="17" ma:contentTypeDescription="Creare un nuovo documento." ma:contentTypeScope="" ma:versionID="eb67ed34d3486f6789c962ac5dac0f51">
  <xsd:schema xmlns:xsd="http://www.w3.org/2001/XMLSchema" xmlns:xs="http://www.w3.org/2001/XMLSchema" xmlns:p="http://schemas.microsoft.com/office/2006/metadata/properties" xmlns:ns2="9f5fad6e-ef09-40f7-9d86-d453df335b7b" xmlns:ns3="c319d79e-6821-4c2a-8db8-88a02643e5e3" targetNamespace="http://schemas.microsoft.com/office/2006/metadata/properties" ma:root="true" ma:fieldsID="4af8d01f9a62a1cc06a55fa3d0ce32aa" ns2:_="" ns3:_="">
    <xsd:import namespace="9f5fad6e-ef09-40f7-9d86-d453df335b7b"/>
    <xsd:import namespace="c319d79e-6821-4c2a-8db8-88a02643e5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5fad6e-ef09-40f7-9d86-d453df335b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Tag immagine" ma:readOnly="false" ma:fieldId="{5cf76f15-5ced-4ddc-b409-7134ff3c332f}" ma:taxonomyMulti="true" ma:sspId="62691f12-1220-44b1-ba48-e77f64da29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9d79e-6821-4c2a-8db8-88a02643e5e3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d33088f5-1065-42d3-bd54-93f61e303421}" ma:internalName="TaxCatchAll" ma:showField="CatchAllData" ma:web="c319d79e-6821-4c2a-8db8-88a02643e5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319d79e-6821-4c2a-8db8-88a02643e5e3" xsi:nil="true"/>
    <lcf76f155ced4ddcb4097134ff3c332f xmlns="9f5fad6e-ef09-40f7-9d86-d453df335b7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8BB9C8-B25F-4BFF-B478-B9BE76819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5fad6e-ef09-40f7-9d86-d453df335b7b"/>
    <ds:schemaRef ds:uri="c319d79e-6821-4c2a-8db8-88a02643e5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2B9794-62C5-4AF4-A4B9-535C89F7391B}">
  <ds:schemaRefs>
    <ds:schemaRef ds:uri="9f5fad6e-ef09-40f7-9d86-d453df335b7b"/>
    <ds:schemaRef ds:uri="http://purl.org/dc/dcmitype/"/>
    <ds:schemaRef ds:uri="http://purl.org/dc/terms/"/>
    <ds:schemaRef ds:uri="c319d79e-6821-4c2a-8db8-88a02643e5e3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9F07D9E-B4D6-46D3-9D98-316FDFFBCA4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Scenario</vt:lpstr>
      <vt:lpstr>generatorsConfig</vt:lpstr>
      <vt:lpstr>Boiler</vt:lpstr>
      <vt:lpstr>Electric Heat Pump</vt:lpstr>
      <vt:lpstr>Cooling - Compression chiller</vt:lpstr>
      <vt:lpstr>Appliances demand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Autelitano</dc:creator>
  <cp:keywords/>
  <dc:description/>
  <cp:lastModifiedBy>Saverio De Franceschi</cp:lastModifiedBy>
  <cp:revision/>
  <cp:lastPrinted>2024-11-26T09:35:16Z</cp:lastPrinted>
  <dcterms:created xsi:type="dcterms:W3CDTF">2024-06-07T09:07:33Z</dcterms:created>
  <dcterms:modified xsi:type="dcterms:W3CDTF">2026-08-31T10:45:19Z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0x010100199BC39A92A5054A91E7110C3163003E</vt:lpwstr>
  </property>
  <property fmtid="{D5CDD505-2E9C-101B-9397-08002B2CF9AE}" pid="3" name="MediaServiceImageTags">
    <vt:lpwstr/>
  </property>
</Properties>
</file>