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Saverio_admin\Documents\NEST_py\"/>
    </mc:Choice>
  </mc:AlternateContent>
  <xr:revisionPtr revIDLastSave="0" documentId="13_ncr:1_{064F601E-C585-462E-B7D8-52D20A9C80CF}" xr6:coauthVersionLast="47" xr6:coauthVersionMax="47" xr10:uidLastSave="{00000000-0000-0000-0000-000000000000}"/>
  <bookViews>
    <workbookView xWindow="-108" yWindow="-108" windowWidth="23256" windowHeight="12456" tabRatio="869" activeTab="4" xr2:uid="{76F53ECF-AA71-4DC4-BA4C-113A788921EA}"/>
  </bookViews>
  <sheets>
    <sheet name="Scenario" sheetId="71" r:id="rId1"/>
    <sheet name="generatorsConfig" sheetId="42" r:id="rId2"/>
    <sheet name="Boiler" sheetId="72" r:id="rId3"/>
    <sheet name="Cooling - Compression chiller" sheetId="73" r:id="rId4"/>
    <sheet name="Appliances demand" sheetId="74" r:id="rId5"/>
  </sheets>
  <definedNames>
    <definedName name="_xlnm._FilterDatabase" localSheetId="0" hidden="1">Scenario!$S$1:$T$301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1" i="74" l="1"/>
  <c r="E300" i="74"/>
  <c r="E299" i="74"/>
  <c r="E298" i="74"/>
  <c r="E297" i="74"/>
  <c r="E296" i="74"/>
  <c r="E295" i="74"/>
  <c r="E294" i="74"/>
  <c r="E293" i="74"/>
  <c r="E292" i="74"/>
  <c r="E291" i="74"/>
  <c r="E290" i="74"/>
  <c r="E289" i="74"/>
  <c r="E288" i="74"/>
  <c r="E287" i="74"/>
  <c r="E286" i="74"/>
  <c r="E285" i="74"/>
  <c r="E284" i="74"/>
  <c r="E283" i="74"/>
  <c r="E282" i="74"/>
  <c r="E281" i="74"/>
  <c r="E280" i="74"/>
  <c r="E279" i="74"/>
  <c r="E278" i="74"/>
  <c r="E277" i="74"/>
  <c r="E276" i="74"/>
  <c r="E275" i="74"/>
  <c r="E274" i="74"/>
  <c r="E273" i="74"/>
  <c r="E272" i="74"/>
  <c r="E271" i="74"/>
  <c r="E270" i="74"/>
  <c r="E269" i="74"/>
  <c r="E268" i="74"/>
  <c r="E267" i="74"/>
  <c r="E266" i="74"/>
  <c r="E265" i="74"/>
  <c r="E264" i="74"/>
  <c r="E263" i="74"/>
  <c r="E262" i="74"/>
  <c r="E261" i="74"/>
  <c r="E260" i="74"/>
  <c r="E259" i="74"/>
  <c r="E258" i="74"/>
  <c r="E257" i="74"/>
  <c r="E256" i="74"/>
  <c r="E255" i="74"/>
  <c r="E254" i="74"/>
  <c r="E253" i="74"/>
  <c r="E252" i="74"/>
  <c r="E251" i="74"/>
  <c r="E250" i="74"/>
  <c r="E249" i="74"/>
  <c r="E248" i="74"/>
  <c r="E247" i="74"/>
  <c r="E246" i="74"/>
  <c r="E245" i="74"/>
  <c r="E244" i="74"/>
  <c r="E243" i="74"/>
  <c r="E242" i="74"/>
  <c r="E241" i="74"/>
  <c r="E240" i="74"/>
  <c r="E239" i="74"/>
  <c r="E238" i="74"/>
  <c r="E237" i="74"/>
  <c r="E236" i="74"/>
  <c r="E235" i="74"/>
  <c r="E234" i="74"/>
  <c r="E233" i="74"/>
  <c r="E232" i="74"/>
  <c r="E231" i="74"/>
  <c r="E230" i="74"/>
  <c r="E229" i="74"/>
  <c r="E228" i="74"/>
  <c r="E227" i="74"/>
  <c r="E226" i="74"/>
  <c r="E225" i="74"/>
  <c r="E224" i="74"/>
  <c r="E223" i="74"/>
  <c r="E222" i="74"/>
  <c r="E221" i="74"/>
  <c r="E220" i="74"/>
  <c r="E219" i="74"/>
  <c r="E218" i="74"/>
  <c r="E217" i="74"/>
  <c r="E216" i="74"/>
  <c r="E215" i="74"/>
  <c r="E214" i="74"/>
  <c r="E213" i="74"/>
  <c r="E212" i="74"/>
  <c r="E211" i="74"/>
  <c r="E210" i="74"/>
  <c r="E209" i="74"/>
  <c r="E208" i="74"/>
  <c r="E207" i="74"/>
  <c r="E206" i="74"/>
  <c r="E205" i="74"/>
  <c r="E204" i="74"/>
  <c r="E203" i="74"/>
  <c r="E202" i="74"/>
  <c r="E201" i="74"/>
  <c r="E200" i="74"/>
  <c r="E199" i="74"/>
  <c r="E198" i="74"/>
  <c r="E197" i="74"/>
  <c r="E196" i="74"/>
  <c r="E195" i="74"/>
  <c r="E194" i="74"/>
  <c r="E193" i="74"/>
  <c r="E192" i="74"/>
  <c r="E191" i="74"/>
  <c r="E190" i="74"/>
  <c r="E189" i="74"/>
  <c r="E188" i="74"/>
  <c r="E187" i="74"/>
  <c r="E186" i="74"/>
  <c r="E185" i="74"/>
  <c r="E184" i="74"/>
  <c r="E183" i="74"/>
  <c r="E182" i="74"/>
  <c r="E181" i="74"/>
  <c r="E180" i="74"/>
  <c r="E179" i="74"/>
  <c r="E178" i="74"/>
  <c r="E177" i="74"/>
  <c r="E176" i="74"/>
  <c r="E175" i="74"/>
  <c r="E174" i="74"/>
  <c r="E173" i="74"/>
  <c r="E172" i="74"/>
  <c r="E171" i="74"/>
  <c r="E170" i="74"/>
  <c r="E169" i="74"/>
  <c r="E168" i="74"/>
  <c r="E167" i="74"/>
  <c r="E166" i="74"/>
  <c r="E165" i="74"/>
  <c r="E164" i="74"/>
  <c r="E163" i="74"/>
  <c r="E162" i="74"/>
  <c r="E161" i="74"/>
  <c r="E160" i="74"/>
  <c r="E159" i="74"/>
  <c r="E158" i="74"/>
  <c r="E157" i="74"/>
  <c r="E156" i="74"/>
  <c r="E155" i="74"/>
  <c r="E154" i="74"/>
  <c r="E153" i="74"/>
  <c r="E152" i="74"/>
  <c r="E151" i="74"/>
  <c r="E150" i="74"/>
  <c r="E149" i="74"/>
  <c r="E148" i="74"/>
  <c r="E147" i="74"/>
  <c r="E146" i="74"/>
  <c r="E145" i="74"/>
  <c r="E144" i="74"/>
  <c r="E143" i="74"/>
  <c r="E142" i="74"/>
  <c r="E141" i="74"/>
  <c r="E140" i="74"/>
  <c r="E139" i="74"/>
  <c r="E138" i="74"/>
  <c r="E137" i="74"/>
  <c r="E136" i="74"/>
  <c r="E135" i="74"/>
  <c r="E134" i="74"/>
  <c r="E133" i="74"/>
  <c r="E132" i="74"/>
  <c r="E131" i="74"/>
  <c r="E130" i="74"/>
  <c r="E129" i="74"/>
  <c r="E128" i="74"/>
  <c r="E127" i="74"/>
  <c r="E126" i="74"/>
  <c r="E125" i="74"/>
  <c r="E124" i="74"/>
  <c r="E123" i="74"/>
  <c r="E122" i="74"/>
  <c r="E121" i="74"/>
  <c r="E120" i="74"/>
  <c r="E119" i="74"/>
  <c r="E118" i="74"/>
  <c r="E117" i="74"/>
  <c r="E116" i="74"/>
  <c r="E115" i="74"/>
  <c r="E114" i="74"/>
  <c r="E113" i="74"/>
  <c r="E112" i="74"/>
  <c r="E111" i="74"/>
  <c r="E110" i="74"/>
  <c r="E109" i="74"/>
  <c r="E108" i="74"/>
  <c r="E107" i="74"/>
  <c r="E106" i="74"/>
  <c r="E105" i="74"/>
  <c r="E104" i="74"/>
  <c r="E103" i="74"/>
  <c r="E102" i="74"/>
  <c r="E101" i="74"/>
  <c r="E100" i="74"/>
  <c r="E99" i="74"/>
  <c r="E98" i="74"/>
  <c r="E97" i="74"/>
  <c r="E96" i="74"/>
  <c r="E95" i="74"/>
  <c r="E94" i="74"/>
  <c r="E93" i="74"/>
  <c r="E92" i="74"/>
  <c r="E91" i="74"/>
  <c r="E90" i="74"/>
  <c r="E89" i="74"/>
  <c r="E88" i="74"/>
  <c r="E87" i="74"/>
  <c r="E86" i="74"/>
  <c r="E85" i="74"/>
  <c r="E84" i="74"/>
  <c r="E83" i="74"/>
  <c r="E82" i="74"/>
  <c r="E81" i="74"/>
  <c r="E80" i="74"/>
  <c r="E79" i="74"/>
  <c r="E78" i="74"/>
  <c r="E77" i="74"/>
  <c r="E76" i="74"/>
  <c r="E75" i="74"/>
  <c r="E74" i="74"/>
  <c r="E73" i="74"/>
  <c r="E72" i="74"/>
  <c r="E71" i="74"/>
  <c r="E70" i="74"/>
  <c r="E69" i="74"/>
  <c r="E68" i="74"/>
  <c r="E67" i="74"/>
  <c r="E66" i="74"/>
  <c r="E65" i="74"/>
  <c r="E64" i="74"/>
  <c r="E63" i="74"/>
  <c r="E62" i="74"/>
  <c r="E61" i="74"/>
  <c r="E60" i="74"/>
  <c r="E59" i="74"/>
  <c r="E58" i="74"/>
  <c r="E57" i="74"/>
  <c r="E56" i="74"/>
  <c r="E55" i="74"/>
  <c r="E54" i="74"/>
  <c r="E53" i="74"/>
  <c r="E52" i="74"/>
  <c r="E51" i="74"/>
  <c r="E50" i="74"/>
  <c r="E49" i="74"/>
  <c r="E48" i="74"/>
  <c r="E47" i="74"/>
  <c r="E46" i="74"/>
  <c r="E45" i="74"/>
  <c r="E44" i="74"/>
  <c r="E43" i="74"/>
  <c r="E42" i="74"/>
  <c r="E41" i="74"/>
  <c r="E40" i="74"/>
  <c r="E39" i="74"/>
  <c r="E38" i="74"/>
  <c r="E37" i="74"/>
  <c r="E36" i="74"/>
  <c r="E35" i="74"/>
  <c r="E34" i="74"/>
  <c r="E33" i="74"/>
  <c r="E32" i="74"/>
  <c r="E31" i="74"/>
  <c r="E30" i="74"/>
  <c r="E29" i="74"/>
  <c r="E28" i="74"/>
  <c r="E27" i="74"/>
  <c r="E26" i="74"/>
  <c r="E25" i="74"/>
  <c r="E24" i="74"/>
  <c r="E23" i="74"/>
  <c r="E22" i="74"/>
  <c r="E21" i="74"/>
  <c r="E20" i="74"/>
  <c r="E19" i="74"/>
  <c r="E18" i="74"/>
  <c r="E17" i="74"/>
  <c r="E16" i="74"/>
  <c r="E15" i="74"/>
  <c r="E14" i="74"/>
  <c r="E13" i="74"/>
  <c r="E12" i="74"/>
  <c r="E11" i="74"/>
  <c r="E10" i="74"/>
  <c r="E9" i="74"/>
  <c r="E8" i="74"/>
  <c r="E7" i="74"/>
  <c r="E6" i="74"/>
  <c r="E5" i="74"/>
  <c r="E4" i="74"/>
  <c r="E3" i="74"/>
  <c r="E2" i="74"/>
  <c r="H301" i="73"/>
  <c r="E301" i="73"/>
  <c r="H300" i="73"/>
  <c r="E300" i="73"/>
  <c r="H299" i="73"/>
  <c r="E299" i="73"/>
  <c r="H298" i="73"/>
  <c r="E298" i="73"/>
  <c r="H297" i="73"/>
  <c r="E297" i="73"/>
  <c r="H296" i="73"/>
  <c r="E296" i="73"/>
  <c r="H295" i="73"/>
  <c r="E295" i="73"/>
  <c r="H294" i="73"/>
  <c r="E294" i="73"/>
  <c r="H293" i="73"/>
  <c r="E293" i="73"/>
  <c r="H292" i="73"/>
  <c r="E292" i="73"/>
  <c r="H291" i="73"/>
  <c r="E291" i="73"/>
  <c r="H290" i="73"/>
  <c r="E290" i="73"/>
  <c r="H289" i="73"/>
  <c r="E289" i="73"/>
  <c r="H288" i="73"/>
  <c r="E288" i="73"/>
  <c r="H287" i="73"/>
  <c r="E287" i="73"/>
  <c r="H286" i="73"/>
  <c r="E286" i="73"/>
  <c r="H285" i="73"/>
  <c r="E285" i="73"/>
  <c r="H284" i="73"/>
  <c r="E284" i="73"/>
  <c r="H283" i="73"/>
  <c r="E283" i="73"/>
  <c r="H282" i="73"/>
  <c r="E282" i="73"/>
  <c r="H281" i="73"/>
  <c r="E281" i="73"/>
  <c r="H280" i="73"/>
  <c r="E280" i="73"/>
  <c r="H279" i="73"/>
  <c r="E279" i="73"/>
  <c r="H278" i="73"/>
  <c r="E278" i="73"/>
  <c r="H277" i="73"/>
  <c r="E277" i="73"/>
  <c r="H276" i="73"/>
  <c r="E276" i="73"/>
  <c r="H275" i="73"/>
  <c r="E275" i="73"/>
  <c r="H274" i="73"/>
  <c r="E274" i="73"/>
  <c r="H273" i="73"/>
  <c r="E273" i="73"/>
  <c r="H272" i="73"/>
  <c r="E272" i="73"/>
  <c r="H271" i="73"/>
  <c r="E271" i="73"/>
  <c r="H270" i="73"/>
  <c r="E270" i="73"/>
  <c r="H269" i="73"/>
  <c r="E269" i="73"/>
  <c r="H268" i="73"/>
  <c r="E268" i="73"/>
  <c r="H267" i="73"/>
  <c r="E267" i="73"/>
  <c r="H266" i="73"/>
  <c r="E266" i="73"/>
  <c r="H265" i="73"/>
  <c r="E265" i="73"/>
  <c r="H264" i="73"/>
  <c r="E264" i="73"/>
  <c r="H263" i="73"/>
  <c r="E263" i="73"/>
  <c r="H262" i="73"/>
  <c r="E262" i="73"/>
  <c r="H261" i="73"/>
  <c r="E261" i="73"/>
  <c r="H260" i="73"/>
  <c r="E260" i="73"/>
  <c r="H259" i="73"/>
  <c r="E259" i="73"/>
  <c r="H258" i="73"/>
  <c r="E258" i="73"/>
  <c r="H257" i="73"/>
  <c r="E257" i="73"/>
  <c r="H256" i="73"/>
  <c r="E256" i="73"/>
  <c r="H255" i="73"/>
  <c r="E255" i="73"/>
  <c r="H254" i="73"/>
  <c r="E254" i="73"/>
  <c r="H253" i="73"/>
  <c r="E253" i="73"/>
  <c r="H252" i="73"/>
  <c r="E252" i="73"/>
  <c r="H251" i="73"/>
  <c r="E251" i="73"/>
  <c r="H250" i="73"/>
  <c r="E250" i="73"/>
  <c r="H249" i="73"/>
  <c r="E249" i="73"/>
  <c r="H248" i="73"/>
  <c r="E248" i="73"/>
  <c r="H247" i="73"/>
  <c r="E247" i="73"/>
  <c r="H246" i="73"/>
  <c r="E246" i="73"/>
  <c r="H245" i="73"/>
  <c r="E245" i="73"/>
  <c r="H244" i="73"/>
  <c r="E244" i="73"/>
  <c r="H243" i="73"/>
  <c r="E243" i="73"/>
  <c r="H242" i="73"/>
  <c r="E242" i="73"/>
  <c r="H241" i="73"/>
  <c r="E241" i="73"/>
  <c r="H240" i="73"/>
  <c r="E240" i="73"/>
  <c r="H239" i="73"/>
  <c r="E239" i="73"/>
  <c r="H238" i="73"/>
  <c r="E238" i="73"/>
  <c r="H237" i="73"/>
  <c r="E237" i="73"/>
  <c r="H236" i="73"/>
  <c r="E236" i="73"/>
  <c r="H235" i="73"/>
  <c r="E235" i="73"/>
  <c r="H234" i="73"/>
  <c r="E234" i="73"/>
  <c r="H233" i="73"/>
  <c r="E233" i="73"/>
  <c r="H232" i="73"/>
  <c r="E232" i="73"/>
  <c r="H231" i="73"/>
  <c r="E231" i="73"/>
  <c r="H230" i="73"/>
  <c r="E230" i="73"/>
  <c r="H229" i="73"/>
  <c r="E229" i="73"/>
  <c r="H228" i="73"/>
  <c r="E228" i="73"/>
  <c r="H227" i="73"/>
  <c r="E227" i="73"/>
  <c r="H226" i="73"/>
  <c r="E226" i="73"/>
  <c r="H225" i="73"/>
  <c r="E225" i="73"/>
  <c r="H224" i="73"/>
  <c r="E224" i="73"/>
  <c r="H223" i="73"/>
  <c r="E223" i="73"/>
  <c r="H222" i="73"/>
  <c r="E222" i="73"/>
  <c r="H221" i="73"/>
  <c r="E221" i="73"/>
  <c r="H220" i="73"/>
  <c r="E220" i="73"/>
  <c r="H219" i="73"/>
  <c r="E219" i="73"/>
  <c r="H218" i="73"/>
  <c r="E218" i="73"/>
  <c r="H217" i="73"/>
  <c r="E217" i="73"/>
  <c r="H216" i="73"/>
  <c r="E216" i="73"/>
  <c r="H215" i="73"/>
  <c r="E215" i="73"/>
  <c r="H214" i="73"/>
  <c r="E214" i="73"/>
  <c r="H213" i="73"/>
  <c r="E213" i="73"/>
  <c r="H212" i="73"/>
  <c r="E212" i="73"/>
  <c r="H211" i="73"/>
  <c r="E211" i="73"/>
  <c r="H210" i="73"/>
  <c r="E210" i="73"/>
  <c r="H209" i="73"/>
  <c r="E209" i="73"/>
  <c r="H208" i="73"/>
  <c r="E208" i="73"/>
  <c r="H207" i="73"/>
  <c r="E207" i="73"/>
  <c r="H206" i="73"/>
  <c r="E206" i="73"/>
  <c r="H205" i="73"/>
  <c r="E205" i="73"/>
  <c r="H204" i="73"/>
  <c r="E204" i="73"/>
  <c r="H203" i="73"/>
  <c r="E203" i="73"/>
  <c r="H202" i="73"/>
  <c r="E202" i="73"/>
  <c r="H201" i="73"/>
  <c r="E201" i="73"/>
  <c r="H200" i="73"/>
  <c r="E200" i="73"/>
  <c r="H199" i="73"/>
  <c r="E199" i="73"/>
  <c r="H198" i="73"/>
  <c r="E198" i="73"/>
  <c r="H197" i="73"/>
  <c r="E197" i="73"/>
  <c r="H196" i="73"/>
  <c r="E196" i="73"/>
  <c r="H195" i="73"/>
  <c r="E195" i="73"/>
  <c r="H194" i="73"/>
  <c r="E194" i="73"/>
  <c r="H193" i="73"/>
  <c r="E193" i="73"/>
  <c r="H192" i="73"/>
  <c r="E192" i="73"/>
  <c r="H191" i="73"/>
  <c r="E191" i="73"/>
  <c r="H190" i="73"/>
  <c r="E190" i="73"/>
  <c r="H189" i="73"/>
  <c r="E189" i="73"/>
  <c r="H188" i="73"/>
  <c r="E188" i="73"/>
  <c r="H187" i="73"/>
  <c r="E187" i="73"/>
  <c r="H186" i="73"/>
  <c r="E186" i="73"/>
  <c r="H185" i="73"/>
  <c r="E185" i="73"/>
  <c r="H184" i="73"/>
  <c r="E184" i="73"/>
  <c r="H183" i="73"/>
  <c r="E183" i="73"/>
  <c r="H182" i="73"/>
  <c r="E182" i="73"/>
  <c r="H181" i="73"/>
  <c r="E181" i="73"/>
  <c r="H180" i="73"/>
  <c r="E180" i="73"/>
  <c r="H179" i="73"/>
  <c r="E179" i="73"/>
  <c r="H178" i="73"/>
  <c r="E178" i="73"/>
  <c r="H177" i="73"/>
  <c r="E177" i="73"/>
  <c r="H176" i="73"/>
  <c r="E176" i="73"/>
  <c r="H175" i="73"/>
  <c r="E175" i="73"/>
  <c r="H174" i="73"/>
  <c r="E174" i="73"/>
  <c r="H173" i="73"/>
  <c r="E173" i="73"/>
  <c r="H172" i="73"/>
  <c r="E172" i="73"/>
  <c r="H171" i="73"/>
  <c r="E171" i="73"/>
  <c r="H170" i="73"/>
  <c r="E170" i="73"/>
  <c r="H169" i="73"/>
  <c r="E169" i="73"/>
  <c r="H168" i="73"/>
  <c r="E168" i="73"/>
  <c r="H167" i="73"/>
  <c r="E167" i="73"/>
  <c r="H166" i="73"/>
  <c r="E166" i="73"/>
  <c r="H165" i="73"/>
  <c r="E165" i="73"/>
  <c r="H164" i="73"/>
  <c r="E164" i="73"/>
  <c r="H163" i="73"/>
  <c r="E163" i="73"/>
  <c r="H162" i="73"/>
  <c r="E162" i="73"/>
  <c r="H161" i="73"/>
  <c r="E161" i="73"/>
  <c r="H160" i="73"/>
  <c r="E160" i="73"/>
  <c r="H159" i="73"/>
  <c r="E159" i="73"/>
  <c r="H158" i="73"/>
  <c r="E158" i="73"/>
  <c r="H157" i="73"/>
  <c r="E157" i="73"/>
  <c r="H156" i="73"/>
  <c r="E156" i="73"/>
  <c r="H155" i="73"/>
  <c r="E155" i="73"/>
  <c r="H154" i="73"/>
  <c r="E154" i="73"/>
  <c r="H153" i="73"/>
  <c r="E153" i="73"/>
  <c r="H152" i="73"/>
  <c r="E152" i="73"/>
  <c r="H151" i="73"/>
  <c r="E151" i="73"/>
  <c r="H150" i="73"/>
  <c r="E150" i="73"/>
  <c r="H149" i="73"/>
  <c r="E149" i="73"/>
  <c r="H148" i="73"/>
  <c r="E148" i="73"/>
  <c r="H147" i="73"/>
  <c r="E147" i="73"/>
  <c r="H146" i="73"/>
  <c r="E146" i="73"/>
  <c r="H145" i="73"/>
  <c r="E145" i="73"/>
  <c r="H144" i="73"/>
  <c r="E144" i="73"/>
  <c r="H143" i="73"/>
  <c r="E143" i="73"/>
  <c r="H142" i="73"/>
  <c r="E142" i="73"/>
  <c r="H141" i="73"/>
  <c r="E141" i="73"/>
  <c r="H140" i="73"/>
  <c r="E140" i="73"/>
  <c r="H139" i="73"/>
  <c r="E139" i="73"/>
  <c r="H138" i="73"/>
  <c r="E138" i="73"/>
  <c r="H137" i="73"/>
  <c r="E137" i="73"/>
  <c r="H136" i="73"/>
  <c r="E136" i="73"/>
  <c r="H135" i="73"/>
  <c r="E135" i="73"/>
  <c r="H134" i="73"/>
  <c r="E134" i="73"/>
  <c r="H133" i="73"/>
  <c r="E133" i="73"/>
  <c r="H132" i="73"/>
  <c r="E132" i="73"/>
  <c r="H131" i="73"/>
  <c r="E131" i="73"/>
  <c r="H130" i="73"/>
  <c r="E130" i="73"/>
  <c r="H129" i="73"/>
  <c r="E129" i="73"/>
  <c r="H128" i="73"/>
  <c r="E128" i="73"/>
  <c r="H127" i="73"/>
  <c r="E127" i="73"/>
  <c r="H126" i="73"/>
  <c r="E126" i="73"/>
  <c r="H125" i="73"/>
  <c r="E125" i="73"/>
  <c r="H124" i="73"/>
  <c r="E124" i="73"/>
  <c r="H123" i="73"/>
  <c r="E123" i="73"/>
  <c r="H122" i="73"/>
  <c r="E122" i="73"/>
  <c r="H121" i="73"/>
  <c r="E121" i="73"/>
  <c r="H120" i="73"/>
  <c r="E120" i="73"/>
  <c r="H119" i="73"/>
  <c r="E119" i="73"/>
  <c r="H118" i="73"/>
  <c r="E118" i="73"/>
  <c r="H117" i="73"/>
  <c r="E117" i="73"/>
  <c r="H116" i="73"/>
  <c r="E116" i="73"/>
  <c r="H115" i="73"/>
  <c r="E115" i="73"/>
  <c r="H114" i="73"/>
  <c r="E114" i="73"/>
  <c r="H113" i="73"/>
  <c r="E113" i="73"/>
  <c r="H112" i="73"/>
  <c r="E112" i="73"/>
  <c r="H111" i="73"/>
  <c r="E111" i="73"/>
  <c r="H110" i="73"/>
  <c r="E110" i="73"/>
  <c r="H109" i="73"/>
  <c r="E109" i="73"/>
  <c r="H108" i="73"/>
  <c r="E108" i="73"/>
  <c r="H107" i="73"/>
  <c r="E107" i="73"/>
  <c r="H106" i="73"/>
  <c r="E106" i="73"/>
  <c r="H105" i="73"/>
  <c r="E105" i="73"/>
  <c r="H104" i="73"/>
  <c r="E104" i="73"/>
  <c r="H103" i="73"/>
  <c r="E103" i="73"/>
  <c r="H102" i="73"/>
  <c r="E102" i="73"/>
  <c r="H101" i="73"/>
  <c r="E101" i="73"/>
  <c r="H100" i="73"/>
  <c r="E100" i="73"/>
  <c r="H99" i="73"/>
  <c r="E99" i="73"/>
  <c r="H98" i="73"/>
  <c r="E98" i="73"/>
  <c r="H97" i="73"/>
  <c r="E97" i="73"/>
  <c r="H96" i="73"/>
  <c r="E96" i="73"/>
  <c r="H95" i="73"/>
  <c r="E95" i="73"/>
  <c r="H94" i="73"/>
  <c r="E94" i="73"/>
  <c r="H93" i="73"/>
  <c r="E93" i="73"/>
  <c r="H92" i="73"/>
  <c r="E92" i="73"/>
  <c r="H91" i="73"/>
  <c r="E91" i="73"/>
  <c r="H90" i="73"/>
  <c r="E90" i="73"/>
  <c r="H89" i="73"/>
  <c r="E89" i="73"/>
  <c r="H88" i="73"/>
  <c r="E88" i="73"/>
  <c r="H87" i="73"/>
  <c r="E87" i="73"/>
  <c r="H86" i="73"/>
  <c r="E86" i="73"/>
  <c r="H85" i="73"/>
  <c r="E85" i="73"/>
  <c r="H84" i="73"/>
  <c r="E84" i="73"/>
  <c r="H83" i="73"/>
  <c r="E83" i="73"/>
  <c r="H82" i="73"/>
  <c r="E82" i="73"/>
  <c r="H81" i="73"/>
  <c r="E81" i="73"/>
  <c r="H80" i="73"/>
  <c r="E80" i="73"/>
  <c r="H79" i="73"/>
  <c r="E79" i="73"/>
  <c r="H78" i="73"/>
  <c r="E78" i="73"/>
  <c r="H77" i="73"/>
  <c r="E77" i="73"/>
  <c r="H76" i="73"/>
  <c r="E76" i="73"/>
  <c r="H75" i="73"/>
  <c r="E75" i="73"/>
  <c r="H74" i="73"/>
  <c r="E74" i="73"/>
  <c r="H73" i="73"/>
  <c r="E73" i="73"/>
  <c r="H72" i="73"/>
  <c r="E72" i="73"/>
  <c r="H71" i="73"/>
  <c r="E71" i="73"/>
  <c r="H70" i="73"/>
  <c r="E70" i="73"/>
  <c r="H69" i="73"/>
  <c r="E69" i="73"/>
  <c r="H68" i="73"/>
  <c r="E68" i="73"/>
  <c r="H67" i="73"/>
  <c r="E67" i="73"/>
  <c r="H66" i="73"/>
  <c r="E66" i="73"/>
  <c r="H65" i="73"/>
  <c r="E65" i="73"/>
  <c r="H64" i="73"/>
  <c r="E64" i="73"/>
  <c r="H63" i="73"/>
  <c r="E63" i="73"/>
  <c r="H62" i="73"/>
  <c r="E62" i="73"/>
  <c r="H61" i="73"/>
  <c r="E61" i="73"/>
  <c r="H60" i="73"/>
  <c r="E60" i="73"/>
  <c r="H59" i="73"/>
  <c r="E59" i="73"/>
  <c r="H58" i="73"/>
  <c r="E58" i="73"/>
  <c r="H57" i="73"/>
  <c r="E57" i="73"/>
  <c r="H56" i="73"/>
  <c r="E56" i="73"/>
  <c r="H55" i="73"/>
  <c r="E55" i="73"/>
  <c r="H54" i="73"/>
  <c r="E54" i="73"/>
  <c r="H53" i="73"/>
  <c r="E53" i="73"/>
  <c r="H52" i="73"/>
  <c r="E52" i="73"/>
  <c r="H51" i="73"/>
  <c r="E51" i="73"/>
  <c r="H50" i="73"/>
  <c r="E50" i="73"/>
  <c r="H49" i="73"/>
  <c r="E49" i="73"/>
  <c r="H48" i="73"/>
  <c r="E48" i="73"/>
  <c r="H47" i="73"/>
  <c r="E47" i="73"/>
  <c r="H46" i="73"/>
  <c r="E46" i="73"/>
  <c r="H45" i="73"/>
  <c r="E45" i="73"/>
  <c r="H44" i="73"/>
  <c r="E44" i="73"/>
  <c r="H43" i="73"/>
  <c r="E43" i="73"/>
  <c r="H42" i="73"/>
  <c r="E42" i="73"/>
  <c r="H41" i="73"/>
  <c r="E41" i="73"/>
  <c r="H40" i="73"/>
  <c r="E40" i="73"/>
  <c r="H39" i="73"/>
  <c r="E39" i="73"/>
  <c r="H38" i="73"/>
  <c r="E38" i="73"/>
  <c r="H37" i="73"/>
  <c r="E37" i="73"/>
  <c r="H36" i="73"/>
  <c r="E36" i="73"/>
  <c r="H35" i="73"/>
  <c r="E35" i="73"/>
  <c r="H34" i="73"/>
  <c r="E34" i="73"/>
  <c r="H33" i="73"/>
  <c r="E33" i="73"/>
  <c r="H32" i="73"/>
  <c r="E32" i="73"/>
  <c r="H31" i="73"/>
  <c r="E31" i="73"/>
  <c r="H30" i="73"/>
  <c r="E30" i="73"/>
  <c r="H29" i="73"/>
  <c r="E29" i="73"/>
  <c r="H28" i="73"/>
  <c r="E28" i="73"/>
  <c r="H27" i="73"/>
  <c r="E27" i="73"/>
  <c r="H26" i="73"/>
  <c r="E26" i="73"/>
  <c r="H25" i="73"/>
  <c r="E25" i="73"/>
  <c r="H24" i="73"/>
  <c r="E24" i="73"/>
  <c r="H23" i="73"/>
  <c r="E23" i="73"/>
  <c r="H22" i="73"/>
  <c r="E22" i="73"/>
  <c r="H21" i="73"/>
  <c r="E21" i="73"/>
  <c r="H20" i="73"/>
  <c r="E20" i="73"/>
  <c r="H19" i="73"/>
  <c r="E19" i="73"/>
  <c r="H18" i="73"/>
  <c r="E18" i="73"/>
  <c r="H17" i="73"/>
  <c r="E17" i="73"/>
  <c r="H16" i="73"/>
  <c r="E16" i="73"/>
  <c r="H15" i="73"/>
  <c r="E15" i="73"/>
  <c r="H14" i="73"/>
  <c r="E14" i="73"/>
  <c r="H13" i="73"/>
  <c r="E13" i="73"/>
  <c r="H12" i="73"/>
  <c r="E12" i="73"/>
  <c r="H11" i="73"/>
  <c r="E11" i="73"/>
  <c r="H10" i="73"/>
  <c r="E10" i="73"/>
  <c r="H9" i="73"/>
  <c r="E9" i="73"/>
  <c r="H8" i="73"/>
  <c r="E8" i="73"/>
  <c r="H7" i="73"/>
  <c r="E7" i="73"/>
  <c r="H6" i="73"/>
  <c r="E6" i="73"/>
  <c r="H5" i="73"/>
  <c r="E5" i="73"/>
  <c r="H4" i="73"/>
  <c r="E4" i="73"/>
  <c r="H3" i="73"/>
  <c r="E3" i="73"/>
  <c r="H2" i="73"/>
  <c r="E2" i="73"/>
  <c r="X301" i="71"/>
  <c r="W301" i="71"/>
  <c r="X300" i="71"/>
  <c r="W300" i="71"/>
  <c r="X299" i="71"/>
  <c r="W299" i="71"/>
  <c r="X298" i="71"/>
  <c r="W298" i="71"/>
  <c r="X297" i="71"/>
  <c r="W297" i="71"/>
  <c r="X296" i="71"/>
  <c r="W296" i="71"/>
  <c r="X295" i="71"/>
  <c r="W295" i="71"/>
  <c r="X294" i="71"/>
  <c r="W294" i="71"/>
  <c r="X293" i="71"/>
  <c r="W293" i="71"/>
  <c r="X292" i="71"/>
  <c r="W292" i="71"/>
  <c r="X291" i="71"/>
  <c r="W291" i="71"/>
  <c r="X290" i="71"/>
  <c r="W290" i="71"/>
  <c r="X289" i="71"/>
  <c r="W289" i="71"/>
  <c r="X288" i="71"/>
  <c r="W288" i="71"/>
  <c r="X287" i="71"/>
  <c r="W287" i="71"/>
  <c r="X286" i="71"/>
  <c r="W286" i="71"/>
  <c r="X285" i="71"/>
  <c r="W285" i="71"/>
  <c r="X284" i="71"/>
  <c r="W284" i="71"/>
  <c r="X283" i="71"/>
  <c r="W283" i="71"/>
  <c r="X282" i="71"/>
  <c r="W282" i="71"/>
  <c r="X281" i="71"/>
  <c r="W281" i="71"/>
  <c r="X280" i="71"/>
  <c r="W280" i="71"/>
  <c r="X279" i="71"/>
  <c r="W279" i="71"/>
  <c r="X278" i="71"/>
  <c r="W278" i="71"/>
  <c r="X277" i="71"/>
  <c r="W277" i="71"/>
  <c r="X276" i="71"/>
  <c r="W276" i="71"/>
  <c r="X275" i="71"/>
  <c r="W275" i="71"/>
  <c r="X274" i="71"/>
  <c r="W274" i="71"/>
  <c r="X273" i="71"/>
  <c r="W273" i="71"/>
  <c r="X272" i="71"/>
  <c r="W272" i="71"/>
  <c r="X271" i="71"/>
  <c r="W271" i="71"/>
  <c r="X270" i="71"/>
  <c r="W270" i="71"/>
  <c r="X269" i="71"/>
  <c r="W269" i="71"/>
  <c r="X268" i="71"/>
  <c r="W268" i="71"/>
  <c r="X267" i="71"/>
  <c r="W267" i="71"/>
  <c r="X266" i="71"/>
  <c r="W266" i="71"/>
  <c r="X265" i="71"/>
  <c r="W265" i="71"/>
  <c r="X264" i="71"/>
  <c r="W264" i="71"/>
  <c r="X263" i="71"/>
  <c r="W263" i="71"/>
  <c r="X262" i="71"/>
  <c r="W262" i="71"/>
  <c r="X261" i="71"/>
  <c r="W261" i="71"/>
  <c r="X260" i="71"/>
  <c r="W260" i="71"/>
  <c r="X259" i="71"/>
  <c r="W259" i="71"/>
  <c r="X258" i="71"/>
  <c r="W258" i="71"/>
  <c r="X257" i="71"/>
  <c r="W257" i="71"/>
  <c r="X256" i="71"/>
  <c r="W256" i="71"/>
  <c r="X255" i="71"/>
  <c r="W255" i="71"/>
  <c r="X254" i="71"/>
  <c r="W254" i="71"/>
  <c r="X253" i="71"/>
  <c r="W253" i="71"/>
  <c r="X252" i="71"/>
  <c r="W252" i="71"/>
  <c r="X251" i="71"/>
  <c r="W251" i="71"/>
  <c r="X250" i="71"/>
  <c r="W250" i="71"/>
  <c r="X249" i="71"/>
  <c r="W249" i="71"/>
  <c r="X248" i="71"/>
  <c r="W248" i="71"/>
  <c r="X247" i="71"/>
  <c r="W247" i="71"/>
  <c r="X246" i="71"/>
  <c r="W246" i="71"/>
  <c r="X245" i="71"/>
  <c r="W245" i="71"/>
  <c r="X244" i="71"/>
  <c r="W244" i="71"/>
  <c r="X243" i="71"/>
  <c r="W243" i="71"/>
  <c r="X242" i="71"/>
  <c r="W242" i="71"/>
  <c r="X241" i="71"/>
  <c r="W241" i="71"/>
  <c r="X240" i="71"/>
  <c r="W240" i="71"/>
  <c r="X239" i="71"/>
  <c r="W239" i="71"/>
  <c r="X238" i="71"/>
  <c r="W238" i="71"/>
  <c r="X237" i="71"/>
  <c r="W237" i="71"/>
  <c r="X236" i="71"/>
  <c r="W236" i="71"/>
  <c r="X235" i="71"/>
  <c r="W235" i="71"/>
  <c r="X234" i="71"/>
  <c r="W234" i="71"/>
  <c r="X233" i="71"/>
  <c r="W233" i="71"/>
  <c r="X232" i="71"/>
  <c r="W232" i="71"/>
  <c r="X231" i="71"/>
  <c r="W231" i="71"/>
  <c r="X230" i="71"/>
  <c r="W230" i="71"/>
  <c r="X229" i="71"/>
  <c r="W229" i="71"/>
  <c r="X228" i="71"/>
  <c r="W228" i="71"/>
  <c r="X227" i="71"/>
  <c r="W227" i="71"/>
  <c r="X226" i="71"/>
  <c r="W226" i="71"/>
  <c r="X225" i="71"/>
  <c r="W225" i="71"/>
  <c r="X224" i="71"/>
  <c r="W224" i="71"/>
  <c r="X223" i="71"/>
  <c r="W223" i="71"/>
  <c r="X222" i="71"/>
  <c r="W222" i="71"/>
  <c r="X221" i="71"/>
  <c r="W221" i="71"/>
  <c r="X220" i="71"/>
  <c r="W220" i="71"/>
  <c r="X219" i="71"/>
  <c r="W219" i="71"/>
  <c r="X218" i="71"/>
  <c r="W218" i="71"/>
  <c r="X217" i="71"/>
  <c r="W217" i="71"/>
  <c r="X216" i="71"/>
  <c r="W216" i="71"/>
  <c r="X215" i="71"/>
  <c r="W215" i="71"/>
  <c r="X214" i="71"/>
  <c r="W214" i="71"/>
  <c r="X213" i="71"/>
  <c r="W213" i="71"/>
  <c r="X212" i="71"/>
  <c r="W212" i="71"/>
  <c r="X211" i="71"/>
  <c r="W211" i="71"/>
  <c r="X210" i="71"/>
  <c r="W210" i="71"/>
  <c r="X209" i="71"/>
  <c r="W209" i="71"/>
  <c r="X208" i="71"/>
  <c r="W208" i="71"/>
  <c r="X207" i="71"/>
  <c r="W207" i="71"/>
  <c r="X206" i="71"/>
  <c r="W206" i="71"/>
  <c r="X205" i="71"/>
  <c r="W205" i="71"/>
  <c r="X204" i="71"/>
  <c r="W204" i="71"/>
  <c r="X203" i="71"/>
  <c r="W203" i="71"/>
  <c r="X202" i="71"/>
  <c r="W202" i="71"/>
  <c r="X201" i="71"/>
  <c r="W201" i="71"/>
  <c r="X200" i="71"/>
  <c r="W200" i="71"/>
  <c r="X199" i="71"/>
  <c r="W199" i="71"/>
  <c r="X198" i="71"/>
  <c r="W198" i="71"/>
  <c r="X197" i="71"/>
  <c r="W197" i="71"/>
  <c r="X196" i="71"/>
  <c r="W196" i="71"/>
  <c r="X195" i="71"/>
  <c r="W195" i="71"/>
  <c r="X194" i="71"/>
  <c r="W194" i="71"/>
  <c r="X193" i="71"/>
  <c r="W193" i="71"/>
  <c r="X192" i="71"/>
  <c r="W192" i="71"/>
  <c r="X191" i="71"/>
  <c r="W191" i="71"/>
  <c r="X190" i="71"/>
  <c r="W190" i="71"/>
  <c r="X189" i="71"/>
  <c r="W189" i="71"/>
  <c r="X188" i="71"/>
  <c r="W188" i="71"/>
  <c r="X187" i="71"/>
  <c r="W187" i="71"/>
  <c r="X186" i="71"/>
  <c r="W186" i="71"/>
  <c r="X185" i="71"/>
  <c r="W185" i="71"/>
  <c r="X184" i="71"/>
  <c r="W184" i="71"/>
  <c r="X183" i="71"/>
  <c r="W183" i="71"/>
  <c r="X182" i="71"/>
  <c r="W182" i="71"/>
  <c r="X181" i="71"/>
  <c r="W181" i="71"/>
  <c r="X180" i="71"/>
  <c r="W180" i="71"/>
  <c r="X179" i="71"/>
  <c r="W179" i="71"/>
  <c r="X178" i="71"/>
  <c r="W178" i="71"/>
  <c r="X177" i="71"/>
  <c r="W177" i="71"/>
  <c r="X176" i="71"/>
  <c r="W176" i="71"/>
  <c r="X175" i="71"/>
  <c r="W175" i="71"/>
  <c r="X174" i="71"/>
  <c r="W174" i="71"/>
  <c r="X173" i="71"/>
  <c r="W173" i="71"/>
  <c r="X172" i="71"/>
  <c r="W172" i="71"/>
  <c r="X171" i="71"/>
  <c r="W171" i="71"/>
  <c r="X170" i="71"/>
  <c r="W170" i="71"/>
  <c r="X169" i="71"/>
  <c r="W169" i="71"/>
  <c r="X168" i="71"/>
  <c r="W168" i="71"/>
  <c r="X167" i="71"/>
  <c r="W167" i="71"/>
  <c r="X166" i="71"/>
  <c r="W166" i="71"/>
  <c r="X165" i="71"/>
  <c r="W165" i="71"/>
  <c r="X164" i="71"/>
  <c r="W164" i="71"/>
  <c r="X163" i="71"/>
  <c r="W163" i="71"/>
  <c r="X162" i="71"/>
  <c r="W162" i="71"/>
  <c r="X161" i="71"/>
  <c r="W161" i="71"/>
  <c r="X160" i="71"/>
  <c r="W160" i="71"/>
  <c r="X159" i="71"/>
  <c r="W159" i="71"/>
  <c r="X158" i="71"/>
  <c r="W158" i="71"/>
  <c r="X157" i="71"/>
  <c r="W157" i="71"/>
  <c r="X156" i="71"/>
  <c r="W156" i="71"/>
  <c r="X155" i="71"/>
  <c r="W155" i="71"/>
  <c r="X154" i="71"/>
  <c r="W154" i="71"/>
  <c r="X153" i="71"/>
  <c r="W153" i="71"/>
  <c r="X152" i="71"/>
  <c r="W152" i="71"/>
  <c r="X151" i="71"/>
  <c r="W151" i="71"/>
  <c r="X150" i="71"/>
  <c r="W150" i="71"/>
  <c r="X149" i="71"/>
  <c r="W149" i="71"/>
  <c r="X148" i="71"/>
  <c r="W148" i="71"/>
  <c r="X147" i="71"/>
  <c r="W147" i="71"/>
  <c r="X146" i="71"/>
  <c r="W146" i="71"/>
  <c r="X145" i="71"/>
  <c r="W145" i="71"/>
  <c r="X144" i="71"/>
  <c r="W144" i="71"/>
  <c r="X143" i="71"/>
  <c r="W143" i="71"/>
  <c r="X142" i="71"/>
  <c r="W142" i="71"/>
  <c r="X141" i="71"/>
  <c r="W141" i="71"/>
  <c r="X140" i="71"/>
  <c r="W140" i="71"/>
  <c r="X139" i="71"/>
  <c r="W139" i="71"/>
  <c r="X138" i="71"/>
  <c r="W138" i="71"/>
  <c r="X137" i="71"/>
  <c r="W137" i="71"/>
  <c r="X136" i="71"/>
  <c r="W136" i="71"/>
  <c r="X135" i="71"/>
  <c r="W135" i="71"/>
  <c r="X134" i="71"/>
  <c r="W134" i="71"/>
  <c r="X133" i="71"/>
  <c r="W133" i="71"/>
  <c r="X132" i="71"/>
  <c r="W132" i="71"/>
  <c r="X131" i="71"/>
  <c r="W131" i="71"/>
  <c r="X130" i="71"/>
  <c r="W130" i="71"/>
  <c r="X129" i="71"/>
  <c r="W129" i="71"/>
  <c r="X128" i="71"/>
  <c r="W128" i="71"/>
  <c r="X127" i="71"/>
  <c r="W127" i="71"/>
  <c r="X126" i="71"/>
  <c r="W126" i="71"/>
  <c r="X125" i="71"/>
  <c r="W125" i="71"/>
  <c r="X124" i="71"/>
  <c r="W124" i="71"/>
  <c r="X123" i="71"/>
  <c r="W123" i="71"/>
  <c r="X122" i="71"/>
  <c r="W122" i="71"/>
  <c r="X121" i="71"/>
  <c r="W121" i="71"/>
  <c r="X120" i="71"/>
  <c r="W120" i="71"/>
  <c r="X119" i="71"/>
  <c r="W119" i="71"/>
  <c r="X118" i="71"/>
  <c r="W118" i="71"/>
  <c r="X117" i="71"/>
  <c r="W117" i="71"/>
  <c r="X116" i="71"/>
  <c r="W116" i="71"/>
  <c r="X115" i="71"/>
  <c r="W115" i="71"/>
  <c r="X114" i="71"/>
  <c r="W114" i="71"/>
  <c r="X113" i="71"/>
  <c r="W113" i="71"/>
  <c r="X112" i="71"/>
  <c r="W112" i="71"/>
  <c r="X111" i="71"/>
  <c r="W111" i="71"/>
  <c r="X110" i="71"/>
  <c r="W110" i="71"/>
  <c r="X109" i="71"/>
  <c r="W109" i="71"/>
  <c r="X108" i="71"/>
  <c r="W108" i="71"/>
  <c r="X107" i="71"/>
  <c r="W107" i="71"/>
  <c r="X106" i="71"/>
  <c r="W106" i="71"/>
  <c r="X105" i="71"/>
  <c r="W105" i="71"/>
  <c r="X104" i="71"/>
  <c r="W104" i="71"/>
  <c r="X103" i="71"/>
  <c r="W103" i="71"/>
  <c r="X102" i="71"/>
  <c r="W102" i="71"/>
  <c r="X101" i="71"/>
  <c r="W101" i="71"/>
  <c r="X100" i="71"/>
  <c r="W100" i="71"/>
  <c r="X99" i="71"/>
  <c r="W99" i="71"/>
  <c r="X98" i="71"/>
  <c r="W98" i="71"/>
  <c r="X97" i="71"/>
  <c r="W97" i="71"/>
  <c r="X96" i="71"/>
  <c r="W96" i="71"/>
  <c r="X95" i="71"/>
  <c r="W95" i="71"/>
  <c r="X94" i="71"/>
  <c r="W94" i="71"/>
  <c r="X93" i="71"/>
  <c r="W93" i="71"/>
  <c r="X92" i="71"/>
  <c r="W92" i="71"/>
  <c r="X91" i="71"/>
  <c r="W91" i="71"/>
  <c r="X90" i="71"/>
  <c r="W90" i="71"/>
  <c r="X89" i="71"/>
  <c r="W89" i="71"/>
  <c r="X88" i="71"/>
  <c r="W88" i="71"/>
  <c r="X87" i="71"/>
  <c r="W87" i="71"/>
  <c r="X86" i="71"/>
  <c r="W86" i="71"/>
  <c r="X85" i="71"/>
  <c r="W85" i="71"/>
  <c r="X84" i="71"/>
  <c r="W84" i="71"/>
  <c r="X83" i="71"/>
  <c r="W83" i="71"/>
  <c r="X82" i="71"/>
  <c r="W82" i="71"/>
  <c r="X81" i="71"/>
  <c r="W81" i="71"/>
  <c r="X80" i="71"/>
  <c r="W80" i="71"/>
  <c r="X79" i="71"/>
  <c r="W79" i="71"/>
  <c r="X78" i="71"/>
  <c r="W78" i="71"/>
  <c r="X77" i="71"/>
  <c r="W77" i="71"/>
  <c r="X76" i="71"/>
  <c r="W76" i="71"/>
  <c r="X75" i="71"/>
  <c r="W75" i="71"/>
  <c r="X74" i="71"/>
  <c r="W74" i="71"/>
  <c r="X73" i="71"/>
  <c r="W73" i="71"/>
  <c r="X72" i="71"/>
  <c r="W72" i="71"/>
  <c r="X71" i="71"/>
  <c r="W71" i="71"/>
  <c r="X70" i="71"/>
  <c r="W70" i="71"/>
  <c r="X69" i="71"/>
  <c r="W69" i="71"/>
  <c r="X68" i="71"/>
  <c r="W68" i="71"/>
  <c r="X67" i="71"/>
  <c r="W67" i="71"/>
  <c r="X66" i="71"/>
  <c r="W66" i="71"/>
  <c r="X65" i="71"/>
  <c r="W65" i="71"/>
  <c r="X64" i="71"/>
  <c r="W64" i="71"/>
  <c r="X63" i="71"/>
  <c r="W63" i="71"/>
  <c r="X62" i="71"/>
  <c r="W62" i="71"/>
  <c r="X61" i="71"/>
  <c r="W61" i="71"/>
  <c r="X60" i="71"/>
  <c r="W60" i="71"/>
  <c r="X59" i="71"/>
  <c r="W59" i="71"/>
  <c r="X58" i="71"/>
  <c r="W58" i="71"/>
  <c r="X57" i="71"/>
  <c r="W57" i="71"/>
  <c r="X56" i="71"/>
  <c r="W56" i="71"/>
  <c r="X55" i="71"/>
  <c r="W55" i="71"/>
  <c r="X54" i="71"/>
  <c r="W54" i="71"/>
  <c r="X53" i="71"/>
  <c r="W53" i="71"/>
  <c r="X52" i="71"/>
  <c r="W52" i="71"/>
  <c r="X51" i="71"/>
  <c r="W51" i="71"/>
  <c r="X50" i="71"/>
  <c r="W50" i="71"/>
  <c r="X49" i="71"/>
  <c r="W49" i="71"/>
  <c r="X48" i="71"/>
  <c r="W48" i="71"/>
  <c r="X47" i="71"/>
  <c r="W47" i="71"/>
  <c r="X46" i="71"/>
  <c r="W46" i="71"/>
  <c r="X45" i="71"/>
  <c r="W45" i="71"/>
  <c r="X44" i="71"/>
  <c r="W44" i="71"/>
  <c r="X43" i="71"/>
  <c r="W43" i="71"/>
  <c r="X42" i="71"/>
  <c r="W42" i="71"/>
  <c r="X41" i="71"/>
  <c r="W41" i="71"/>
  <c r="X40" i="71"/>
  <c r="W40" i="71"/>
  <c r="X39" i="71"/>
  <c r="W39" i="71"/>
  <c r="X38" i="71"/>
  <c r="W38" i="71"/>
  <c r="X37" i="71"/>
  <c r="W37" i="71"/>
  <c r="X36" i="71"/>
  <c r="W36" i="71"/>
  <c r="X35" i="71"/>
  <c r="W35" i="71"/>
  <c r="X34" i="71"/>
  <c r="W34" i="71"/>
  <c r="X33" i="71"/>
  <c r="W33" i="71"/>
  <c r="X32" i="71"/>
  <c r="W32" i="71"/>
  <c r="X31" i="71"/>
  <c r="W31" i="71"/>
  <c r="X30" i="71"/>
  <c r="W30" i="71"/>
  <c r="X29" i="71"/>
  <c r="W29" i="71"/>
  <c r="X28" i="71"/>
  <c r="W28" i="71"/>
  <c r="X27" i="71"/>
  <c r="W27" i="71"/>
  <c r="X26" i="71"/>
  <c r="W26" i="71"/>
  <c r="X25" i="71"/>
  <c r="W25" i="71"/>
  <c r="X24" i="71"/>
  <c r="W24" i="71"/>
  <c r="X23" i="71"/>
  <c r="W23" i="71"/>
  <c r="X22" i="71"/>
  <c r="W22" i="71"/>
  <c r="X21" i="71"/>
  <c r="W21" i="71"/>
  <c r="X20" i="71"/>
  <c r="W20" i="71"/>
  <c r="X19" i="71"/>
  <c r="W19" i="71"/>
  <c r="X18" i="71"/>
  <c r="W18" i="71"/>
  <c r="X17" i="71"/>
  <c r="W17" i="71"/>
  <c r="X16" i="71"/>
  <c r="W16" i="71"/>
  <c r="X15" i="71"/>
  <c r="W15" i="71"/>
  <c r="X14" i="71"/>
  <c r="W14" i="71"/>
  <c r="X13" i="71"/>
  <c r="W13" i="71"/>
  <c r="X12" i="71"/>
  <c r="W12" i="71"/>
  <c r="X11" i="71"/>
  <c r="W11" i="71"/>
  <c r="X10" i="71"/>
  <c r="W10" i="71"/>
  <c r="X9" i="71"/>
  <c r="W9" i="71"/>
  <c r="X8" i="71"/>
  <c r="W8" i="71"/>
  <c r="X7" i="71"/>
  <c r="W7" i="71"/>
  <c r="X6" i="71"/>
  <c r="W6" i="71"/>
  <c r="X5" i="71"/>
  <c r="W5" i="71"/>
  <c r="X4" i="71"/>
  <c r="W4" i="71"/>
  <c r="X3" i="71"/>
  <c r="W3" i="71"/>
  <c r="X2" i="71"/>
  <c r="W2" i="71"/>
</calcChain>
</file>

<file path=xl/sharedStrings.xml><?xml version="1.0" encoding="utf-8"?>
<sst xmlns="http://schemas.openxmlformats.org/spreadsheetml/2006/main" count="3978" uniqueCount="1283">
  <si>
    <t>Information</t>
  </si>
  <si>
    <t>Data</t>
  </si>
  <si>
    <t>Note</t>
  </si>
  <si>
    <t>Insert number of appliances</t>
  </si>
  <si>
    <t>Fuel oil boiler</t>
  </si>
  <si>
    <t>Biomass boiler</t>
  </si>
  <si>
    <t>Concrete thermal storage</t>
  </si>
  <si>
    <t>Steel thermal storage</t>
  </si>
  <si>
    <t>Heat recovery</t>
  </si>
  <si>
    <t>Boiler</t>
  </si>
  <si>
    <t>Geothermal plant</t>
  </si>
  <si>
    <t>Electric Heat Pump</t>
  </si>
  <si>
    <t>Gas Engine Heat Pump</t>
  </si>
  <si>
    <t>Solar thermal system</t>
  </si>
  <si>
    <t>Cooling - Cooling tower</t>
  </si>
  <si>
    <t>Cooling - Absorption chiller</t>
  </si>
  <si>
    <t>CHP-Internal Combustion Engine</t>
  </si>
  <si>
    <t>CHP-Combined Cycle</t>
  </si>
  <si>
    <t>CHP-Turbogas</t>
  </si>
  <si>
    <t>CHP-Organic Rankine Cycle</t>
  </si>
  <si>
    <t>CHP-Waste-to-Energy</t>
  </si>
  <si>
    <t>Reference Study Period (RSP) [Year]</t>
  </si>
  <si>
    <t>Cooling - Compression chiller</t>
  </si>
  <si>
    <t>Cooling - Dry cooler</t>
  </si>
  <si>
    <t>Gas Absorption Heat Pump</t>
  </si>
  <si>
    <t>ENERGY SYSTEMS IN THE SCENARIO</t>
  </si>
  <si>
    <t>Appliances demand</t>
  </si>
  <si>
    <t>index</t>
  </si>
  <si>
    <t>Height</t>
  </si>
  <si>
    <t>Floors</t>
  </si>
  <si>
    <t>End Use</t>
  </si>
  <si>
    <t>Envelope</t>
  </si>
  <si>
    <t>id</t>
  </si>
  <si>
    <t>Name</t>
  </si>
  <si>
    <t>Zone volume [m3]</t>
  </si>
  <si>
    <t>Zone net floor area [m2]</t>
  </si>
  <si>
    <t>Specific floor area [m2]</t>
  </si>
  <si>
    <t>Number of units [-]</t>
  </si>
  <si>
    <t>Zone design heating load [kW]</t>
  </si>
  <si>
    <t>Zone design cooling load [kW]</t>
  </si>
  <si>
    <t>Total Heating Demand [kWh]</t>
  </si>
  <si>
    <t>Total Cooling Demand [kWh]</t>
  </si>
  <si>
    <t>Total Appliances Demand [kWh]</t>
  </si>
  <si>
    <t>PV Power [kW]</t>
  </si>
  <si>
    <t>PV Energy [kWh]</t>
  </si>
  <si>
    <t>Destination PV Output</t>
  </si>
  <si>
    <t>university</t>
  </si>
  <si>
    <t>Before 1930</t>
  </si>
  <si>
    <t>Bd2432709</t>
  </si>
  <si>
    <t>Cooling Compression Chiller</t>
  </si>
  <si>
    <t>Bd2559057</t>
  </si>
  <si>
    <t>1945-1960</t>
  </si>
  <si>
    <t>Bd3521512</t>
  </si>
  <si>
    <t>Bd46970558</t>
  </si>
  <si>
    <t>services</t>
  </si>
  <si>
    <t>1961-1970</t>
  </si>
  <si>
    <t>Bd131986150</t>
  </si>
  <si>
    <t>Bd131986153</t>
  </si>
  <si>
    <t>1971-1980</t>
  </si>
  <si>
    <t>Bd131986160</t>
  </si>
  <si>
    <t>residential</t>
  </si>
  <si>
    <t>Bd131986174</t>
  </si>
  <si>
    <t>Bd131986182</t>
  </si>
  <si>
    <t>Bd131986199</t>
  </si>
  <si>
    <t>Bd131986202</t>
  </si>
  <si>
    <t>Bd131986208</t>
  </si>
  <si>
    <t>Bd131986212</t>
  </si>
  <si>
    <t>Bd131986221</t>
  </si>
  <si>
    <t>Bd131986225</t>
  </si>
  <si>
    <t>Bd131986261</t>
  </si>
  <si>
    <t>Bd131986276</t>
  </si>
  <si>
    <t>Bd131986280</t>
  </si>
  <si>
    <t>Bd131986302</t>
  </si>
  <si>
    <t>Bd131986311</t>
  </si>
  <si>
    <t>Bd131986317</t>
  </si>
  <si>
    <t>Bd131986326</t>
  </si>
  <si>
    <t>Bd131986355</t>
  </si>
  <si>
    <t>Bd131986365</t>
  </si>
  <si>
    <t>Bd131986374</t>
  </si>
  <si>
    <t>Bd131986376</t>
  </si>
  <si>
    <t>1930-1945</t>
  </si>
  <si>
    <t>Bd131986379</t>
  </si>
  <si>
    <t>Bd131986407</t>
  </si>
  <si>
    <t>Bd131986414</t>
  </si>
  <si>
    <t>Bd131986428</t>
  </si>
  <si>
    <t>Bd131986440</t>
  </si>
  <si>
    <t>Bd131986483</t>
  </si>
  <si>
    <t>Bd131986489</t>
  </si>
  <si>
    <t>Bd131986502</t>
  </si>
  <si>
    <t>Bd131986525</t>
  </si>
  <si>
    <t>Bd131986535</t>
  </si>
  <si>
    <t>Bd131986539</t>
  </si>
  <si>
    <t>Bd131986563</t>
  </si>
  <si>
    <t>Bd131986576</t>
  </si>
  <si>
    <t>Bd131986605</t>
  </si>
  <si>
    <t>Bd131986623</t>
  </si>
  <si>
    <t>Bd131986637</t>
  </si>
  <si>
    <t>Bd131986650</t>
  </si>
  <si>
    <t>1981-1990</t>
  </si>
  <si>
    <t>Bd131986665</t>
  </si>
  <si>
    <t>Bd131986695</t>
  </si>
  <si>
    <t>Bd131986703</t>
  </si>
  <si>
    <t>shop</t>
  </si>
  <si>
    <t>Bd131986710</t>
  </si>
  <si>
    <t>worship</t>
  </si>
  <si>
    <t>Bd131986711</t>
  </si>
  <si>
    <t>Bd131986727</t>
  </si>
  <si>
    <t>Bd131986738</t>
  </si>
  <si>
    <t>Bd131986851</t>
  </si>
  <si>
    <t>Bd131986865</t>
  </si>
  <si>
    <t>Bd131986866</t>
  </si>
  <si>
    <t>Bd131986886</t>
  </si>
  <si>
    <t>Bd131986891</t>
  </si>
  <si>
    <t>Bd131986909</t>
  </si>
  <si>
    <t>Bd131986929</t>
  </si>
  <si>
    <t>Bd131986939</t>
  </si>
  <si>
    <t>Bd131986945</t>
  </si>
  <si>
    <t>Bd131986949</t>
  </si>
  <si>
    <t>Bd131986983</t>
  </si>
  <si>
    <t>Bd131986995</t>
  </si>
  <si>
    <t>Bd131986998</t>
  </si>
  <si>
    <t>Bd131987005</t>
  </si>
  <si>
    <t>Bd131987025</t>
  </si>
  <si>
    <t>Bd131987027</t>
  </si>
  <si>
    <t>Bd131987029</t>
  </si>
  <si>
    <t>Bd131987035</t>
  </si>
  <si>
    <t>Bd131987045</t>
  </si>
  <si>
    <t>Bd131987056</t>
  </si>
  <si>
    <t>Bd131987063</t>
  </si>
  <si>
    <t>Bd131987071</t>
  </si>
  <si>
    <t>Bd131987095</t>
  </si>
  <si>
    <t>Bd131987112</t>
  </si>
  <si>
    <t>Bd131987114</t>
  </si>
  <si>
    <t>Bd131987119</t>
  </si>
  <si>
    <t>Bd131987132</t>
  </si>
  <si>
    <t>Bd131987141</t>
  </si>
  <si>
    <t>Bd131987144</t>
  </si>
  <si>
    <t>Bd131987166</t>
  </si>
  <si>
    <t>Bd131987237</t>
  </si>
  <si>
    <t>Bd131987249</t>
  </si>
  <si>
    <t>Bd131987279</t>
  </si>
  <si>
    <t>Bd131987280</t>
  </si>
  <si>
    <t>Bd131987284</t>
  </si>
  <si>
    <t>Bd131987312</t>
  </si>
  <si>
    <t>Bd131987313</t>
  </si>
  <si>
    <t>Bd131987327</t>
  </si>
  <si>
    <t>Bd131987329</t>
  </si>
  <si>
    <t>Bd131987413</t>
  </si>
  <si>
    <t>Bd131987415</t>
  </si>
  <si>
    <t>Bd131987440</t>
  </si>
  <si>
    <t>Bd131987451</t>
  </si>
  <si>
    <t>Bd131987471</t>
  </si>
  <si>
    <t>Bd131987472</t>
  </si>
  <si>
    <t>Bd131987475</t>
  </si>
  <si>
    <t>Bd131987477</t>
  </si>
  <si>
    <t>Bd131987488</t>
  </si>
  <si>
    <t>Bd131987510</t>
  </si>
  <si>
    <t>Bd131987523</t>
  </si>
  <si>
    <t>Bd131987525</t>
  </si>
  <si>
    <t>Bd131987539</t>
  </si>
  <si>
    <t>Bd131987545</t>
  </si>
  <si>
    <t>Bd131987559</t>
  </si>
  <si>
    <t>Bd131987574</t>
  </si>
  <si>
    <t>Bd131987578</t>
  </si>
  <si>
    <t>Bd131987586</t>
  </si>
  <si>
    <t>Bd131987588</t>
  </si>
  <si>
    <t>Bd131987590</t>
  </si>
  <si>
    <t>Bd131987608</t>
  </si>
  <si>
    <t>Bd131987616</t>
  </si>
  <si>
    <t>Bd131987618</t>
  </si>
  <si>
    <t>Bd131987637</t>
  </si>
  <si>
    <t>Bd131987640</t>
  </si>
  <si>
    <t>Bd131987646</t>
  </si>
  <si>
    <t>Bd131987650</t>
  </si>
  <si>
    <t>Bd131987659</t>
  </si>
  <si>
    <t>Bd131987684</t>
  </si>
  <si>
    <t>Bd131987686</t>
  </si>
  <si>
    <t>Bd131987694</t>
  </si>
  <si>
    <t>Bd131987702</t>
  </si>
  <si>
    <t>Bd131987743</t>
  </si>
  <si>
    <t>Bd131987768</t>
  </si>
  <si>
    <t>Bd131987780</t>
  </si>
  <si>
    <t>Bd131987790</t>
  </si>
  <si>
    <t>Bd131987809</t>
  </si>
  <si>
    <t>Bd131987811</t>
  </si>
  <si>
    <t>Bd131987817</t>
  </si>
  <si>
    <t>Bd131987832</t>
  </si>
  <si>
    <t>Bd131987833</t>
  </si>
  <si>
    <t>Bd131987834</t>
  </si>
  <si>
    <t>Bd131987849</t>
  </si>
  <si>
    <t>Bd131987852</t>
  </si>
  <si>
    <t>Bd131987897</t>
  </si>
  <si>
    <t>Bd131987909</t>
  </si>
  <si>
    <t>Bd131987931</t>
  </si>
  <si>
    <t>Bd131988148</t>
  </si>
  <si>
    <t>Bd131988159</t>
  </si>
  <si>
    <t>Bd131988183</t>
  </si>
  <si>
    <t>Bd131988205</t>
  </si>
  <si>
    <t>Bd131988414</t>
  </si>
  <si>
    <t>Bd131988500</t>
  </si>
  <si>
    <t>Bd131988692</t>
  </si>
  <si>
    <t>Bd131988897</t>
  </si>
  <si>
    <t>Bd131988941</t>
  </si>
  <si>
    <t>Bd131989122</t>
  </si>
  <si>
    <t>Bd131989128</t>
  </si>
  <si>
    <t>Bd131989147</t>
  </si>
  <si>
    <t>Bd131989260</t>
  </si>
  <si>
    <t>Bd131989348</t>
  </si>
  <si>
    <t>Bd131989375</t>
  </si>
  <si>
    <t>Bd131989414</t>
  </si>
  <si>
    <t>Bd131989544</t>
  </si>
  <si>
    <t>Bd131989562</t>
  </si>
  <si>
    <t>Bd131989585</t>
  </si>
  <si>
    <t>Bd131989601</t>
  </si>
  <si>
    <t>Bd131989649</t>
  </si>
  <si>
    <t>Bd131989727</t>
  </si>
  <si>
    <t>Bd131989730</t>
  </si>
  <si>
    <t>Bd131989740</t>
  </si>
  <si>
    <t>Bd131989772</t>
  </si>
  <si>
    <t>Bd131989892</t>
  </si>
  <si>
    <t>Bd131989958</t>
  </si>
  <si>
    <t>Bd131989976</t>
  </si>
  <si>
    <t>Bd131989995</t>
  </si>
  <si>
    <t>Bd131990015</t>
  </si>
  <si>
    <t>Bd131990019</t>
  </si>
  <si>
    <t>Bd131990025</t>
  </si>
  <si>
    <t>Bd131990045</t>
  </si>
  <si>
    <t>Bd131990052</t>
  </si>
  <si>
    <t>Bd131990055</t>
  </si>
  <si>
    <t>Bd131990083</t>
  </si>
  <si>
    <t>Bd131990105</t>
  </si>
  <si>
    <t>Bd131990111</t>
  </si>
  <si>
    <t>Bd131990138</t>
  </si>
  <si>
    <t>Bd131990155</t>
  </si>
  <si>
    <t>Bd131990157</t>
  </si>
  <si>
    <t>Bd131990166</t>
  </si>
  <si>
    <t>Bd131990202</t>
  </si>
  <si>
    <t>Bd131990245</t>
  </si>
  <si>
    <t>Bd131990249</t>
  </si>
  <si>
    <t>Bd131990267</t>
  </si>
  <si>
    <t>Bd131990285</t>
  </si>
  <si>
    <t>Bd131990289</t>
  </si>
  <si>
    <t>Bd131990299</t>
  </si>
  <si>
    <t>Bd131990303</t>
  </si>
  <si>
    <t>Bd131990305</t>
  </si>
  <si>
    <t>Bd131990313</t>
  </si>
  <si>
    <t>Bd131990331</t>
  </si>
  <si>
    <t>Bd131990350</t>
  </si>
  <si>
    <t>Bd131990365</t>
  </si>
  <si>
    <t>Bd131990380</t>
  </si>
  <si>
    <t>Bd131990480</t>
  </si>
  <si>
    <t>Bd131990483</t>
  </si>
  <si>
    <t>Bd131990503</t>
  </si>
  <si>
    <t>Bd131990508</t>
  </si>
  <si>
    <t>Bd131990555</t>
  </si>
  <si>
    <t>Bd131990599</t>
  </si>
  <si>
    <t>Bd131990600</t>
  </si>
  <si>
    <t>Bd131990612</t>
  </si>
  <si>
    <t>Bd131990626</t>
  </si>
  <si>
    <t>Bd131990685</t>
  </si>
  <si>
    <t>Bd131990688</t>
  </si>
  <si>
    <t>Bd131990717</t>
  </si>
  <si>
    <t>Bd131990719</t>
  </si>
  <si>
    <t>Bd131990741</t>
  </si>
  <si>
    <t>Bd131990766</t>
  </si>
  <si>
    <t>Bd131990779</t>
  </si>
  <si>
    <t>Bd131990781</t>
  </si>
  <si>
    <t>Bd131990791</t>
  </si>
  <si>
    <t>Bd131990793</t>
  </si>
  <si>
    <t>Bd131990809</t>
  </si>
  <si>
    <t>Bd131990830</t>
  </si>
  <si>
    <t>Bd131990866</t>
  </si>
  <si>
    <t>Bd131990869</t>
  </si>
  <si>
    <t>Bd131990872</t>
  </si>
  <si>
    <t>Bd131990881</t>
  </si>
  <si>
    <t>Bd131990898</t>
  </si>
  <si>
    <t>Bd131990902</t>
  </si>
  <si>
    <t>Bd131990910</t>
  </si>
  <si>
    <t>Bd131990911</t>
  </si>
  <si>
    <t>Bd131990912</t>
  </si>
  <si>
    <t>Bd131990930</t>
  </si>
  <si>
    <t>Bd131990956</t>
  </si>
  <si>
    <t>Bd131990957</t>
  </si>
  <si>
    <t>Bd131990975</t>
  </si>
  <si>
    <t>Bd131990980</t>
  </si>
  <si>
    <t>Bd131991007</t>
  </si>
  <si>
    <t>Bd131991019</t>
  </si>
  <si>
    <t>Bd131991039</t>
  </si>
  <si>
    <t>Bd131991078</t>
  </si>
  <si>
    <t>Bd131991115</t>
  </si>
  <si>
    <t>Bd131991162</t>
  </si>
  <si>
    <t>Bd131991177</t>
  </si>
  <si>
    <t>Bd131991194</t>
  </si>
  <si>
    <t>Bd131991196</t>
  </si>
  <si>
    <t>Bd131991205</t>
  </si>
  <si>
    <t>Bd131991227</t>
  </si>
  <si>
    <t>Bd131991234</t>
  </si>
  <si>
    <t>Bd131991248</t>
  </si>
  <si>
    <t>Bd131991277</t>
  </si>
  <si>
    <t>Bd131991281</t>
  </si>
  <si>
    <t>Bd131991284</t>
  </si>
  <si>
    <t>Bd131991309</t>
  </si>
  <si>
    <t>Bd131991318</t>
  </si>
  <si>
    <t>Bd131991345</t>
  </si>
  <si>
    <t>Bd131991349</t>
  </si>
  <si>
    <t>Bd131991469</t>
  </si>
  <si>
    <t>Bd131991499</t>
  </si>
  <si>
    <t>Bd131991506</t>
  </si>
  <si>
    <t>Bd131991518</t>
  </si>
  <si>
    <t>Bd131991520</t>
  </si>
  <si>
    <t>industrial</t>
  </si>
  <si>
    <t>Bd131991523</t>
  </si>
  <si>
    <t>Bd131991534</t>
  </si>
  <si>
    <t>Bd131991535</t>
  </si>
  <si>
    <t>Bd131991539</t>
  </si>
  <si>
    <t>Bd131991546</t>
  </si>
  <si>
    <t>Bd131991596</t>
  </si>
  <si>
    <t>Bd131991613</t>
  </si>
  <si>
    <t>Bd131991619</t>
  </si>
  <si>
    <t>Bd131991620</t>
  </si>
  <si>
    <t>Bd131991621</t>
  </si>
  <si>
    <t>Bd131991628</t>
  </si>
  <si>
    <t>Bd131991640</t>
  </si>
  <si>
    <t>Bd131991665</t>
  </si>
  <si>
    <t>Bd131991674</t>
  </si>
  <si>
    <t>Bd131991697</t>
  </si>
  <si>
    <t>Bd131991712</t>
  </si>
  <si>
    <t>Bd131991724</t>
  </si>
  <si>
    <t>Bd131991729</t>
  </si>
  <si>
    <t>Bd131991731</t>
  </si>
  <si>
    <t>Bd131991745</t>
  </si>
  <si>
    <t>Bd131991753</t>
  </si>
  <si>
    <t>Bd131991795</t>
  </si>
  <si>
    <t>Bd131991802</t>
  </si>
  <si>
    <t>Bd131991809</t>
  </si>
  <si>
    <t>Bd131991821</t>
  </si>
  <si>
    <t>Bd131991827</t>
  </si>
  <si>
    <t>Bd131991845</t>
  </si>
  <si>
    <t>Bd131991852</t>
  </si>
  <si>
    <t>Bd131991861</t>
  </si>
  <si>
    <t>Bd131991876</t>
  </si>
  <si>
    <t>Bd131991914</t>
  </si>
  <si>
    <t>Bd131991920</t>
  </si>
  <si>
    <t>Bd131991945</t>
  </si>
  <si>
    <t>Bd131991968</t>
  </si>
  <si>
    <t>Bd131991978</t>
  </si>
  <si>
    <t>Bd131991982</t>
  </si>
  <si>
    <t>Bd131991988</t>
  </si>
  <si>
    <t>Bd131991992</t>
  </si>
  <si>
    <t>Bd131991999</t>
  </si>
  <si>
    <t>Bd131992004</t>
  </si>
  <si>
    <t>Bd131996454</t>
  </si>
  <si>
    <t>Bd131996478</t>
  </si>
  <si>
    <t>Bd131996492</t>
  </si>
  <si>
    <t>Bd131996525</t>
  </si>
  <si>
    <t>Bd131996559</t>
  </si>
  <si>
    <t>Bd131996561</t>
  </si>
  <si>
    <t>Bd131996563</t>
  </si>
  <si>
    <t>Bd131996579</t>
  </si>
  <si>
    <t>Generator Number</t>
  </si>
  <si>
    <t>Building Name</t>
  </si>
  <si>
    <t>Thermal capacity [kW]</t>
  </si>
  <si>
    <t>Energy produced [kWh /year]</t>
  </si>
  <si>
    <t>Energy input from national grid [kWh/year]</t>
  </si>
  <si>
    <t>Energy input from Photovoltaic system [kWh/year]</t>
  </si>
  <si>
    <t>Energy input from CHP-Internal Combustion Engine [kWh/year]</t>
  </si>
  <si>
    <t>Energy input from CHP-Combined cycle [kWh/year]</t>
  </si>
  <si>
    <t>Energy input from CHP-Gas Turbine [kWh/year]</t>
  </si>
  <si>
    <t>Energy input from CHP-Waste-to-Energy [kWh/year]</t>
  </si>
  <si>
    <t>Energy input from CHP-Organic Rankine Cycle [kWh/year]</t>
  </si>
  <si>
    <t>Cooling capacity [kW]</t>
  </si>
  <si>
    <t>Electric energy absorbed [kWh/year]</t>
  </si>
  <si>
    <t>COP</t>
  </si>
  <si>
    <t>Cooling - Compression chiller #1</t>
  </si>
  <si>
    <t>Cooling - Compression chiller #2</t>
  </si>
  <si>
    <t>Cooling - Compression chiller #3</t>
  </si>
  <si>
    <t>Cooling - Compression chiller #4</t>
  </si>
  <si>
    <t>Cooling - Compression chiller #5</t>
  </si>
  <si>
    <t>Cooling - Compression chiller #6</t>
  </si>
  <si>
    <t>Cooling - Compression chiller #7</t>
  </si>
  <si>
    <t>Cooling - Compression chiller #8</t>
  </si>
  <si>
    <t>Cooling - Compression chiller #9</t>
  </si>
  <si>
    <t>Cooling - Compression chiller #10</t>
  </si>
  <si>
    <t>Cooling - Compression chiller #11</t>
  </si>
  <si>
    <t>Cooling - Compression chiller #12</t>
  </si>
  <si>
    <t>Cooling - Compression chiller #13</t>
  </si>
  <si>
    <t>Cooling - Compression chiller #14</t>
  </si>
  <si>
    <t>Cooling - Compression chiller #15</t>
  </si>
  <si>
    <t>Cooling - Compression chiller #16</t>
  </si>
  <si>
    <t>Cooling - Compression chiller #17</t>
  </si>
  <si>
    <t>Cooling - Compression chiller #18</t>
  </si>
  <si>
    <t>Cooling - Compression chiller #19</t>
  </si>
  <si>
    <t>Cooling - Compression chiller #20</t>
  </si>
  <si>
    <t>Cooling - Compression chiller #21</t>
  </si>
  <si>
    <t>Cooling - Compression chiller #22</t>
  </si>
  <si>
    <t>Cooling - Compression chiller #23</t>
  </si>
  <si>
    <t>Cooling - Compression chiller #24</t>
  </si>
  <si>
    <t>Cooling - Compression chiller #25</t>
  </si>
  <si>
    <t>Cooling - Compression chiller #26</t>
  </si>
  <si>
    <t>Cooling - Compression chiller #27</t>
  </si>
  <si>
    <t>Cooling - Compression chiller #28</t>
  </si>
  <si>
    <t>Cooling - Compression chiller #29</t>
  </si>
  <si>
    <t>Cooling - Compression chiller #30</t>
  </si>
  <si>
    <t>Cooling - Compression chiller #31</t>
  </si>
  <si>
    <t>Cooling - Compression chiller #32</t>
  </si>
  <si>
    <t>Cooling - Compression chiller #33</t>
  </si>
  <si>
    <t>Cooling - Compression chiller #34</t>
  </si>
  <si>
    <t>Cooling - Compression chiller #35</t>
  </si>
  <si>
    <t>Cooling - Compression chiller #36</t>
  </si>
  <si>
    <t>Cooling - Compression chiller #37</t>
  </si>
  <si>
    <t>Cooling - Compression chiller #38</t>
  </si>
  <si>
    <t>Cooling - Compression chiller #39</t>
  </si>
  <si>
    <t>Cooling - Compression chiller #40</t>
  </si>
  <si>
    <t>Cooling - Compression chiller #41</t>
  </si>
  <si>
    <t>Cooling - Compression chiller #42</t>
  </si>
  <si>
    <t>Cooling - Compression chiller #43</t>
  </si>
  <si>
    <t>Cooling - Compression chiller #44</t>
  </si>
  <si>
    <t>Cooling - Compression chiller #45</t>
  </si>
  <si>
    <t>Cooling - Compression chiller #46</t>
  </si>
  <si>
    <t>Cooling - Compression chiller #47</t>
  </si>
  <si>
    <t>Cooling - Compression chiller #48</t>
  </si>
  <si>
    <t>Cooling - Compression chiller #49</t>
  </si>
  <si>
    <t>Cooling - Compression chiller #50</t>
  </si>
  <si>
    <t>Cooling - Compression chiller #51</t>
  </si>
  <si>
    <t>Cooling - Compression chiller #52</t>
  </si>
  <si>
    <t>Cooling - Compression chiller #53</t>
  </si>
  <si>
    <t>Cooling - Compression chiller #54</t>
  </si>
  <si>
    <t>Cooling - Compression chiller #55</t>
  </si>
  <si>
    <t>Cooling - Compression chiller #56</t>
  </si>
  <si>
    <t>Cooling - Compression chiller #57</t>
  </si>
  <si>
    <t>Cooling - Compression chiller #58</t>
  </si>
  <si>
    <t>Cooling - Compression chiller #59</t>
  </si>
  <si>
    <t>Cooling - Compression chiller #60</t>
  </si>
  <si>
    <t>Cooling - Compression chiller #61</t>
  </si>
  <si>
    <t>Cooling - Compression chiller #62</t>
  </si>
  <si>
    <t>Cooling - Compression chiller #63</t>
  </si>
  <si>
    <t>Cooling - Compression chiller #64</t>
  </si>
  <si>
    <t>Cooling - Compression chiller #65</t>
  </si>
  <si>
    <t>Cooling - Compression chiller #66</t>
  </si>
  <si>
    <t>Cooling - Compression chiller #67</t>
  </si>
  <si>
    <t>Cooling - Compression chiller #68</t>
  </si>
  <si>
    <t>Cooling - Compression chiller #69</t>
  </si>
  <si>
    <t>Cooling - Compression chiller #70</t>
  </si>
  <si>
    <t>Cooling - Compression chiller #71</t>
  </si>
  <si>
    <t>Cooling - Compression chiller #72</t>
  </si>
  <si>
    <t>Cooling - Compression chiller #73</t>
  </si>
  <si>
    <t>Cooling - Compression chiller #74</t>
  </si>
  <si>
    <t>Cooling - Compression chiller #75</t>
  </si>
  <si>
    <t>Cooling - Compression chiller #76</t>
  </si>
  <si>
    <t>Cooling - Compression chiller #77</t>
  </si>
  <si>
    <t>Cooling - Compression chiller #78</t>
  </si>
  <si>
    <t>Cooling - Compression chiller #79</t>
  </si>
  <si>
    <t>Cooling - Compression chiller #80</t>
  </si>
  <si>
    <t>Cooling - Compression chiller #81</t>
  </si>
  <si>
    <t>Cooling - Compression chiller #82</t>
  </si>
  <si>
    <t>Cooling - Compression chiller #83</t>
  </si>
  <si>
    <t>Cooling - Compression chiller #84</t>
  </si>
  <si>
    <t>Cooling - Compression chiller #85</t>
  </si>
  <si>
    <t>Cooling - Compression chiller #86</t>
  </si>
  <si>
    <t>Cooling - Compression chiller #87</t>
  </si>
  <si>
    <t>Cooling - Compression chiller #88</t>
  </si>
  <si>
    <t>Cooling - Compression chiller #89</t>
  </si>
  <si>
    <t>Cooling - Compression chiller #90</t>
  </si>
  <si>
    <t>Cooling - Compression chiller #91</t>
  </si>
  <si>
    <t>Cooling - Compression chiller #92</t>
  </si>
  <si>
    <t>Cooling - Compression chiller #93</t>
  </si>
  <si>
    <t>Cooling - Compression chiller #94</t>
  </si>
  <si>
    <t>Cooling - Compression chiller #95</t>
  </si>
  <si>
    <t>Cooling - Compression chiller #96</t>
  </si>
  <si>
    <t>Cooling - Compression chiller #97</t>
  </si>
  <si>
    <t>Cooling - Compression chiller #98</t>
  </si>
  <si>
    <t>Cooling - Compression chiller #99</t>
  </si>
  <si>
    <t>Cooling - Compression chiller #100</t>
  </si>
  <si>
    <t>Cooling - Compression chiller #101</t>
  </si>
  <si>
    <t>Cooling - Compression chiller #102</t>
  </si>
  <si>
    <t>Cooling - Compression chiller #103</t>
  </si>
  <si>
    <t>Cooling - Compression chiller #104</t>
  </si>
  <si>
    <t>Cooling - Compression chiller #105</t>
  </si>
  <si>
    <t>Cooling - Compression chiller #106</t>
  </si>
  <si>
    <t>Cooling - Compression chiller #107</t>
  </si>
  <si>
    <t>Cooling - Compression chiller #108</t>
  </si>
  <si>
    <t>Cooling - Compression chiller #109</t>
  </si>
  <si>
    <t>Cooling - Compression chiller #110</t>
  </si>
  <si>
    <t>Cooling - Compression chiller #111</t>
  </si>
  <si>
    <t>Cooling - Compression chiller #112</t>
  </si>
  <si>
    <t>Cooling - Compression chiller #113</t>
  </si>
  <si>
    <t>Cooling - Compression chiller #114</t>
  </si>
  <si>
    <t>Cooling - Compression chiller #115</t>
  </si>
  <si>
    <t>Cooling - Compression chiller #116</t>
  </si>
  <si>
    <t>Cooling - Compression chiller #117</t>
  </si>
  <si>
    <t>Cooling - Compression chiller #118</t>
  </si>
  <si>
    <t>Cooling - Compression chiller #119</t>
  </si>
  <si>
    <t>Cooling - Compression chiller #120</t>
  </si>
  <si>
    <t>Cooling - Compression chiller #121</t>
  </si>
  <si>
    <t>Cooling - Compression chiller #122</t>
  </si>
  <si>
    <t>Cooling - Compression chiller #123</t>
  </si>
  <si>
    <t>Cooling - Compression chiller #124</t>
  </si>
  <si>
    <t>Cooling - Compression chiller #125</t>
  </si>
  <si>
    <t>Cooling - Compression chiller #126</t>
  </si>
  <si>
    <t>Cooling - Compression chiller #127</t>
  </si>
  <si>
    <t>Cooling - Compression chiller #128</t>
  </si>
  <si>
    <t>Cooling - Compression chiller #129</t>
  </si>
  <si>
    <t>Cooling - Compression chiller #130</t>
  </si>
  <si>
    <t>Cooling - Compression chiller #131</t>
  </si>
  <si>
    <t>Cooling - Compression chiller #132</t>
  </si>
  <si>
    <t>Cooling - Compression chiller #133</t>
  </si>
  <si>
    <t>Cooling - Compression chiller #134</t>
  </si>
  <si>
    <t>Cooling - Compression chiller #135</t>
  </si>
  <si>
    <t>Cooling - Compression chiller #136</t>
  </si>
  <si>
    <t>Cooling - Compression chiller #137</t>
  </si>
  <si>
    <t>Cooling - Compression chiller #138</t>
  </si>
  <si>
    <t>Cooling - Compression chiller #139</t>
  </si>
  <si>
    <t>Cooling - Compression chiller #140</t>
  </si>
  <si>
    <t>Cooling - Compression chiller #141</t>
  </si>
  <si>
    <t>Cooling - Compression chiller #142</t>
  </si>
  <si>
    <t>Cooling - Compression chiller #143</t>
  </si>
  <si>
    <t>Cooling - Compression chiller #144</t>
  </si>
  <si>
    <t>Cooling - Compression chiller #145</t>
  </si>
  <si>
    <t>Cooling - Compression chiller #146</t>
  </si>
  <si>
    <t>Cooling - Compression chiller #147</t>
  </si>
  <si>
    <t>Cooling - Compression chiller #148</t>
  </si>
  <si>
    <t>Cooling - Compression chiller #149</t>
  </si>
  <si>
    <t>Cooling - Compression chiller #150</t>
  </si>
  <si>
    <t>Cooling - Compression chiller #151</t>
  </si>
  <si>
    <t>Cooling - Compression chiller #152</t>
  </si>
  <si>
    <t>Cooling - Compression chiller #153</t>
  </si>
  <si>
    <t>Cooling - Compression chiller #154</t>
  </si>
  <si>
    <t>Cooling - Compression chiller #155</t>
  </si>
  <si>
    <t>Cooling - Compression chiller #156</t>
  </si>
  <si>
    <t>Cooling - Compression chiller #157</t>
  </si>
  <si>
    <t>Cooling - Compression chiller #158</t>
  </si>
  <si>
    <t>Cooling - Compression chiller #159</t>
  </si>
  <si>
    <t>Cooling - Compression chiller #160</t>
  </si>
  <si>
    <t>Cooling - Compression chiller #161</t>
  </si>
  <si>
    <t>Cooling - Compression chiller #162</t>
  </si>
  <si>
    <t>Cooling - Compression chiller #163</t>
  </si>
  <si>
    <t>Cooling - Compression chiller #164</t>
  </si>
  <si>
    <t>Cooling - Compression chiller #165</t>
  </si>
  <si>
    <t>Cooling - Compression chiller #166</t>
  </si>
  <si>
    <t>Cooling - Compression chiller #167</t>
  </si>
  <si>
    <t>Cooling - Compression chiller #168</t>
  </si>
  <si>
    <t>Cooling - Compression chiller #169</t>
  </si>
  <si>
    <t>Cooling - Compression chiller #170</t>
  </si>
  <si>
    <t>Cooling - Compression chiller #171</t>
  </si>
  <si>
    <t>Cooling - Compression chiller #172</t>
  </si>
  <si>
    <t>Cooling - Compression chiller #173</t>
  </si>
  <si>
    <t>Cooling - Compression chiller #174</t>
  </si>
  <si>
    <t>Cooling - Compression chiller #175</t>
  </si>
  <si>
    <t>Cooling - Compression chiller #176</t>
  </si>
  <si>
    <t>Cooling - Compression chiller #177</t>
  </si>
  <si>
    <t>Cooling - Compression chiller #178</t>
  </si>
  <si>
    <t>Cooling - Compression chiller #179</t>
  </si>
  <si>
    <t>Cooling - Compression chiller #180</t>
  </si>
  <si>
    <t>Cooling - Compression chiller #181</t>
  </si>
  <si>
    <t>Cooling - Compression chiller #182</t>
  </si>
  <si>
    <t>Cooling - Compression chiller #183</t>
  </si>
  <si>
    <t>Cooling - Compression chiller #184</t>
  </si>
  <si>
    <t>Cooling - Compression chiller #185</t>
  </si>
  <si>
    <t>Cooling - Compression chiller #186</t>
  </si>
  <si>
    <t>Cooling - Compression chiller #187</t>
  </si>
  <si>
    <t>Cooling - Compression chiller #188</t>
  </si>
  <si>
    <t>Cooling - Compression chiller #189</t>
  </si>
  <si>
    <t>Cooling - Compression chiller #190</t>
  </si>
  <si>
    <t>Cooling - Compression chiller #191</t>
  </si>
  <si>
    <t>Cooling - Compression chiller #192</t>
  </si>
  <si>
    <t>Cooling - Compression chiller #193</t>
  </si>
  <si>
    <t>Cooling - Compression chiller #194</t>
  </si>
  <si>
    <t>Cooling - Compression chiller #195</t>
  </si>
  <si>
    <t>Cooling - Compression chiller #196</t>
  </si>
  <si>
    <t>Cooling - Compression chiller #197</t>
  </si>
  <si>
    <t>Cooling - Compression chiller #198</t>
  </si>
  <si>
    <t>Cooling - Compression chiller #199</t>
  </si>
  <si>
    <t>Cooling - Compression chiller #200</t>
  </si>
  <si>
    <t>Cooling - Compression chiller #201</t>
  </si>
  <si>
    <t>Cooling - Compression chiller #202</t>
  </si>
  <si>
    <t>Cooling - Compression chiller #203</t>
  </si>
  <si>
    <t>Cooling - Compression chiller #204</t>
  </si>
  <si>
    <t>Cooling - Compression chiller #205</t>
  </si>
  <si>
    <t>Cooling - Compression chiller #206</t>
  </si>
  <si>
    <t>Cooling - Compression chiller #207</t>
  </si>
  <si>
    <t>Cooling - Compression chiller #208</t>
  </si>
  <si>
    <t>Cooling - Compression chiller #209</t>
  </si>
  <si>
    <t>Cooling - Compression chiller #210</t>
  </si>
  <si>
    <t>Cooling - Compression chiller #211</t>
  </si>
  <si>
    <t>Cooling - Compression chiller #212</t>
  </si>
  <si>
    <t>Cooling - Compression chiller #213</t>
  </si>
  <si>
    <t>Cooling - Compression chiller #214</t>
  </si>
  <si>
    <t>Cooling - Compression chiller #215</t>
  </si>
  <si>
    <t>Cooling - Compression chiller #216</t>
  </si>
  <si>
    <t>Cooling - Compression chiller #217</t>
  </si>
  <si>
    <t>Cooling - Compression chiller #218</t>
  </si>
  <si>
    <t>Cooling - Compression chiller #219</t>
  </si>
  <si>
    <t>Cooling - Compression chiller #220</t>
  </si>
  <si>
    <t>Cooling - Compression chiller #221</t>
  </si>
  <si>
    <t>Cooling - Compression chiller #222</t>
  </si>
  <si>
    <t>Cooling - Compression chiller #223</t>
  </si>
  <si>
    <t>Cooling - Compression chiller #224</t>
  </si>
  <si>
    <t>Cooling - Compression chiller #225</t>
  </si>
  <si>
    <t>Cooling - Compression chiller #226</t>
  </si>
  <si>
    <t>Cooling - Compression chiller #227</t>
  </si>
  <si>
    <t>Cooling - Compression chiller #228</t>
  </si>
  <si>
    <t>Cooling - Compression chiller #229</t>
  </si>
  <si>
    <t>Cooling - Compression chiller #230</t>
  </si>
  <si>
    <t>Cooling - Compression chiller #231</t>
  </si>
  <si>
    <t>Cooling - Compression chiller #232</t>
  </si>
  <si>
    <t>Cooling - Compression chiller #233</t>
  </si>
  <si>
    <t>Cooling - Compression chiller #234</t>
  </si>
  <si>
    <t>Cooling - Compression chiller #235</t>
  </si>
  <si>
    <t>Cooling - Compression chiller #236</t>
  </si>
  <si>
    <t>Cooling - Compression chiller #237</t>
  </si>
  <si>
    <t>Cooling - Compression chiller #238</t>
  </si>
  <si>
    <t>Cooling - Compression chiller #239</t>
  </si>
  <si>
    <t>Cooling - Compression chiller #240</t>
  </si>
  <si>
    <t>Cooling - Compression chiller #241</t>
  </si>
  <si>
    <t>Cooling - Compression chiller #242</t>
  </si>
  <si>
    <t>Cooling - Compression chiller #243</t>
  </si>
  <si>
    <t>Cooling - Compression chiller #244</t>
  </si>
  <si>
    <t>Cooling - Compression chiller #245</t>
  </si>
  <si>
    <t>Cooling - Compression chiller #246</t>
  </si>
  <si>
    <t>Cooling - Compression chiller #247</t>
  </si>
  <si>
    <t>Cooling - Compression chiller #248</t>
  </si>
  <si>
    <t>Cooling - Compression chiller #249</t>
  </si>
  <si>
    <t>Cooling - Compression chiller #250</t>
  </si>
  <si>
    <t>Cooling - Compression chiller #251</t>
  </si>
  <si>
    <t>Cooling - Compression chiller #252</t>
  </si>
  <si>
    <t>Cooling - Compression chiller #253</t>
  </si>
  <si>
    <t>Cooling - Compression chiller #254</t>
  </si>
  <si>
    <t>Cooling - Compression chiller #255</t>
  </si>
  <si>
    <t>Cooling - Compression chiller #256</t>
  </si>
  <si>
    <t>Cooling - Compression chiller #257</t>
  </si>
  <si>
    <t>Cooling - Compression chiller #258</t>
  </si>
  <si>
    <t>Cooling - Compression chiller #259</t>
  </si>
  <si>
    <t>Cooling - Compression chiller #260</t>
  </si>
  <si>
    <t>Cooling - Compression chiller #261</t>
  </si>
  <si>
    <t>Cooling - Compression chiller #262</t>
  </si>
  <si>
    <t>Cooling - Compression chiller #263</t>
  </si>
  <si>
    <t>Cooling - Compression chiller #264</t>
  </si>
  <si>
    <t>Cooling - Compression chiller #265</t>
  </si>
  <si>
    <t>Cooling - Compression chiller #266</t>
  </si>
  <si>
    <t>Cooling - Compression chiller #267</t>
  </si>
  <si>
    <t>Cooling - Compression chiller #268</t>
  </si>
  <si>
    <t>Cooling - Compression chiller #269</t>
  </si>
  <si>
    <t>Cooling - Compression chiller #270</t>
  </si>
  <si>
    <t>Cooling - Compression chiller #271</t>
  </si>
  <si>
    <t>Cooling - Compression chiller #272</t>
  </si>
  <si>
    <t>Cooling - Compression chiller #273</t>
  </si>
  <si>
    <t>Cooling - Compression chiller #274</t>
  </si>
  <si>
    <t>Cooling - Compression chiller #275</t>
  </si>
  <si>
    <t>Cooling - Compression chiller #276</t>
  </si>
  <si>
    <t>Cooling - Compression chiller #277</t>
  </si>
  <si>
    <t>Cooling - Compression chiller #278</t>
  </si>
  <si>
    <t>Cooling - Compression chiller #279</t>
  </si>
  <si>
    <t>Cooling - Compression chiller #280</t>
  </si>
  <si>
    <t>Cooling - Compression chiller #281</t>
  </si>
  <si>
    <t>Cooling - Compression chiller #282</t>
  </si>
  <si>
    <t>Cooling - Compression chiller #283</t>
  </si>
  <si>
    <t>Cooling - Compression chiller #284</t>
  </si>
  <si>
    <t>Cooling - Compression chiller #285</t>
  </si>
  <si>
    <t>Cooling - Compression chiller #286</t>
  </si>
  <si>
    <t>Cooling - Compression chiller #287</t>
  </si>
  <si>
    <t>Cooling - Compression chiller #288</t>
  </si>
  <si>
    <t>Cooling - Compression chiller #289</t>
  </si>
  <si>
    <t>Cooling - Compression chiller #290</t>
  </si>
  <si>
    <t>Cooling - Compression chiller #291</t>
  </si>
  <si>
    <t>Cooling - Compression chiller #292</t>
  </si>
  <si>
    <t>Cooling - Compression chiller #293</t>
  </si>
  <si>
    <t>Cooling - Compression chiller #294</t>
  </si>
  <si>
    <t>Cooling - Compression chiller #295</t>
  </si>
  <si>
    <t>Cooling - Compression chiller #296</t>
  </si>
  <si>
    <t>Cooling - Compression chiller #297</t>
  </si>
  <si>
    <t>Cooling - Compression chiller #298</t>
  </si>
  <si>
    <t>Cooling - Compression chiller #299</t>
  </si>
  <si>
    <t>Cooling - Compression chiller #300</t>
  </si>
  <si>
    <t>Energy demand [kWh/year]</t>
  </si>
  <si>
    <t>Energy input from National grid [kWh/year]</t>
  </si>
  <si>
    <t>Appliances demand #1</t>
  </si>
  <si>
    <t>Appliances demand #2</t>
  </si>
  <si>
    <t>Appliances demand #3</t>
  </si>
  <si>
    <t>Appliances demand #4</t>
  </si>
  <si>
    <t>Appliances demand #5</t>
  </si>
  <si>
    <t>Appliances demand #6</t>
  </si>
  <si>
    <t>Appliances demand #7</t>
  </si>
  <si>
    <t>Appliances demand #8</t>
  </si>
  <si>
    <t>Appliances demand #9</t>
  </si>
  <si>
    <t>Appliances demand #10</t>
  </si>
  <si>
    <t>Appliances demand #11</t>
  </si>
  <si>
    <t>Appliances demand #12</t>
  </si>
  <si>
    <t>Appliances demand #13</t>
  </si>
  <si>
    <t>Appliances demand #14</t>
  </si>
  <si>
    <t>Appliances demand #15</t>
  </si>
  <si>
    <t>Appliances demand #16</t>
  </si>
  <si>
    <t>Appliances demand #17</t>
  </si>
  <si>
    <t>Appliances demand #18</t>
  </si>
  <si>
    <t>Appliances demand #19</t>
  </si>
  <si>
    <t>Appliances demand #20</t>
  </si>
  <si>
    <t>Appliances demand #21</t>
  </si>
  <si>
    <t>Appliances demand #22</t>
  </si>
  <si>
    <t>Appliances demand #23</t>
  </si>
  <si>
    <t>Appliances demand #24</t>
  </si>
  <si>
    <t>Appliances demand #25</t>
  </si>
  <si>
    <t>Appliances demand #26</t>
  </si>
  <si>
    <t>Appliances demand #27</t>
  </si>
  <si>
    <t>Appliances demand #28</t>
  </si>
  <si>
    <t>Appliances demand #29</t>
  </si>
  <si>
    <t>Appliances demand #30</t>
  </si>
  <si>
    <t>Appliances demand #31</t>
  </si>
  <si>
    <t>Appliances demand #32</t>
  </si>
  <si>
    <t>Appliances demand #33</t>
  </si>
  <si>
    <t>Appliances demand #34</t>
  </si>
  <si>
    <t>Appliances demand #35</t>
  </si>
  <si>
    <t>Appliances demand #36</t>
  </si>
  <si>
    <t>Appliances demand #37</t>
  </si>
  <si>
    <t>Appliances demand #38</t>
  </si>
  <si>
    <t>Appliances demand #39</t>
  </si>
  <si>
    <t>Appliances demand #40</t>
  </si>
  <si>
    <t>Appliances demand #41</t>
  </si>
  <si>
    <t>Appliances demand #42</t>
  </si>
  <si>
    <t>Appliances demand #43</t>
  </si>
  <si>
    <t>Appliances demand #44</t>
  </si>
  <si>
    <t>Appliances demand #45</t>
  </si>
  <si>
    <t>Appliances demand #46</t>
  </si>
  <si>
    <t>Appliances demand #47</t>
  </si>
  <si>
    <t>Appliances demand #48</t>
  </si>
  <si>
    <t>Appliances demand #49</t>
  </si>
  <si>
    <t>Appliances demand #50</t>
  </si>
  <si>
    <t>Appliances demand #51</t>
  </si>
  <si>
    <t>Appliances demand #52</t>
  </si>
  <si>
    <t>Appliances demand #53</t>
  </si>
  <si>
    <t>Appliances demand #54</t>
  </si>
  <si>
    <t>Appliances demand #55</t>
  </si>
  <si>
    <t>Appliances demand #56</t>
  </si>
  <si>
    <t>Appliances demand #57</t>
  </si>
  <si>
    <t>Appliances demand #58</t>
  </si>
  <si>
    <t>Appliances demand #59</t>
  </si>
  <si>
    <t>Appliances demand #60</t>
  </si>
  <si>
    <t>Appliances demand #61</t>
  </si>
  <si>
    <t>Appliances demand #62</t>
  </si>
  <si>
    <t>Appliances demand #63</t>
  </si>
  <si>
    <t>Appliances demand #64</t>
  </si>
  <si>
    <t>Appliances demand #65</t>
  </si>
  <si>
    <t>Appliances demand #66</t>
  </si>
  <si>
    <t>Appliances demand #67</t>
  </si>
  <si>
    <t>Appliances demand #68</t>
  </si>
  <si>
    <t>Appliances demand #69</t>
  </si>
  <si>
    <t>Appliances demand #70</t>
  </si>
  <si>
    <t>Appliances demand #71</t>
  </si>
  <si>
    <t>Appliances demand #72</t>
  </si>
  <si>
    <t>Appliances demand #73</t>
  </si>
  <si>
    <t>Appliances demand #74</t>
  </si>
  <si>
    <t>Appliances demand #75</t>
  </si>
  <si>
    <t>Appliances demand #76</t>
  </si>
  <si>
    <t>Appliances demand #77</t>
  </si>
  <si>
    <t>Appliances demand #78</t>
  </si>
  <si>
    <t>Appliances demand #79</t>
  </si>
  <si>
    <t>Appliances demand #80</t>
  </si>
  <si>
    <t>Appliances demand #81</t>
  </si>
  <si>
    <t>Appliances demand #82</t>
  </si>
  <si>
    <t>Appliances demand #83</t>
  </si>
  <si>
    <t>Appliances demand #84</t>
  </si>
  <si>
    <t>Appliances demand #85</t>
  </si>
  <si>
    <t>Appliances demand #86</t>
  </si>
  <si>
    <t>Appliances demand #87</t>
  </si>
  <si>
    <t>Appliances demand #88</t>
  </si>
  <si>
    <t>Appliances demand #89</t>
  </si>
  <si>
    <t>Appliances demand #90</t>
  </si>
  <si>
    <t>Appliances demand #91</t>
  </si>
  <si>
    <t>Appliances demand #92</t>
  </si>
  <si>
    <t>Appliances demand #93</t>
  </si>
  <si>
    <t>Appliances demand #94</t>
  </si>
  <si>
    <t>Appliances demand #95</t>
  </si>
  <si>
    <t>Appliances demand #96</t>
  </si>
  <si>
    <t>Appliances demand #97</t>
  </si>
  <si>
    <t>Appliances demand #98</t>
  </si>
  <si>
    <t>Appliances demand #99</t>
  </si>
  <si>
    <t>Appliances demand #100</t>
  </si>
  <si>
    <t>Appliances demand #101</t>
  </si>
  <si>
    <t>Appliances demand #102</t>
  </si>
  <si>
    <t>Appliances demand #103</t>
  </si>
  <si>
    <t>Appliances demand #104</t>
  </si>
  <si>
    <t>Appliances demand #105</t>
  </si>
  <si>
    <t>Appliances demand #106</t>
  </si>
  <si>
    <t>Appliances demand #107</t>
  </si>
  <si>
    <t>Appliances demand #108</t>
  </si>
  <si>
    <t>Appliances demand #109</t>
  </si>
  <si>
    <t>Appliances demand #110</t>
  </si>
  <si>
    <t>Appliances demand #111</t>
  </si>
  <si>
    <t>Appliances demand #112</t>
  </si>
  <si>
    <t>Appliances demand #113</t>
  </si>
  <si>
    <t>Appliances demand #114</t>
  </si>
  <si>
    <t>Appliances demand #115</t>
  </si>
  <si>
    <t>Appliances demand #116</t>
  </si>
  <si>
    <t>Appliances demand #117</t>
  </si>
  <si>
    <t>Appliances demand #118</t>
  </si>
  <si>
    <t>Appliances demand #119</t>
  </si>
  <si>
    <t>Appliances demand #120</t>
  </si>
  <si>
    <t>Appliances demand #121</t>
  </si>
  <si>
    <t>Appliances demand #122</t>
  </si>
  <si>
    <t>Appliances demand #123</t>
  </si>
  <si>
    <t>Appliances demand #124</t>
  </si>
  <si>
    <t>Appliances demand #125</t>
  </si>
  <si>
    <t>Appliances demand #126</t>
  </si>
  <si>
    <t>Appliances demand #127</t>
  </si>
  <si>
    <t>Appliances demand #128</t>
  </si>
  <si>
    <t>Appliances demand #129</t>
  </si>
  <si>
    <t>Appliances demand #130</t>
  </si>
  <si>
    <t>Appliances demand #131</t>
  </si>
  <si>
    <t>Appliances demand #132</t>
  </si>
  <si>
    <t>Appliances demand #133</t>
  </si>
  <si>
    <t>Appliances demand #134</t>
  </si>
  <si>
    <t>Appliances demand #135</t>
  </si>
  <si>
    <t>Appliances demand #136</t>
  </si>
  <si>
    <t>Appliances demand #137</t>
  </si>
  <si>
    <t>Appliances demand #138</t>
  </si>
  <si>
    <t>Appliances demand #139</t>
  </si>
  <si>
    <t>Appliances demand #140</t>
  </si>
  <si>
    <t>Appliances demand #141</t>
  </si>
  <si>
    <t>Appliances demand #142</t>
  </si>
  <si>
    <t>Appliances demand #143</t>
  </si>
  <si>
    <t>Appliances demand #144</t>
  </si>
  <si>
    <t>Appliances demand #145</t>
  </si>
  <si>
    <t>Appliances demand #146</t>
  </si>
  <si>
    <t>Appliances demand #147</t>
  </si>
  <si>
    <t>Appliances demand #148</t>
  </si>
  <si>
    <t>Appliances demand #149</t>
  </si>
  <si>
    <t>Appliances demand #150</t>
  </si>
  <si>
    <t>Appliances demand #151</t>
  </si>
  <si>
    <t>Appliances demand #152</t>
  </si>
  <si>
    <t>Appliances demand #153</t>
  </si>
  <si>
    <t>Appliances demand #154</t>
  </si>
  <si>
    <t>Appliances demand #155</t>
  </si>
  <si>
    <t>Appliances demand #156</t>
  </si>
  <si>
    <t>Appliances demand #157</t>
  </si>
  <si>
    <t>Appliances demand #158</t>
  </si>
  <si>
    <t>Appliances demand #159</t>
  </si>
  <si>
    <t>Appliances demand #160</t>
  </si>
  <si>
    <t>Appliances demand #161</t>
  </si>
  <si>
    <t>Appliances demand #162</t>
  </si>
  <si>
    <t>Appliances demand #163</t>
  </si>
  <si>
    <t>Appliances demand #164</t>
  </si>
  <si>
    <t>Appliances demand #165</t>
  </si>
  <si>
    <t>Appliances demand #166</t>
  </si>
  <si>
    <t>Appliances demand #167</t>
  </si>
  <si>
    <t>Appliances demand #168</t>
  </si>
  <si>
    <t>Appliances demand #169</t>
  </si>
  <si>
    <t>Appliances demand #170</t>
  </si>
  <si>
    <t>Appliances demand #171</t>
  </si>
  <si>
    <t>Appliances demand #172</t>
  </si>
  <si>
    <t>Appliances demand #173</t>
  </si>
  <si>
    <t>Appliances demand #174</t>
  </si>
  <si>
    <t>Appliances demand #175</t>
  </si>
  <si>
    <t>Appliances demand #176</t>
  </si>
  <si>
    <t>Appliances demand #177</t>
  </si>
  <si>
    <t>Appliances demand #178</t>
  </si>
  <si>
    <t>Appliances demand #179</t>
  </si>
  <si>
    <t>Appliances demand #180</t>
  </si>
  <si>
    <t>Appliances demand #181</t>
  </si>
  <si>
    <t>Appliances demand #182</t>
  </si>
  <si>
    <t>Appliances demand #183</t>
  </si>
  <si>
    <t>Appliances demand #184</t>
  </si>
  <si>
    <t>Appliances demand #185</t>
  </si>
  <si>
    <t>Appliances demand #186</t>
  </si>
  <si>
    <t>Appliances demand #187</t>
  </si>
  <si>
    <t>Appliances demand #188</t>
  </si>
  <si>
    <t>Appliances demand #189</t>
  </si>
  <si>
    <t>Appliances demand #190</t>
  </si>
  <si>
    <t>Appliances demand #191</t>
  </si>
  <si>
    <t>Appliances demand #192</t>
  </si>
  <si>
    <t>Appliances demand #193</t>
  </si>
  <si>
    <t>Appliances demand #194</t>
  </si>
  <si>
    <t>Appliances demand #195</t>
  </si>
  <si>
    <t>Appliances demand #196</t>
  </si>
  <si>
    <t>Appliances demand #197</t>
  </si>
  <si>
    <t>Appliances demand #198</t>
  </si>
  <si>
    <t>Appliances demand #199</t>
  </si>
  <si>
    <t>Appliances demand #200</t>
  </si>
  <si>
    <t>Appliances demand #201</t>
  </si>
  <si>
    <t>Appliances demand #202</t>
  </si>
  <si>
    <t>Appliances demand #203</t>
  </si>
  <si>
    <t>Appliances demand #204</t>
  </si>
  <si>
    <t>Appliances demand #205</t>
  </si>
  <si>
    <t>Appliances demand #206</t>
  </si>
  <si>
    <t>Appliances demand #207</t>
  </si>
  <si>
    <t>Appliances demand #208</t>
  </si>
  <si>
    <t>Appliances demand #209</t>
  </si>
  <si>
    <t>Appliances demand #210</t>
  </si>
  <si>
    <t>Appliances demand #211</t>
  </si>
  <si>
    <t>Appliances demand #212</t>
  </si>
  <si>
    <t>Appliances demand #213</t>
  </si>
  <si>
    <t>Appliances demand #214</t>
  </si>
  <si>
    <t>Appliances demand #215</t>
  </si>
  <si>
    <t>Appliances demand #216</t>
  </si>
  <si>
    <t>Appliances demand #217</t>
  </si>
  <si>
    <t>Appliances demand #218</t>
  </si>
  <si>
    <t>Appliances demand #219</t>
  </si>
  <si>
    <t>Appliances demand #220</t>
  </si>
  <si>
    <t>Appliances demand #221</t>
  </si>
  <si>
    <t>Appliances demand #222</t>
  </si>
  <si>
    <t>Appliances demand #223</t>
  </si>
  <si>
    <t>Appliances demand #224</t>
  </si>
  <si>
    <t>Appliances demand #225</t>
  </si>
  <si>
    <t>Appliances demand #226</t>
  </si>
  <si>
    <t>Appliances demand #227</t>
  </si>
  <si>
    <t>Appliances demand #228</t>
  </si>
  <si>
    <t>Appliances demand #229</t>
  </si>
  <si>
    <t>Appliances demand #230</t>
  </si>
  <si>
    <t>Appliances demand #231</t>
  </si>
  <si>
    <t>Appliances demand #232</t>
  </si>
  <si>
    <t>Appliances demand #233</t>
  </si>
  <si>
    <t>Appliances demand #234</t>
  </si>
  <si>
    <t>Appliances demand #235</t>
  </si>
  <si>
    <t>Appliances demand #236</t>
  </si>
  <si>
    <t>Appliances demand #237</t>
  </si>
  <si>
    <t>Appliances demand #238</t>
  </si>
  <si>
    <t>Appliances demand #239</t>
  </si>
  <si>
    <t>Appliances demand #240</t>
  </si>
  <si>
    <t>Appliances demand #241</t>
  </si>
  <si>
    <t>Appliances demand #242</t>
  </si>
  <si>
    <t>Appliances demand #243</t>
  </si>
  <si>
    <t>Appliances demand #244</t>
  </si>
  <si>
    <t>Appliances demand #245</t>
  </si>
  <si>
    <t>Appliances demand #246</t>
  </si>
  <si>
    <t>Appliances demand #247</t>
  </si>
  <si>
    <t>Appliances demand #248</t>
  </si>
  <si>
    <t>Appliances demand #249</t>
  </si>
  <si>
    <t>Appliances demand #250</t>
  </si>
  <si>
    <t>Appliances demand #251</t>
  </si>
  <si>
    <t>Appliances demand #252</t>
  </si>
  <si>
    <t>Appliances demand #253</t>
  </si>
  <si>
    <t>Appliances demand #254</t>
  </si>
  <si>
    <t>Appliances demand #255</t>
  </si>
  <si>
    <t>Appliances demand #256</t>
  </si>
  <si>
    <t>Appliances demand #257</t>
  </si>
  <si>
    <t>Appliances demand #258</t>
  </si>
  <si>
    <t>Appliances demand #259</t>
  </si>
  <si>
    <t>Appliances demand #260</t>
  </si>
  <si>
    <t>Appliances demand #261</t>
  </si>
  <si>
    <t>Appliances demand #262</t>
  </si>
  <si>
    <t>Appliances demand #263</t>
  </si>
  <si>
    <t>Appliances demand #264</t>
  </si>
  <si>
    <t>Appliances demand #265</t>
  </si>
  <si>
    <t>Appliances demand #266</t>
  </si>
  <si>
    <t>Appliances demand #267</t>
  </si>
  <si>
    <t>Appliances demand #268</t>
  </si>
  <si>
    <t>Appliances demand #269</t>
  </si>
  <si>
    <t>Appliances demand #270</t>
  </si>
  <si>
    <t>Appliances demand #271</t>
  </si>
  <si>
    <t>Appliances demand #272</t>
  </si>
  <si>
    <t>Appliances demand #273</t>
  </si>
  <si>
    <t>Appliances demand #274</t>
  </si>
  <si>
    <t>Appliances demand #275</t>
  </si>
  <si>
    <t>Appliances demand #276</t>
  </si>
  <si>
    <t>Appliances demand #277</t>
  </si>
  <si>
    <t>Appliances demand #278</t>
  </si>
  <si>
    <t>Appliances demand #279</t>
  </si>
  <si>
    <t>Appliances demand #280</t>
  </si>
  <si>
    <t>Appliances demand #281</t>
  </si>
  <si>
    <t>Appliances demand #282</t>
  </si>
  <si>
    <t>Appliances demand #283</t>
  </si>
  <si>
    <t>Appliances demand #284</t>
  </si>
  <si>
    <t>Appliances demand #285</t>
  </si>
  <si>
    <t>Appliances demand #286</t>
  </si>
  <si>
    <t>Appliances demand #287</t>
  </si>
  <si>
    <t>Appliances demand #288</t>
  </si>
  <si>
    <t>Appliances demand #289</t>
  </si>
  <si>
    <t>Appliances demand #290</t>
  </si>
  <si>
    <t>Appliances demand #291</t>
  </si>
  <si>
    <t>Appliances demand #292</t>
  </si>
  <si>
    <t>Appliances demand #293</t>
  </si>
  <si>
    <t>Appliances demand #294</t>
  </si>
  <si>
    <t>Appliances demand #295</t>
  </si>
  <si>
    <t>Appliances demand #296</t>
  </si>
  <si>
    <t>Appliances demand #297</t>
  </si>
  <si>
    <t>Appliances demand #298</t>
  </si>
  <si>
    <t>Appliances demand #299</t>
  </si>
  <si>
    <t>Appliances demand #300</t>
  </si>
  <si>
    <t>NG Boiler</t>
  </si>
  <si>
    <t>None</t>
  </si>
  <si>
    <t>Efficiency (between 0 and 1)</t>
  </si>
  <si>
    <t>Energy source (Gas-blend, LPG, Biomethane, Hydrogen)</t>
  </si>
  <si>
    <t>Boiler #1</t>
  </si>
  <si>
    <t>Boiler #2</t>
  </si>
  <si>
    <t>Boiler #3</t>
  </si>
  <si>
    <t>Boiler #4</t>
  </si>
  <si>
    <t>Boiler #5</t>
  </si>
  <si>
    <t>Boiler #6</t>
  </si>
  <si>
    <t>Boiler #7</t>
  </si>
  <si>
    <t>Boiler #8</t>
  </si>
  <si>
    <t>Boiler #9</t>
  </si>
  <si>
    <t>Boiler #10</t>
  </si>
  <si>
    <t>Boiler #11</t>
  </si>
  <si>
    <t>Boiler #12</t>
  </si>
  <si>
    <t>Boiler #13</t>
  </si>
  <si>
    <t>Boiler #14</t>
  </si>
  <si>
    <t>Boiler #15</t>
  </si>
  <si>
    <t>Boiler #16</t>
  </si>
  <si>
    <t>Boiler #17</t>
  </si>
  <si>
    <t>Boiler #18</t>
  </si>
  <si>
    <t>Boiler #19</t>
  </si>
  <si>
    <t>Boiler #20</t>
  </si>
  <si>
    <t>Boiler #21</t>
  </si>
  <si>
    <t>Boiler #22</t>
  </si>
  <si>
    <t>Boiler #23</t>
  </si>
  <si>
    <t>Boiler #24</t>
  </si>
  <si>
    <t>Boiler #25</t>
  </si>
  <si>
    <t>Boiler #26</t>
  </si>
  <si>
    <t>Boiler #27</t>
  </si>
  <si>
    <t>Boiler #28</t>
  </si>
  <si>
    <t>Boiler #29</t>
  </si>
  <si>
    <t>Boiler #30</t>
  </si>
  <si>
    <t>Boiler #31</t>
  </si>
  <si>
    <t>Boiler #32</t>
  </si>
  <si>
    <t>Boiler #33</t>
  </si>
  <si>
    <t>Boiler #34</t>
  </si>
  <si>
    <t>Boiler #35</t>
  </si>
  <si>
    <t>Boiler #36</t>
  </si>
  <si>
    <t>Boiler #37</t>
  </si>
  <si>
    <t>Boiler #38</t>
  </si>
  <si>
    <t>Boiler #39</t>
  </si>
  <si>
    <t>Boiler #40</t>
  </si>
  <si>
    <t>Boiler #41</t>
  </si>
  <si>
    <t>Boiler #42</t>
  </si>
  <si>
    <t>Boiler #43</t>
  </si>
  <si>
    <t>Boiler #44</t>
  </si>
  <si>
    <t>Boiler #45</t>
  </si>
  <si>
    <t>Boiler #46</t>
  </si>
  <si>
    <t>Boiler #47</t>
  </si>
  <si>
    <t>Boiler #48</t>
  </si>
  <si>
    <t>Boiler #49</t>
  </si>
  <si>
    <t>Boiler #50</t>
  </si>
  <si>
    <t>Boiler #51</t>
  </si>
  <si>
    <t>Boiler #52</t>
  </si>
  <si>
    <t>Boiler #53</t>
  </si>
  <si>
    <t>Boiler #54</t>
  </si>
  <si>
    <t>Boiler #55</t>
  </si>
  <si>
    <t>Boiler #56</t>
  </si>
  <si>
    <t>Boiler #57</t>
  </si>
  <si>
    <t>Boiler #58</t>
  </si>
  <si>
    <t>Boiler #59</t>
  </si>
  <si>
    <t>Boiler #60</t>
  </si>
  <si>
    <t>Boiler #61</t>
  </si>
  <si>
    <t>Boiler #62</t>
  </si>
  <si>
    <t>Boiler #63</t>
  </si>
  <si>
    <t>Boiler #64</t>
  </si>
  <si>
    <t>Boiler #65</t>
  </si>
  <si>
    <t>Boiler #66</t>
  </si>
  <si>
    <t>Boiler #67</t>
  </si>
  <si>
    <t>Boiler #68</t>
  </si>
  <si>
    <t>Boiler #69</t>
  </si>
  <si>
    <t>Boiler #70</t>
  </si>
  <si>
    <t>Boiler #71</t>
  </si>
  <si>
    <t>Boiler #72</t>
  </si>
  <si>
    <t>Boiler #73</t>
  </si>
  <si>
    <t>Boiler #74</t>
  </si>
  <si>
    <t>Boiler #75</t>
  </si>
  <si>
    <t>Boiler #76</t>
  </si>
  <si>
    <t>Boiler #77</t>
  </si>
  <si>
    <t>Boiler #78</t>
  </si>
  <si>
    <t>Boiler #79</t>
  </si>
  <si>
    <t>Boiler #80</t>
  </si>
  <si>
    <t>Boiler #81</t>
  </si>
  <si>
    <t>Boiler #82</t>
  </si>
  <si>
    <t>Boiler #83</t>
  </si>
  <si>
    <t>Boiler #84</t>
  </si>
  <si>
    <t>Boiler #85</t>
  </si>
  <si>
    <t>Boiler #86</t>
  </si>
  <si>
    <t>Boiler #87</t>
  </si>
  <si>
    <t>Boiler #88</t>
  </si>
  <si>
    <t>Boiler #89</t>
  </si>
  <si>
    <t>Boiler #90</t>
  </si>
  <si>
    <t>Boiler #91</t>
  </si>
  <si>
    <t>Boiler #92</t>
  </si>
  <si>
    <t>Boiler #93</t>
  </si>
  <si>
    <t>Boiler #94</t>
  </si>
  <si>
    <t>Boiler #95</t>
  </si>
  <si>
    <t>Boiler #96</t>
  </si>
  <si>
    <t>Boiler #97</t>
  </si>
  <si>
    <t>Boiler #98</t>
  </si>
  <si>
    <t>Boiler #99</t>
  </si>
  <si>
    <t>Boiler #100</t>
  </si>
  <si>
    <t>Boiler #101</t>
  </si>
  <si>
    <t>Boiler #102</t>
  </si>
  <si>
    <t>Boiler #103</t>
  </si>
  <si>
    <t>Boiler #104</t>
  </si>
  <si>
    <t>Boiler #105</t>
  </si>
  <si>
    <t>Boiler #106</t>
  </si>
  <si>
    <t>Boiler #107</t>
  </si>
  <si>
    <t>Boiler #108</t>
  </si>
  <si>
    <t>Boiler #109</t>
  </si>
  <si>
    <t>Boiler #110</t>
  </si>
  <si>
    <t>Boiler #111</t>
  </si>
  <si>
    <t>Boiler #112</t>
  </si>
  <si>
    <t>Boiler #113</t>
  </si>
  <si>
    <t>Boiler #114</t>
  </si>
  <si>
    <t>Boiler #115</t>
  </si>
  <si>
    <t>Boiler #116</t>
  </si>
  <si>
    <t>Boiler #117</t>
  </si>
  <si>
    <t>Boiler #118</t>
  </si>
  <si>
    <t>Boiler #119</t>
  </si>
  <si>
    <t>Boiler #120</t>
  </si>
  <si>
    <t>Boiler #121</t>
  </si>
  <si>
    <t>Boiler #122</t>
  </si>
  <si>
    <t>Boiler #123</t>
  </si>
  <si>
    <t>Boiler #124</t>
  </si>
  <si>
    <t>Boiler #125</t>
  </si>
  <si>
    <t>Boiler #126</t>
  </si>
  <si>
    <t>Boiler #127</t>
  </si>
  <si>
    <t>Boiler #128</t>
  </si>
  <si>
    <t>Boiler #129</t>
  </si>
  <si>
    <t>Boiler #130</t>
  </si>
  <si>
    <t>Boiler #131</t>
  </si>
  <si>
    <t>Boiler #132</t>
  </si>
  <si>
    <t>Boiler #133</t>
  </si>
  <si>
    <t>Boiler #134</t>
  </si>
  <si>
    <t>Boiler #135</t>
  </si>
  <si>
    <t>Boiler #136</t>
  </si>
  <si>
    <t>Boiler #137</t>
  </si>
  <si>
    <t>Boiler #138</t>
  </si>
  <si>
    <t>Boiler #139</t>
  </si>
  <si>
    <t>Boiler #140</t>
  </si>
  <si>
    <t>Boiler #141</t>
  </si>
  <si>
    <t>Boiler #142</t>
  </si>
  <si>
    <t>Boiler #143</t>
  </si>
  <si>
    <t>Boiler #144</t>
  </si>
  <si>
    <t>Boiler #145</t>
  </si>
  <si>
    <t>Boiler #146</t>
  </si>
  <si>
    <t>Boiler #147</t>
  </si>
  <si>
    <t>Boiler #148</t>
  </si>
  <si>
    <t>Boiler #149</t>
  </si>
  <si>
    <t>Boiler #150</t>
  </si>
  <si>
    <t>Boiler #151</t>
  </si>
  <si>
    <t>Boiler #152</t>
  </si>
  <si>
    <t>Boiler #153</t>
  </si>
  <si>
    <t>Boiler #154</t>
  </si>
  <si>
    <t>Boiler #155</t>
  </si>
  <si>
    <t>Boiler #156</t>
  </si>
  <si>
    <t>Boiler #157</t>
  </si>
  <si>
    <t>Boiler #158</t>
  </si>
  <si>
    <t>Boiler #159</t>
  </si>
  <si>
    <t>Boiler #160</t>
  </si>
  <si>
    <t>Boiler #161</t>
  </si>
  <si>
    <t>Boiler #162</t>
  </si>
  <si>
    <t>Boiler #163</t>
  </si>
  <si>
    <t>Boiler #164</t>
  </si>
  <si>
    <t>Boiler #165</t>
  </si>
  <si>
    <t>Boiler #166</t>
  </si>
  <si>
    <t>Boiler #167</t>
  </si>
  <si>
    <t>Boiler #168</t>
  </si>
  <si>
    <t>Boiler #169</t>
  </si>
  <si>
    <t>Boiler #170</t>
  </si>
  <si>
    <t>Boiler #171</t>
  </si>
  <si>
    <t>Boiler #172</t>
  </si>
  <si>
    <t>Boiler #173</t>
  </si>
  <si>
    <t>Boiler #174</t>
  </si>
  <si>
    <t>Boiler #175</t>
  </si>
  <si>
    <t>Boiler #176</t>
  </si>
  <si>
    <t>Boiler #177</t>
  </si>
  <si>
    <t>Boiler #178</t>
  </si>
  <si>
    <t>Boiler #179</t>
  </si>
  <si>
    <t>Boiler #180</t>
  </si>
  <si>
    <t>Boiler #181</t>
  </si>
  <si>
    <t>Boiler #182</t>
  </si>
  <si>
    <t>Boiler #183</t>
  </si>
  <si>
    <t>Boiler #184</t>
  </si>
  <si>
    <t>Boiler #185</t>
  </si>
  <si>
    <t>Boiler #186</t>
  </si>
  <si>
    <t>Boiler #187</t>
  </si>
  <si>
    <t>Boiler #188</t>
  </si>
  <si>
    <t>Boiler #189</t>
  </si>
  <si>
    <t>Boiler #190</t>
  </si>
  <si>
    <t>Boiler #191</t>
  </si>
  <si>
    <t>Boiler #192</t>
  </si>
  <si>
    <t>Boiler #193</t>
  </si>
  <si>
    <t>Boiler #194</t>
  </si>
  <si>
    <t>Boiler #195</t>
  </si>
  <si>
    <t>Boiler #196</t>
  </si>
  <si>
    <t>Boiler #197</t>
  </si>
  <si>
    <t>Boiler #198</t>
  </si>
  <si>
    <t>Boiler #199</t>
  </si>
  <si>
    <t>Boiler #200</t>
  </si>
  <si>
    <t>Boiler #201</t>
  </si>
  <si>
    <t>Boiler #202</t>
  </si>
  <si>
    <t>Boiler #203</t>
  </si>
  <si>
    <t>Boiler #204</t>
  </si>
  <si>
    <t>Boiler #205</t>
  </si>
  <si>
    <t>Boiler #206</t>
  </si>
  <si>
    <t>Boiler #207</t>
  </si>
  <si>
    <t>Boiler #208</t>
  </si>
  <si>
    <t>Boiler #209</t>
  </si>
  <si>
    <t>Boiler #210</t>
  </si>
  <si>
    <t>Boiler #211</t>
  </si>
  <si>
    <t>Boiler #212</t>
  </si>
  <si>
    <t>Boiler #213</t>
  </si>
  <si>
    <t>Boiler #214</t>
  </si>
  <si>
    <t>Boiler #215</t>
  </si>
  <si>
    <t>Boiler #216</t>
  </si>
  <si>
    <t>Boiler #217</t>
  </si>
  <si>
    <t>Boiler #218</t>
  </si>
  <si>
    <t>Boiler #219</t>
  </si>
  <si>
    <t>Boiler #220</t>
  </si>
  <si>
    <t>Boiler #221</t>
  </si>
  <si>
    <t>Boiler #222</t>
  </si>
  <si>
    <t>Boiler #223</t>
  </si>
  <si>
    <t>Boiler #224</t>
  </si>
  <si>
    <t>Boiler #225</t>
  </si>
  <si>
    <t>Boiler #226</t>
  </si>
  <si>
    <t>Boiler #227</t>
  </si>
  <si>
    <t>Boiler #228</t>
  </si>
  <si>
    <t>Boiler #229</t>
  </si>
  <si>
    <t>Boiler #230</t>
  </si>
  <si>
    <t>Boiler #231</t>
  </si>
  <si>
    <t>Boiler #232</t>
  </si>
  <si>
    <t>Boiler #233</t>
  </si>
  <si>
    <t>Boiler #234</t>
  </si>
  <si>
    <t>Boiler #235</t>
  </si>
  <si>
    <t>Boiler #236</t>
  </si>
  <si>
    <t>Boiler #237</t>
  </si>
  <si>
    <t>Boiler #238</t>
  </si>
  <si>
    <t>Boiler #239</t>
  </si>
  <si>
    <t>Boiler #240</t>
  </si>
  <si>
    <t>Boiler #241</t>
  </si>
  <si>
    <t>Boiler #242</t>
  </si>
  <si>
    <t>Boiler #243</t>
  </si>
  <si>
    <t>Boiler #244</t>
  </si>
  <si>
    <t>Boiler #245</t>
  </si>
  <si>
    <t>Boiler #246</t>
  </si>
  <si>
    <t>Boiler #247</t>
  </si>
  <si>
    <t>Boiler #248</t>
  </si>
  <si>
    <t>Boiler #249</t>
  </si>
  <si>
    <t>Boiler #250</t>
  </si>
  <si>
    <t>Boiler #251</t>
  </si>
  <si>
    <t>Boiler #252</t>
  </si>
  <si>
    <t>Boiler #253</t>
  </si>
  <si>
    <t>Boiler #254</t>
  </si>
  <si>
    <t>Boiler #255</t>
  </si>
  <si>
    <t>Boiler #256</t>
  </si>
  <si>
    <t>Boiler #257</t>
  </si>
  <si>
    <t>Boiler #258</t>
  </si>
  <si>
    <t>Boiler #259</t>
  </si>
  <si>
    <t>Boiler #260</t>
  </si>
  <si>
    <t>Boiler #261</t>
  </si>
  <si>
    <t>Boiler #262</t>
  </si>
  <si>
    <t>Boiler #263</t>
  </si>
  <si>
    <t>Boiler #264</t>
  </si>
  <si>
    <t>Boiler #265</t>
  </si>
  <si>
    <t>Boiler #266</t>
  </si>
  <si>
    <t>Boiler #267</t>
  </si>
  <si>
    <t>Boiler #268</t>
  </si>
  <si>
    <t>Boiler #269</t>
  </si>
  <si>
    <t>Boiler #270</t>
  </si>
  <si>
    <t>Boiler #271</t>
  </si>
  <si>
    <t>Boiler #272</t>
  </si>
  <si>
    <t>Boiler #273</t>
  </si>
  <si>
    <t>Boiler #274</t>
  </si>
  <si>
    <t>Boiler #275</t>
  </si>
  <si>
    <t>Boiler #276</t>
  </si>
  <si>
    <t>Boiler #277</t>
  </si>
  <si>
    <t>Boiler #278</t>
  </si>
  <si>
    <t>Boiler #279</t>
  </si>
  <si>
    <t>Boiler #280</t>
  </si>
  <si>
    <t>Boiler #281</t>
  </si>
  <si>
    <t>Boiler #282</t>
  </si>
  <si>
    <t>Boiler #283</t>
  </si>
  <si>
    <t>Boiler #284</t>
  </si>
  <si>
    <t>Boiler #285</t>
  </si>
  <si>
    <t>Boiler #286</t>
  </si>
  <si>
    <t>Boiler #287</t>
  </si>
  <si>
    <t>Boiler #288</t>
  </si>
  <si>
    <t>Boiler #289</t>
  </si>
  <si>
    <t>Boiler #290</t>
  </si>
  <si>
    <t>Boiler #291</t>
  </si>
  <si>
    <t>Boiler #292</t>
  </si>
  <si>
    <t>Boiler #293</t>
  </si>
  <si>
    <t>Boiler #294</t>
  </si>
  <si>
    <t>Boiler #295</t>
  </si>
  <si>
    <t>Boiler #296</t>
  </si>
  <si>
    <t>Boiler #297</t>
  </si>
  <si>
    <t>Boiler #298</t>
  </si>
  <si>
    <t>Boiler #299</t>
  </si>
  <si>
    <t>Boiler #300</t>
  </si>
  <si>
    <t>Gas-blend</t>
  </si>
  <si>
    <t>Insert study period in years</t>
  </si>
  <si>
    <t>Heating Energy Systems</t>
  </si>
  <si>
    <t>Cooling Energy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</si>
</sst>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1" fontId="0" fillId="0" borderId="0" xfId="0" applyNumberFormat="1"/>
    <xf numFmtId="0" fontId="6" fillId="5" borderId="0" xfId="0" applyFont="1" applyFill="1" applyAlignment="1">
      <alignment horizontal="center" wrapText="1"/>
    </xf>
    <xf numFmtId="0" fontId="6" fillId="5" borderId="5" xfId="0" applyFont="1" applyFill="1" applyBorder="1" applyAlignment="1">
      <alignment horizontal="center" wrapText="1"/>
    </xf>
    <xf numFmtId="0" fontId="0" fillId="0" borderId="5" xfId="0" applyBorder="1"/>
    <xf numFmtId="2" fontId="0" fillId="0" borderId="5" xfId="0" applyNumberFormat="1" applyBorder="1"/>
    <xf numFmtId="0" fontId="3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11</xdr:row>
          <xdr:rowOff>198120</xdr:rowOff>
        </xdr:from>
        <xdr:to>
          <xdr:col>5</xdr:col>
          <xdr:colOff>541020</xdr:colOff>
          <xdr:row>12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CANC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0</xdr:rowOff>
        </xdr:from>
        <xdr:to>
          <xdr:col>5</xdr:col>
          <xdr:colOff>548640</xdr:colOff>
          <xdr:row>10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11951</xdr:colOff>
      <xdr:row>1</xdr:row>
      <xdr:rowOff>12700</xdr:rowOff>
    </xdr:from>
    <xdr:to>
      <xdr:col>12</xdr:col>
      <xdr:colOff>505012</xdr:colOff>
      <xdr:row>6</xdr:row>
      <xdr:rowOff>150158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847A18-0379-90EA-2CDA-C1492F260AE3}"/>
            </a:ext>
          </a:extLst>
        </xdr:cNvPr>
        <xdr:cNvSpPr txBox="1"/>
      </xdr:nvSpPr>
      <xdr:spPr>
        <a:xfrm>
          <a:off x="16140951" y="342900"/>
          <a:ext cx="5369861" cy="13312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PLEASE</a:t>
          </a:r>
          <a:r>
            <a:rPr lang="en-US" sz="1600" b="1" baseline="0"/>
            <a:t> NOTE:</a:t>
          </a:r>
        </a:p>
        <a:p>
          <a:endParaRPr lang="en-US" sz="1600" b="1" baseline="0"/>
        </a:p>
        <a:p>
          <a:pPr algn="l"/>
          <a:r>
            <a:rPr lang="en-US" sz="1600" b="0"/>
            <a:t>Before entering new data in this sheet, you must click on CANC (below). Then enter the data and click on START to generate the sheets for the individual technologies.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BE7D8-9813-40A7-97F4-6637CDD88A86}">
  <sheetPr codeName="Foglio2"/>
  <dimension ref="A1:X301"/>
  <sheetViews>
    <sheetView topLeftCell="A290" workbookViewId="0">
      <selection activeCell="A302" sqref="A302:XFD476"/>
    </sheetView>
  </sheetViews>
  <sheetFormatPr defaultRowHeight="14.4" x14ac:dyDescent="0.3"/>
  <cols>
    <col min="15" max="15" width="13.5546875" customWidth="1"/>
    <col min="19" max="19" width="17.21875" customWidth="1"/>
    <col min="20" max="20" width="27.21875" customWidth="1"/>
  </cols>
  <sheetData>
    <row r="1" spans="1:24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1281</v>
      </c>
      <c r="T1" t="s">
        <v>1282</v>
      </c>
      <c r="U1" t="s">
        <v>45</v>
      </c>
      <c r="W1" t="s">
        <v>39</v>
      </c>
      <c r="X1" t="s">
        <v>41</v>
      </c>
    </row>
    <row r="2" spans="1:24" x14ac:dyDescent="0.3">
      <c r="A2">
        <v>2432709</v>
      </c>
      <c r="B2">
        <v>11.626923079999999</v>
      </c>
      <c r="C2">
        <v>3</v>
      </c>
      <c r="D2" t="s">
        <v>46</v>
      </c>
      <c r="E2" t="s">
        <v>47</v>
      </c>
      <c r="F2">
        <v>2432709</v>
      </c>
      <c r="G2" t="s">
        <v>48</v>
      </c>
      <c r="H2">
        <v>57136</v>
      </c>
      <c r="I2">
        <v>14742</v>
      </c>
      <c r="J2">
        <v>4914</v>
      </c>
      <c r="K2">
        <v>191</v>
      </c>
      <c r="L2">
        <v>1472.572811</v>
      </c>
      <c r="M2">
        <v>-342.49868470000001</v>
      </c>
      <c r="N2" s="10">
        <v>4070000</v>
      </c>
      <c r="O2" s="10">
        <v>-499000</v>
      </c>
      <c r="P2" s="10">
        <v>70200</v>
      </c>
      <c r="Q2">
        <v>0</v>
      </c>
      <c r="R2">
        <v>0</v>
      </c>
      <c r="S2" t="s">
        <v>975</v>
      </c>
      <c r="T2" t="s">
        <v>49</v>
      </c>
      <c r="U2" t="s">
        <v>976</v>
      </c>
      <c r="W2">
        <f>-M2</f>
        <v>342.49868470000001</v>
      </c>
      <c r="X2" s="10">
        <f>-O2</f>
        <v>499000</v>
      </c>
    </row>
    <row r="3" spans="1:24" x14ac:dyDescent="0.3">
      <c r="A3">
        <v>2559057</v>
      </c>
      <c r="B3">
        <v>6.875</v>
      </c>
      <c r="C3">
        <v>1</v>
      </c>
      <c r="D3" t="s">
        <v>46</v>
      </c>
      <c r="E3" t="s">
        <v>47</v>
      </c>
      <c r="F3">
        <v>2559057</v>
      </c>
      <c r="G3" t="s">
        <v>50</v>
      </c>
      <c r="H3">
        <v>18979</v>
      </c>
      <c r="I3">
        <v>2761</v>
      </c>
      <c r="J3">
        <v>2761</v>
      </c>
      <c r="K3">
        <v>36</v>
      </c>
      <c r="L3">
        <v>608.63331470000003</v>
      </c>
      <c r="M3">
        <v>-96.807098769999996</v>
      </c>
      <c r="N3" s="10">
        <v>1320000</v>
      </c>
      <c r="O3" s="10">
        <v>-133000</v>
      </c>
      <c r="P3" s="10">
        <v>13100</v>
      </c>
      <c r="Q3">
        <v>0</v>
      </c>
      <c r="R3">
        <v>0</v>
      </c>
      <c r="S3" t="s">
        <v>975</v>
      </c>
      <c r="T3" t="s">
        <v>49</v>
      </c>
      <c r="U3" t="s">
        <v>976</v>
      </c>
      <c r="W3">
        <f t="shared" ref="W3:W66" si="0">-M3</f>
        <v>96.807098769999996</v>
      </c>
      <c r="X3" s="10">
        <f t="shared" ref="X3:X66" si="1">-O3</f>
        <v>133000</v>
      </c>
    </row>
    <row r="4" spans="1:24" x14ac:dyDescent="0.3">
      <c r="A4">
        <v>3521512</v>
      </c>
      <c r="B4">
        <v>11.74</v>
      </c>
      <c r="C4">
        <v>3</v>
      </c>
      <c r="D4" t="s">
        <v>46</v>
      </c>
      <c r="E4" t="s">
        <v>51</v>
      </c>
      <c r="F4">
        <v>3521512</v>
      </c>
      <c r="G4" t="s">
        <v>52</v>
      </c>
      <c r="H4">
        <v>20265</v>
      </c>
      <c r="I4">
        <v>5178</v>
      </c>
      <c r="J4">
        <v>1726</v>
      </c>
      <c r="K4">
        <v>67</v>
      </c>
      <c r="L4">
        <v>370.03875499999998</v>
      </c>
      <c r="M4">
        <v>-122.0904129</v>
      </c>
      <c r="N4" s="10">
        <v>1160000</v>
      </c>
      <c r="O4" s="10">
        <v>-155000</v>
      </c>
      <c r="P4" s="10">
        <v>24600</v>
      </c>
      <c r="Q4">
        <v>0</v>
      </c>
      <c r="R4">
        <v>0</v>
      </c>
      <c r="S4" t="s">
        <v>975</v>
      </c>
      <c r="T4" t="s">
        <v>49</v>
      </c>
      <c r="U4" t="s">
        <v>976</v>
      </c>
      <c r="W4">
        <f t="shared" si="0"/>
        <v>122.0904129</v>
      </c>
      <c r="X4" s="10">
        <f t="shared" si="1"/>
        <v>155000</v>
      </c>
    </row>
    <row r="5" spans="1:24" x14ac:dyDescent="0.3">
      <c r="A5">
        <v>46970558</v>
      </c>
      <c r="B5">
        <v>11.8125</v>
      </c>
      <c r="C5">
        <v>3</v>
      </c>
      <c r="D5" t="s">
        <v>46</v>
      </c>
      <c r="E5" t="s">
        <v>51</v>
      </c>
      <c r="F5">
        <v>46970558</v>
      </c>
      <c r="G5" t="s">
        <v>53</v>
      </c>
      <c r="H5">
        <v>34714</v>
      </c>
      <c r="I5">
        <v>8816</v>
      </c>
      <c r="J5">
        <v>2939</v>
      </c>
      <c r="K5">
        <v>114</v>
      </c>
      <c r="L5">
        <v>577.62753169999996</v>
      </c>
      <c r="M5">
        <v>-195.31317429999999</v>
      </c>
      <c r="N5" s="10">
        <v>1900000</v>
      </c>
      <c r="O5" s="10">
        <v>-259000</v>
      </c>
      <c r="P5" s="10">
        <v>42000</v>
      </c>
      <c r="Q5">
        <v>0</v>
      </c>
      <c r="R5">
        <v>0</v>
      </c>
      <c r="S5" t="s">
        <v>975</v>
      </c>
      <c r="T5" t="s">
        <v>49</v>
      </c>
      <c r="U5" t="s">
        <v>976</v>
      </c>
      <c r="W5">
        <f t="shared" si="0"/>
        <v>195.31317429999999</v>
      </c>
      <c r="X5" s="10">
        <f t="shared" si="1"/>
        <v>259000</v>
      </c>
    </row>
    <row r="6" spans="1:24" x14ac:dyDescent="0.3">
      <c r="A6">
        <v>131986150</v>
      </c>
      <c r="B6">
        <v>7.7</v>
      </c>
      <c r="C6">
        <v>2</v>
      </c>
      <c r="D6" t="s">
        <v>54</v>
      </c>
      <c r="E6" t="s">
        <v>55</v>
      </c>
      <c r="F6">
        <v>131986150</v>
      </c>
      <c r="G6" t="s">
        <v>56</v>
      </c>
      <c r="H6">
        <v>1704</v>
      </c>
      <c r="I6">
        <v>443</v>
      </c>
      <c r="J6">
        <v>222</v>
      </c>
      <c r="K6">
        <v>6</v>
      </c>
      <c r="L6">
        <v>45.370945110000001</v>
      </c>
      <c r="M6">
        <v>-12.983154860000001</v>
      </c>
      <c r="N6" s="10">
        <v>121000</v>
      </c>
      <c r="O6" s="10">
        <v>-15400</v>
      </c>
      <c r="P6" s="10">
        <v>2110</v>
      </c>
      <c r="Q6">
        <v>0</v>
      </c>
      <c r="R6">
        <v>0</v>
      </c>
      <c r="S6" t="s">
        <v>975</v>
      </c>
      <c r="T6" t="s">
        <v>49</v>
      </c>
      <c r="U6" t="s">
        <v>976</v>
      </c>
      <c r="W6">
        <f t="shared" si="0"/>
        <v>12.983154860000001</v>
      </c>
      <c r="X6" s="10">
        <f t="shared" si="1"/>
        <v>15400</v>
      </c>
    </row>
    <row r="7" spans="1:24" x14ac:dyDescent="0.3">
      <c r="A7">
        <v>131986153</v>
      </c>
      <c r="B7">
        <v>7.2</v>
      </c>
      <c r="C7">
        <v>2</v>
      </c>
      <c r="D7" t="s">
        <v>54</v>
      </c>
      <c r="E7" t="s">
        <v>47</v>
      </c>
      <c r="F7">
        <v>131986153</v>
      </c>
      <c r="G7" t="s">
        <v>57</v>
      </c>
      <c r="H7">
        <v>1321</v>
      </c>
      <c r="I7">
        <v>367</v>
      </c>
      <c r="J7">
        <v>184</v>
      </c>
      <c r="K7">
        <v>5</v>
      </c>
      <c r="L7">
        <v>65.757096349999998</v>
      </c>
      <c r="M7">
        <v>-11.43847888</v>
      </c>
      <c r="N7" s="10">
        <v>146000</v>
      </c>
      <c r="O7" s="10">
        <v>-15900</v>
      </c>
      <c r="P7" s="10">
        <v>1750</v>
      </c>
      <c r="Q7">
        <v>0</v>
      </c>
      <c r="R7">
        <v>0</v>
      </c>
      <c r="S7" t="s">
        <v>975</v>
      </c>
      <c r="T7" t="s">
        <v>49</v>
      </c>
      <c r="U7" t="s">
        <v>976</v>
      </c>
      <c r="W7">
        <f t="shared" si="0"/>
        <v>11.43847888</v>
      </c>
      <c r="X7" s="10">
        <f t="shared" si="1"/>
        <v>15900</v>
      </c>
    </row>
    <row r="8" spans="1:24" x14ac:dyDescent="0.3">
      <c r="A8">
        <v>131986160</v>
      </c>
      <c r="B8">
        <v>6.55</v>
      </c>
      <c r="C8">
        <v>1</v>
      </c>
      <c r="D8" t="s">
        <v>54</v>
      </c>
      <c r="E8" t="s">
        <v>58</v>
      </c>
      <c r="F8">
        <v>131986160</v>
      </c>
      <c r="G8" t="s">
        <v>59</v>
      </c>
      <c r="H8">
        <v>1103</v>
      </c>
      <c r="I8">
        <v>168</v>
      </c>
      <c r="J8">
        <v>168</v>
      </c>
      <c r="K8">
        <v>2</v>
      </c>
      <c r="L8">
        <v>32.806192359999997</v>
      </c>
      <c r="M8">
        <v>-7.6263746719999999</v>
      </c>
      <c r="N8" s="10">
        <v>73200</v>
      </c>
      <c r="O8" s="10">
        <v>-8250</v>
      </c>
      <c r="P8" s="10">
        <v>802</v>
      </c>
      <c r="Q8">
        <v>0</v>
      </c>
      <c r="R8">
        <v>0</v>
      </c>
      <c r="S8" t="s">
        <v>975</v>
      </c>
      <c r="T8" t="s">
        <v>49</v>
      </c>
      <c r="U8" t="s">
        <v>976</v>
      </c>
      <c r="W8">
        <f t="shared" si="0"/>
        <v>7.6263746719999999</v>
      </c>
      <c r="X8" s="10">
        <f t="shared" si="1"/>
        <v>8250</v>
      </c>
    </row>
    <row r="9" spans="1:24" x14ac:dyDescent="0.3">
      <c r="A9">
        <v>131986174</v>
      </c>
      <c r="B9">
        <v>6.4</v>
      </c>
      <c r="C9">
        <v>1</v>
      </c>
      <c r="D9" t="s">
        <v>60</v>
      </c>
      <c r="E9" t="s">
        <v>47</v>
      </c>
      <c r="F9">
        <v>131986174</v>
      </c>
      <c r="G9" t="s">
        <v>61</v>
      </c>
      <c r="H9">
        <v>1616</v>
      </c>
      <c r="I9">
        <v>252</v>
      </c>
      <c r="J9">
        <v>252</v>
      </c>
      <c r="K9">
        <v>3</v>
      </c>
      <c r="L9">
        <v>75.14721376</v>
      </c>
      <c r="M9">
        <v>-13.134167700000001</v>
      </c>
      <c r="N9" s="10">
        <v>142000</v>
      </c>
      <c r="O9" s="10">
        <v>-12300</v>
      </c>
      <c r="P9" s="10">
        <v>1540</v>
      </c>
      <c r="Q9">
        <v>0</v>
      </c>
      <c r="R9">
        <v>0</v>
      </c>
      <c r="S9" t="s">
        <v>975</v>
      </c>
      <c r="T9" t="s">
        <v>49</v>
      </c>
      <c r="U9" t="s">
        <v>976</v>
      </c>
      <c r="W9">
        <f t="shared" si="0"/>
        <v>13.134167700000001</v>
      </c>
      <c r="X9" s="10">
        <f t="shared" si="1"/>
        <v>12300</v>
      </c>
    </row>
    <row r="10" spans="1:24" x14ac:dyDescent="0.3">
      <c r="A10">
        <v>131986182</v>
      </c>
      <c r="B10">
        <v>3.6</v>
      </c>
      <c r="C10">
        <v>1</v>
      </c>
      <c r="D10" t="s">
        <v>46</v>
      </c>
      <c r="E10" t="s">
        <v>51</v>
      </c>
      <c r="F10">
        <v>131986182</v>
      </c>
      <c r="G10" t="s">
        <v>62</v>
      </c>
      <c r="H10">
        <v>982</v>
      </c>
      <c r="I10">
        <v>273</v>
      </c>
      <c r="J10">
        <v>273</v>
      </c>
      <c r="K10">
        <v>4</v>
      </c>
      <c r="L10">
        <v>38.594767519999998</v>
      </c>
      <c r="M10">
        <v>-7.7850547629999998</v>
      </c>
      <c r="N10" s="10">
        <v>92600</v>
      </c>
      <c r="O10" s="10">
        <v>-9910</v>
      </c>
      <c r="P10" s="10">
        <v>1300</v>
      </c>
      <c r="Q10">
        <v>0</v>
      </c>
      <c r="R10">
        <v>0</v>
      </c>
      <c r="S10" t="s">
        <v>975</v>
      </c>
      <c r="T10" t="s">
        <v>49</v>
      </c>
      <c r="U10" t="s">
        <v>976</v>
      </c>
      <c r="W10">
        <f t="shared" si="0"/>
        <v>7.7850547629999998</v>
      </c>
      <c r="X10" s="10">
        <f t="shared" si="1"/>
        <v>9910</v>
      </c>
    </row>
    <row r="11" spans="1:24" x14ac:dyDescent="0.3">
      <c r="A11">
        <v>131986199</v>
      </c>
      <c r="B11">
        <v>9.6666666669999994</v>
      </c>
      <c r="C11">
        <v>2</v>
      </c>
      <c r="D11" t="s">
        <v>60</v>
      </c>
      <c r="E11" t="s">
        <v>47</v>
      </c>
      <c r="F11">
        <v>131986199</v>
      </c>
      <c r="G11" t="s">
        <v>63</v>
      </c>
      <c r="H11">
        <v>3884</v>
      </c>
      <c r="I11">
        <v>804</v>
      </c>
      <c r="J11">
        <v>402</v>
      </c>
      <c r="K11">
        <v>10</v>
      </c>
      <c r="L11">
        <v>135.01372520000001</v>
      </c>
      <c r="M11">
        <v>-30.580594600000001</v>
      </c>
      <c r="N11" s="10">
        <v>270000</v>
      </c>
      <c r="O11" s="10">
        <v>-25400</v>
      </c>
      <c r="P11" s="10">
        <v>4900</v>
      </c>
      <c r="Q11">
        <v>0</v>
      </c>
      <c r="R11">
        <v>0</v>
      </c>
      <c r="S11" t="s">
        <v>975</v>
      </c>
      <c r="T11" t="s">
        <v>49</v>
      </c>
      <c r="U11" t="s">
        <v>976</v>
      </c>
      <c r="W11">
        <f t="shared" si="0"/>
        <v>30.580594600000001</v>
      </c>
      <c r="X11" s="10">
        <f t="shared" si="1"/>
        <v>25400</v>
      </c>
    </row>
    <row r="12" spans="1:24" x14ac:dyDescent="0.3">
      <c r="A12">
        <v>131986202</v>
      </c>
      <c r="B12">
        <v>4.3</v>
      </c>
      <c r="C12">
        <v>1</v>
      </c>
      <c r="D12" t="s">
        <v>54</v>
      </c>
      <c r="E12" t="s">
        <v>55</v>
      </c>
      <c r="F12">
        <v>131986202</v>
      </c>
      <c r="G12" t="s">
        <v>64</v>
      </c>
      <c r="H12">
        <v>413</v>
      </c>
      <c r="I12">
        <v>96</v>
      </c>
      <c r="J12">
        <v>96</v>
      </c>
      <c r="K12">
        <v>1</v>
      </c>
      <c r="L12">
        <v>19.61382356</v>
      </c>
      <c r="M12">
        <v>-4.4983842479999998</v>
      </c>
      <c r="N12" s="10">
        <v>42600</v>
      </c>
      <c r="O12" s="10">
        <v>-5050</v>
      </c>
      <c r="P12" s="10">
        <v>457</v>
      </c>
      <c r="Q12">
        <v>0</v>
      </c>
      <c r="R12">
        <v>0</v>
      </c>
      <c r="S12" t="s">
        <v>975</v>
      </c>
      <c r="T12" t="s">
        <v>49</v>
      </c>
      <c r="U12" t="s">
        <v>976</v>
      </c>
      <c r="W12">
        <f t="shared" si="0"/>
        <v>4.4983842479999998</v>
      </c>
      <c r="X12" s="10">
        <f t="shared" si="1"/>
        <v>5050</v>
      </c>
    </row>
    <row r="13" spans="1:24" x14ac:dyDescent="0.3">
      <c r="A13">
        <v>131986208</v>
      </c>
      <c r="B13">
        <v>8.3249999999999993</v>
      </c>
      <c r="C13">
        <v>2</v>
      </c>
      <c r="D13" t="s">
        <v>60</v>
      </c>
      <c r="E13" t="s">
        <v>51</v>
      </c>
      <c r="F13">
        <v>131986208</v>
      </c>
      <c r="G13" t="s">
        <v>65</v>
      </c>
      <c r="H13">
        <v>927</v>
      </c>
      <c r="I13">
        <v>223</v>
      </c>
      <c r="J13">
        <v>112</v>
      </c>
      <c r="K13">
        <v>3</v>
      </c>
      <c r="L13">
        <v>27.14626355</v>
      </c>
      <c r="M13">
        <v>-8.4611614720000006</v>
      </c>
      <c r="N13" s="10">
        <v>55900</v>
      </c>
      <c r="O13" s="10">
        <v>-5560</v>
      </c>
      <c r="P13" s="10">
        <v>1360</v>
      </c>
      <c r="Q13">
        <v>0</v>
      </c>
      <c r="R13">
        <v>0</v>
      </c>
      <c r="S13" t="s">
        <v>975</v>
      </c>
      <c r="T13" t="s">
        <v>49</v>
      </c>
      <c r="U13" t="s">
        <v>976</v>
      </c>
      <c r="W13">
        <f t="shared" si="0"/>
        <v>8.4611614720000006</v>
      </c>
      <c r="X13" s="10">
        <f t="shared" si="1"/>
        <v>5560</v>
      </c>
    </row>
    <row r="14" spans="1:24" x14ac:dyDescent="0.3">
      <c r="A14">
        <v>131986212</v>
      </c>
      <c r="B14">
        <v>5.2</v>
      </c>
      <c r="C14">
        <v>1</v>
      </c>
      <c r="D14" t="s">
        <v>60</v>
      </c>
      <c r="E14" t="s">
        <v>51</v>
      </c>
      <c r="F14">
        <v>131986212</v>
      </c>
      <c r="G14" t="s">
        <v>66</v>
      </c>
      <c r="H14">
        <v>1071</v>
      </c>
      <c r="I14">
        <v>206</v>
      </c>
      <c r="J14">
        <v>206</v>
      </c>
      <c r="K14">
        <v>3</v>
      </c>
      <c r="L14">
        <v>40.816580430000002</v>
      </c>
      <c r="M14">
        <v>-9.376321999</v>
      </c>
      <c r="N14" s="10">
        <v>79300</v>
      </c>
      <c r="O14" s="10">
        <v>-7170</v>
      </c>
      <c r="P14" s="10">
        <v>1260</v>
      </c>
      <c r="Q14">
        <v>0</v>
      </c>
      <c r="R14">
        <v>0</v>
      </c>
      <c r="S14" t="s">
        <v>975</v>
      </c>
      <c r="T14" t="s">
        <v>49</v>
      </c>
      <c r="U14" t="s">
        <v>976</v>
      </c>
      <c r="W14">
        <f t="shared" si="0"/>
        <v>9.376321999</v>
      </c>
      <c r="X14" s="10">
        <f t="shared" si="1"/>
        <v>7170</v>
      </c>
    </row>
    <row r="15" spans="1:24" x14ac:dyDescent="0.3">
      <c r="A15">
        <v>131986221</v>
      </c>
      <c r="B15">
        <v>9.6999999999999993</v>
      </c>
      <c r="C15">
        <v>2</v>
      </c>
      <c r="D15" t="s">
        <v>54</v>
      </c>
      <c r="E15" t="s">
        <v>51</v>
      </c>
      <c r="F15">
        <v>131986221</v>
      </c>
      <c r="G15" t="s">
        <v>67</v>
      </c>
      <c r="H15">
        <v>1379</v>
      </c>
      <c r="I15">
        <v>284</v>
      </c>
      <c r="J15">
        <v>142</v>
      </c>
      <c r="K15">
        <v>4</v>
      </c>
      <c r="L15">
        <v>34.071756090000001</v>
      </c>
      <c r="M15">
        <v>-9.3550101699999999</v>
      </c>
      <c r="N15" s="10">
        <v>85100</v>
      </c>
      <c r="O15" s="10">
        <v>-10500</v>
      </c>
      <c r="P15" s="10">
        <v>1350</v>
      </c>
      <c r="Q15">
        <v>0</v>
      </c>
      <c r="R15">
        <v>0</v>
      </c>
      <c r="S15" t="s">
        <v>975</v>
      </c>
      <c r="T15" t="s">
        <v>49</v>
      </c>
      <c r="U15" t="s">
        <v>976</v>
      </c>
      <c r="W15">
        <f t="shared" si="0"/>
        <v>9.3550101699999999</v>
      </c>
      <c r="X15" s="10">
        <f t="shared" si="1"/>
        <v>10500</v>
      </c>
    </row>
    <row r="16" spans="1:24" x14ac:dyDescent="0.3">
      <c r="A16">
        <v>131986225</v>
      </c>
      <c r="B16">
        <v>6.6</v>
      </c>
      <c r="C16">
        <v>1</v>
      </c>
      <c r="D16" t="s">
        <v>60</v>
      </c>
      <c r="E16" t="s">
        <v>55</v>
      </c>
      <c r="F16">
        <v>131986225</v>
      </c>
      <c r="G16" t="s">
        <v>68</v>
      </c>
      <c r="H16">
        <v>1357</v>
      </c>
      <c r="I16">
        <v>206</v>
      </c>
      <c r="J16">
        <v>206</v>
      </c>
      <c r="K16">
        <v>3</v>
      </c>
      <c r="L16">
        <v>53.299670020000001</v>
      </c>
      <c r="M16">
        <v>-13.315710579999999</v>
      </c>
      <c r="N16" s="10">
        <v>103000</v>
      </c>
      <c r="O16" s="10">
        <v>-10800</v>
      </c>
      <c r="P16" s="10">
        <v>1250</v>
      </c>
      <c r="Q16">
        <v>0</v>
      </c>
      <c r="R16">
        <v>0</v>
      </c>
      <c r="S16" t="s">
        <v>975</v>
      </c>
      <c r="T16" t="s">
        <v>49</v>
      </c>
      <c r="U16" t="s">
        <v>976</v>
      </c>
      <c r="W16">
        <f t="shared" si="0"/>
        <v>13.315710579999999</v>
      </c>
      <c r="X16" s="10">
        <f t="shared" si="1"/>
        <v>10800</v>
      </c>
    </row>
    <row r="17" spans="1:24" x14ac:dyDescent="0.3">
      <c r="A17">
        <v>131986261</v>
      </c>
      <c r="B17">
        <v>8.0500000000000007</v>
      </c>
      <c r="C17">
        <v>2</v>
      </c>
      <c r="D17" t="s">
        <v>60</v>
      </c>
      <c r="E17" t="s">
        <v>58</v>
      </c>
      <c r="F17">
        <v>131986261</v>
      </c>
      <c r="G17" t="s">
        <v>69</v>
      </c>
      <c r="H17">
        <v>2065</v>
      </c>
      <c r="I17">
        <v>513</v>
      </c>
      <c r="J17">
        <v>257</v>
      </c>
      <c r="K17">
        <v>7</v>
      </c>
      <c r="L17">
        <v>51.598298329999999</v>
      </c>
      <c r="M17">
        <v>-15.552151459999999</v>
      </c>
      <c r="N17" s="10">
        <v>110000</v>
      </c>
      <c r="O17" s="10">
        <v>-11100</v>
      </c>
      <c r="P17" s="10">
        <v>3130</v>
      </c>
      <c r="Q17">
        <v>0</v>
      </c>
      <c r="R17">
        <v>0</v>
      </c>
      <c r="S17" t="s">
        <v>975</v>
      </c>
      <c r="T17" t="s">
        <v>49</v>
      </c>
      <c r="U17" t="s">
        <v>976</v>
      </c>
      <c r="W17">
        <f t="shared" si="0"/>
        <v>15.552151459999999</v>
      </c>
      <c r="X17" s="10">
        <f t="shared" si="1"/>
        <v>11100</v>
      </c>
    </row>
    <row r="18" spans="1:24" x14ac:dyDescent="0.3">
      <c r="A18">
        <v>131986276</v>
      </c>
      <c r="B18">
        <v>8.15</v>
      </c>
      <c r="C18">
        <v>2</v>
      </c>
      <c r="D18" t="s">
        <v>60</v>
      </c>
      <c r="E18" t="s">
        <v>47</v>
      </c>
      <c r="F18">
        <v>131986276</v>
      </c>
      <c r="G18" t="s">
        <v>70</v>
      </c>
      <c r="H18">
        <v>1124</v>
      </c>
      <c r="I18">
        <v>276</v>
      </c>
      <c r="J18">
        <v>138</v>
      </c>
      <c r="K18">
        <v>4</v>
      </c>
      <c r="L18">
        <v>47.667433209999999</v>
      </c>
      <c r="M18">
        <v>-10.01495407</v>
      </c>
      <c r="N18" s="10">
        <v>93300</v>
      </c>
      <c r="O18" s="10">
        <v>-8440</v>
      </c>
      <c r="P18" s="10">
        <v>1680</v>
      </c>
      <c r="Q18">
        <v>0</v>
      </c>
      <c r="R18">
        <v>0</v>
      </c>
      <c r="S18" t="s">
        <v>975</v>
      </c>
      <c r="T18" t="s">
        <v>49</v>
      </c>
      <c r="U18" t="s">
        <v>976</v>
      </c>
      <c r="W18">
        <f t="shared" si="0"/>
        <v>10.01495407</v>
      </c>
      <c r="X18" s="10">
        <f t="shared" si="1"/>
        <v>8440</v>
      </c>
    </row>
    <row r="19" spans="1:24" x14ac:dyDescent="0.3">
      <c r="A19">
        <v>131986280</v>
      </c>
      <c r="B19">
        <v>13.766666669999999</v>
      </c>
      <c r="C19">
        <v>3</v>
      </c>
      <c r="D19" t="s">
        <v>60</v>
      </c>
      <c r="E19" t="s">
        <v>55</v>
      </c>
      <c r="F19">
        <v>131986280</v>
      </c>
      <c r="G19" t="s">
        <v>71</v>
      </c>
      <c r="H19">
        <v>1739</v>
      </c>
      <c r="I19">
        <v>379</v>
      </c>
      <c r="J19">
        <v>126</v>
      </c>
      <c r="K19">
        <v>5</v>
      </c>
      <c r="L19">
        <v>29.99103607</v>
      </c>
      <c r="M19">
        <v>-11.135375809999999</v>
      </c>
      <c r="N19" s="10">
        <v>68500</v>
      </c>
      <c r="O19" s="10">
        <v>-8590</v>
      </c>
      <c r="P19" s="10">
        <v>2310</v>
      </c>
      <c r="Q19">
        <v>0</v>
      </c>
      <c r="R19">
        <v>0</v>
      </c>
      <c r="S19" t="s">
        <v>975</v>
      </c>
      <c r="T19" t="s">
        <v>49</v>
      </c>
      <c r="U19" t="s">
        <v>976</v>
      </c>
      <c r="W19">
        <f t="shared" si="0"/>
        <v>11.135375809999999</v>
      </c>
      <c r="X19" s="10">
        <f t="shared" si="1"/>
        <v>8590</v>
      </c>
    </row>
    <row r="20" spans="1:24" x14ac:dyDescent="0.3">
      <c r="A20">
        <v>131986302</v>
      </c>
      <c r="B20">
        <v>6.6</v>
      </c>
      <c r="C20">
        <v>1</v>
      </c>
      <c r="D20" t="s">
        <v>54</v>
      </c>
      <c r="E20" t="s">
        <v>47</v>
      </c>
      <c r="F20">
        <v>131986302</v>
      </c>
      <c r="G20" t="s">
        <v>72</v>
      </c>
      <c r="H20">
        <v>734</v>
      </c>
      <c r="I20">
        <v>111</v>
      </c>
      <c r="J20">
        <v>111</v>
      </c>
      <c r="K20">
        <v>1</v>
      </c>
      <c r="L20">
        <v>41.948997259999999</v>
      </c>
      <c r="M20">
        <v>-6.0141852919999996</v>
      </c>
      <c r="N20" s="10">
        <v>82400</v>
      </c>
      <c r="O20" s="10">
        <v>-7550</v>
      </c>
      <c r="P20" s="10">
        <v>530</v>
      </c>
      <c r="Q20">
        <v>0</v>
      </c>
      <c r="R20">
        <v>0</v>
      </c>
      <c r="S20" t="s">
        <v>975</v>
      </c>
      <c r="T20" t="s">
        <v>49</v>
      </c>
      <c r="U20" t="s">
        <v>976</v>
      </c>
      <c r="W20">
        <f t="shared" si="0"/>
        <v>6.0141852919999996</v>
      </c>
      <c r="X20" s="10">
        <f t="shared" si="1"/>
        <v>7550</v>
      </c>
    </row>
    <row r="21" spans="1:24" x14ac:dyDescent="0.3">
      <c r="A21">
        <v>131986311</v>
      </c>
      <c r="B21">
        <v>9.6</v>
      </c>
      <c r="C21">
        <v>2</v>
      </c>
      <c r="D21" t="s">
        <v>60</v>
      </c>
      <c r="E21" t="s">
        <v>47</v>
      </c>
      <c r="F21">
        <v>131986311</v>
      </c>
      <c r="G21" t="s">
        <v>73</v>
      </c>
      <c r="H21">
        <v>2542</v>
      </c>
      <c r="I21">
        <v>530</v>
      </c>
      <c r="J21">
        <v>265</v>
      </c>
      <c r="K21">
        <v>7</v>
      </c>
      <c r="L21">
        <v>108.6868898</v>
      </c>
      <c r="M21">
        <v>-21.488959650000002</v>
      </c>
      <c r="N21" s="10">
        <v>208000</v>
      </c>
      <c r="O21" s="10">
        <v>-19200</v>
      </c>
      <c r="P21" s="10">
        <v>3230</v>
      </c>
      <c r="Q21">
        <v>0</v>
      </c>
      <c r="R21">
        <v>0</v>
      </c>
      <c r="S21" t="s">
        <v>975</v>
      </c>
      <c r="T21" t="s">
        <v>49</v>
      </c>
      <c r="U21" t="s">
        <v>976</v>
      </c>
      <c r="W21">
        <f t="shared" si="0"/>
        <v>21.488959650000002</v>
      </c>
      <c r="X21" s="10">
        <f t="shared" si="1"/>
        <v>19200</v>
      </c>
    </row>
    <row r="22" spans="1:24" x14ac:dyDescent="0.3">
      <c r="A22">
        <v>131986317</v>
      </c>
      <c r="B22">
        <v>6.9</v>
      </c>
      <c r="C22">
        <v>1</v>
      </c>
      <c r="D22" t="s">
        <v>46</v>
      </c>
      <c r="E22" t="s">
        <v>47</v>
      </c>
      <c r="F22">
        <v>131986317</v>
      </c>
      <c r="G22" t="s">
        <v>74</v>
      </c>
      <c r="H22">
        <v>1357</v>
      </c>
      <c r="I22">
        <v>197</v>
      </c>
      <c r="J22">
        <v>197</v>
      </c>
      <c r="K22">
        <v>3</v>
      </c>
      <c r="L22">
        <v>55.147091330000002</v>
      </c>
      <c r="M22">
        <v>-8.7945271839999997</v>
      </c>
      <c r="N22" s="10">
        <v>114000</v>
      </c>
      <c r="O22" s="10">
        <v>-11100</v>
      </c>
      <c r="P22" s="10">
        <v>936</v>
      </c>
      <c r="Q22">
        <v>0</v>
      </c>
      <c r="R22">
        <v>0</v>
      </c>
      <c r="S22" t="s">
        <v>975</v>
      </c>
      <c r="T22" t="s">
        <v>49</v>
      </c>
      <c r="U22" t="s">
        <v>976</v>
      </c>
      <c r="W22">
        <f t="shared" si="0"/>
        <v>8.7945271839999997</v>
      </c>
      <c r="X22" s="10">
        <f t="shared" si="1"/>
        <v>11100</v>
      </c>
    </row>
    <row r="23" spans="1:24" x14ac:dyDescent="0.3">
      <c r="A23">
        <v>131986326</v>
      </c>
      <c r="B23">
        <v>11.15</v>
      </c>
      <c r="C23">
        <v>3</v>
      </c>
      <c r="D23" t="s">
        <v>60</v>
      </c>
      <c r="E23" t="s">
        <v>55</v>
      </c>
      <c r="F23">
        <v>131986326</v>
      </c>
      <c r="G23" t="s">
        <v>75</v>
      </c>
      <c r="H23">
        <v>4036</v>
      </c>
      <c r="I23">
        <v>1086</v>
      </c>
      <c r="J23">
        <v>362</v>
      </c>
      <c r="K23">
        <v>14</v>
      </c>
      <c r="L23">
        <v>92.45022865</v>
      </c>
      <c r="M23">
        <v>-32.348819339999999</v>
      </c>
      <c r="N23" s="10">
        <v>201000</v>
      </c>
      <c r="O23" s="10">
        <v>-21700</v>
      </c>
      <c r="P23" s="10">
        <v>6620</v>
      </c>
      <c r="Q23">
        <v>0</v>
      </c>
      <c r="R23">
        <v>0</v>
      </c>
      <c r="S23" t="s">
        <v>975</v>
      </c>
      <c r="T23" t="s">
        <v>49</v>
      </c>
      <c r="U23" t="s">
        <v>976</v>
      </c>
      <c r="W23">
        <f t="shared" si="0"/>
        <v>32.348819339999999</v>
      </c>
      <c r="X23" s="10">
        <f t="shared" si="1"/>
        <v>21700</v>
      </c>
    </row>
    <row r="24" spans="1:24" x14ac:dyDescent="0.3">
      <c r="A24">
        <v>131986355</v>
      </c>
      <c r="B24">
        <v>11.8</v>
      </c>
      <c r="C24">
        <v>3</v>
      </c>
      <c r="D24" t="s">
        <v>60</v>
      </c>
      <c r="E24" t="s">
        <v>47</v>
      </c>
      <c r="F24">
        <v>131986355</v>
      </c>
      <c r="G24" t="s">
        <v>76</v>
      </c>
      <c r="H24">
        <v>4343</v>
      </c>
      <c r="I24">
        <v>1104</v>
      </c>
      <c r="J24">
        <v>368</v>
      </c>
      <c r="K24">
        <v>14</v>
      </c>
      <c r="L24">
        <v>143.9187637</v>
      </c>
      <c r="M24">
        <v>-35.355962550000001</v>
      </c>
      <c r="N24" s="10">
        <v>295000</v>
      </c>
      <c r="O24" s="10">
        <v>-28200</v>
      </c>
      <c r="P24" s="10">
        <v>6730</v>
      </c>
      <c r="Q24">
        <v>0</v>
      </c>
      <c r="R24">
        <v>0</v>
      </c>
      <c r="S24" t="s">
        <v>975</v>
      </c>
      <c r="T24" t="s">
        <v>49</v>
      </c>
      <c r="U24" t="s">
        <v>976</v>
      </c>
      <c r="W24">
        <f t="shared" si="0"/>
        <v>35.355962550000001</v>
      </c>
      <c r="X24" s="10">
        <f t="shared" si="1"/>
        <v>28200</v>
      </c>
    </row>
    <row r="25" spans="1:24" x14ac:dyDescent="0.3">
      <c r="A25">
        <v>131986365</v>
      </c>
      <c r="B25">
        <v>19.866666670000001</v>
      </c>
      <c r="C25">
        <v>5</v>
      </c>
      <c r="D25" t="s">
        <v>60</v>
      </c>
      <c r="E25" t="s">
        <v>51</v>
      </c>
      <c r="F25">
        <v>131986365</v>
      </c>
      <c r="G25" t="s">
        <v>77</v>
      </c>
      <c r="H25">
        <v>11917</v>
      </c>
      <c r="I25">
        <v>2999</v>
      </c>
      <c r="J25">
        <v>600</v>
      </c>
      <c r="K25">
        <v>39</v>
      </c>
      <c r="L25">
        <v>292.86203139999998</v>
      </c>
      <c r="M25">
        <v>-101.8476216</v>
      </c>
      <c r="N25" s="10">
        <v>608000</v>
      </c>
      <c r="O25" s="10">
        <v>-68700</v>
      </c>
      <c r="P25" s="10">
        <v>18300</v>
      </c>
      <c r="Q25">
        <v>0</v>
      </c>
      <c r="R25">
        <v>0</v>
      </c>
      <c r="S25" t="s">
        <v>975</v>
      </c>
      <c r="T25" t="s">
        <v>49</v>
      </c>
      <c r="U25" t="s">
        <v>976</v>
      </c>
      <c r="W25">
        <f t="shared" si="0"/>
        <v>101.8476216</v>
      </c>
      <c r="X25" s="10">
        <f t="shared" si="1"/>
        <v>68700</v>
      </c>
    </row>
    <row r="26" spans="1:24" x14ac:dyDescent="0.3">
      <c r="A26">
        <v>131986374</v>
      </c>
      <c r="B26">
        <v>8.1999999999999993</v>
      </c>
      <c r="C26">
        <v>2</v>
      </c>
      <c r="D26" t="s">
        <v>60</v>
      </c>
      <c r="E26" t="s">
        <v>47</v>
      </c>
      <c r="F26">
        <v>131986374</v>
      </c>
      <c r="G26" t="s">
        <v>78</v>
      </c>
      <c r="H26">
        <v>1011</v>
      </c>
      <c r="I26">
        <v>247</v>
      </c>
      <c r="J26">
        <v>124</v>
      </c>
      <c r="K26">
        <v>3</v>
      </c>
      <c r="L26">
        <v>45.50908012</v>
      </c>
      <c r="M26">
        <v>-9.2937594590000003</v>
      </c>
      <c r="N26" s="10">
        <v>87900</v>
      </c>
      <c r="O26" s="10">
        <v>-8110</v>
      </c>
      <c r="P26" s="10">
        <v>1500</v>
      </c>
      <c r="Q26">
        <v>0</v>
      </c>
      <c r="R26">
        <v>0</v>
      </c>
      <c r="S26" t="s">
        <v>975</v>
      </c>
      <c r="T26" t="s">
        <v>49</v>
      </c>
      <c r="U26" t="s">
        <v>976</v>
      </c>
      <c r="W26">
        <f t="shared" si="0"/>
        <v>9.2937594590000003</v>
      </c>
      <c r="X26" s="10">
        <f t="shared" si="1"/>
        <v>8110</v>
      </c>
    </row>
    <row r="27" spans="1:24" x14ac:dyDescent="0.3">
      <c r="A27">
        <v>131986376</v>
      </c>
      <c r="B27">
        <v>11</v>
      </c>
      <c r="C27">
        <v>3</v>
      </c>
      <c r="D27" t="s">
        <v>54</v>
      </c>
      <c r="E27" t="s">
        <v>55</v>
      </c>
      <c r="F27">
        <v>131986376</v>
      </c>
      <c r="G27" t="s">
        <v>79</v>
      </c>
      <c r="H27">
        <v>2346</v>
      </c>
      <c r="I27">
        <v>640</v>
      </c>
      <c r="J27">
        <v>213</v>
      </c>
      <c r="K27">
        <v>8</v>
      </c>
      <c r="L27">
        <v>54.069851489999998</v>
      </c>
      <c r="M27">
        <v>-18.400944880000001</v>
      </c>
      <c r="N27" s="10">
        <v>155000</v>
      </c>
      <c r="O27" s="10">
        <v>-21700</v>
      </c>
      <c r="P27" s="10">
        <v>3050</v>
      </c>
      <c r="Q27">
        <v>0</v>
      </c>
      <c r="R27">
        <v>0</v>
      </c>
      <c r="S27" t="s">
        <v>975</v>
      </c>
      <c r="T27" t="s">
        <v>49</v>
      </c>
      <c r="U27" t="s">
        <v>976</v>
      </c>
      <c r="W27">
        <f t="shared" si="0"/>
        <v>18.400944880000001</v>
      </c>
      <c r="X27" s="10">
        <f t="shared" si="1"/>
        <v>21700</v>
      </c>
    </row>
    <row r="28" spans="1:24" x14ac:dyDescent="0.3">
      <c r="A28">
        <v>131986379</v>
      </c>
      <c r="B28">
        <v>9.1</v>
      </c>
      <c r="C28">
        <v>2</v>
      </c>
      <c r="D28" t="s">
        <v>60</v>
      </c>
      <c r="E28" t="s">
        <v>80</v>
      </c>
      <c r="F28">
        <v>131986379</v>
      </c>
      <c r="G28" t="s">
        <v>81</v>
      </c>
      <c r="H28">
        <v>1803</v>
      </c>
      <c r="I28">
        <v>396</v>
      </c>
      <c r="J28">
        <v>198</v>
      </c>
      <c r="K28">
        <v>5</v>
      </c>
      <c r="L28">
        <v>69.087079160000002</v>
      </c>
      <c r="M28">
        <v>-16.70280627</v>
      </c>
      <c r="N28" s="10">
        <v>133000</v>
      </c>
      <c r="O28" s="10">
        <v>-14000</v>
      </c>
      <c r="P28" s="10">
        <v>2420</v>
      </c>
      <c r="Q28">
        <v>0</v>
      </c>
      <c r="R28">
        <v>0</v>
      </c>
      <c r="S28" t="s">
        <v>975</v>
      </c>
      <c r="T28" t="s">
        <v>49</v>
      </c>
      <c r="U28" t="s">
        <v>976</v>
      </c>
      <c r="W28">
        <f t="shared" si="0"/>
        <v>16.70280627</v>
      </c>
      <c r="X28" s="10">
        <f t="shared" si="1"/>
        <v>14000</v>
      </c>
    </row>
    <row r="29" spans="1:24" x14ac:dyDescent="0.3">
      <c r="A29">
        <v>131986407</v>
      </c>
      <c r="B29">
        <v>7.4249999999999998</v>
      </c>
      <c r="C29">
        <v>2</v>
      </c>
      <c r="D29" t="s">
        <v>60</v>
      </c>
      <c r="E29" t="s">
        <v>55</v>
      </c>
      <c r="F29">
        <v>131986407</v>
      </c>
      <c r="G29" t="s">
        <v>82</v>
      </c>
      <c r="H29">
        <v>1750</v>
      </c>
      <c r="I29">
        <v>472</v>
      </c>
      <c r="J29">
        <v>236</v>
      </c>
      <c r="K29">
        <v>6</v>
      </c>
      <c r="L29">
        <v>46.836964389999999</v>
      </c>
      <c r="M29">
        <v>-14.079771109999999</v>
      </c>
      <c r="N29" s="10">
        <v>98800</v>
      </c>
      <c r="O29" s="10">
        <v>-9750</v>
      </c>
      <c r="P29" s="10">
        <v>2870</v>
      </c>
      <c r="Q29">
        <v>0</v>
      </c>
      <c r="R29">
        <v>0</v>
      </c>
      <c r="S29" t="s">
        <v>975</v>
      </c>
      <c r="T29" t="s">
        <v>49</v>
      </c>
      <c r="U29" t="s">
        <v>976</v>
      </c>
      <c r="W29">
        <f t="shared" si="0"/>
        <v>14.079771109999999</v>
      </c>
      <c r="X29" s="10">
        <f t="shared" si="1"/>
        <v>9750</v>
      </c>
    </row>
    <row r="30" spans="1:24" x14ac:dyDescent="0.3">
      <c r="A30">
        <v>131986414</v>
      </c>
      <c r="B30">
        <v>10.5</v>
      </c>
      <c r="C30">
        <v>3</v>
      </c>
      <c r="D30" t="s">
        <v>60</v>
      </c>
      <c r="E30" t="s">
        <v>55</v>
      </c>
      <c r="F30">
        <v>131986414</v>
      </c>
      <c r="G30" t="s">
        <v>83</v>
      </c>
      <c r="H30">
        <v>2104</v>
      </c>
      <c r="I30">
        <v>601</v>
      </c>
      <c r="J30">
        <v>200</v>
      </c>
      <c r="K30">
        <v>8</v>
      </c>
      <c r="L30">
        <v>45.926197889999997</v>
      </c>
      <c r="M30">
        <v>-17.056867830000002</v>
      </c>
      <c r="N30" s="10">
        <v>102000</v>
      </c>
      <c r="O30" s="10">
        <v>-11000</v>
      </c>
      <c r="P30" s="10">
        <v>3660</v>
      </c>
      <c r="Q30">
        <v>0</v>
      </c>
      <c r="R30">
        <v>0</v>
      </c>
      <c r="S30" t="s">
        <v>975</v>
      </c>
      <c r="T30" t="s">
        <v>49</v>
      </c>
      <c r="U30" t="s">
        <v>976</v>
      </c>
      <c r="W30">
        <f t="shared" si="0"/>
        <v>17.056867830000002</v>
      </c>
      <c r="X30" s="10">
        <f t="shared" si="1"/>
        <v>11000</v>
      </c>
    </row>
    <row r="31" spans="1:24" x14ac:dyDescent="0.3">
      <c r="A31">
        <v>131986428</v>
      </c>
      <c r="B31">
        <v>13.66666667</v>
      </c>
      <c r="C31">
        <v>3</v>
      </c>
      <c r="D31" t="s">
        <v>60</v>
      </c>
      <c r="E31" t="s">
        <v>80</v>
      </c>
      <c r="F31">
        <v>131986428</v>
      </c>
      <c r="G31" t="s">
        <v>84</v>
      </c>
      <c r="H31">
        <v>3095</v>
      </c>
      <c r="I31">
        <v>679</v>
      </c>
      <c r="J31">
        <v>226</v>
      </c>
      <c r="K31">
        <v>9</v>
      </c>
      <c r="L31">
        <v>109.21299569999999</v>
      </c>
      <c r="M31">
        <v>-28.242457739999999</v>
      </c>
      <c r="N31" s="10">
        <v>213000</v>
      </c>
      <c r="O31" s="10">
        <v>-22900</v>
      </c>
      <c r="P31" s="10">
        <v>4140</v>
      </c>
      <c r="Q31">
        <v>0</v>
      </c>
      <c r="R31">
        <v>0</v>
      </c>
      <c r="S31" t="s">
        <v>975</v>
      </c>
      <c r="T31" t="s">
        <v>49</v>
      </c>
      <c r="U31" t="s">
        <v>976</v>
      </c>
      <c r="W31">
        <f t="shared" si="0"/>
        <v>28.242457739999999</v>
      </c>
      <c r="X31" s="10">
        <f t="shared" si="1"/>
        <v>22900</v>
      </c>
    </row>
    <row r="32" spans="1:24" x14ac:dyDescent="0.3">
      <c r="A32">
        <v>131986440</v>
      </c>
      <c r="B32">
        <v>6.6</v>
      </c>
      <c r="C32">
        <v>1</v>
      </c>
      <c r="D32" t="s">
        <v>60</v>
      </c>
      <c r="E32" t="s">
        <v>47</v>
      </c>
      <c r="F32">
        <v>131986440</v>
      </c>
      <c r="G32" t="s">
        <v>85</v>
      </c>
      <c r="H32">
        <v>1641</v>
      </c>
      <c r="I32">
        <v>249</v>
      </c>
      <c r="J32">
        <v>249</v>
      </c>
      <c r="K32">
        <v>3</v>
      </c>
      <c r="L32">
        <v>91.791948759999997</v>
      </c>
      <c r="M32">
        <v>-15.02033685</v>
      </c>
      <c r="N32" s="10">
        <v>171000</v>
      </c>
      <c r="O32" s="10">
        <v>-13800</v>
      </c>
      <c r="P32" s="10">
        <v>1520</v>
      </c>
      <c r="Q32">
        <v>0</v>
      </c>
      <c r="R32">
        <v>0</v>
      </c>
      <c r="S32" t="s">
        <v>975</v>
      </c>
      <c r="T32" t="s">
        <v>49</v>
      </c>
      <c r="U32" t="s">
        <v>976</v>
      </c>
      <c r="W32">
        <f t="shared" si="0"/>
        <v>15.02033685</v>
      </c>
      <c r="X32" s="10">
        <f t="shared" si="1"/>
        <v>13800</v>
      </c>
    </row>
    <row r="33" spans="1:24" x14ac:dyDescent="0.3">
      <c r="A33">
        <v>131986483</v>
      </c>
      <c r="B33">
        <v>9.4375</v>
      </c>
      <c r="C33">
        <v>2</v>
      </c>
      <c r="D33" t="s">
        <v>60</v>
      </c>
      <c r="E33" t="s">
        <v>51</v>
      </c>
      <c r="F33">
        <v>131986483</v>
      </c>
      <c r="G33" t="s">
        <v>86</v>
      </c>
      <c r="H33">
        <v>3885</v>
      </c>
      <c r="I33">
        <v>823</v>
      </c>
      <c r="J33">
        <v>412</v>
      </c>
      <c r="K33">
        <v>11</v>
      </c>
      <c r="L33">
        <v>92.007416239999998</v>
      </c>
      <c r="M33">
        <v>-28.210736910000001</v>
      </c>
      <c r="N33" s="10">
        <v>198000</v>
      </c>
      <c r="O33" s="10">
        <v>-20900</v>
      </c>
      <c r="P33" s="10">
        <v>5020</v>
      </c>
      <c r="Q33">
        <v>0</v>
      </c>
      <c r="R33">
        <v>0</v>
      </c>
      <c r="S33" t="s">
        <v>975</v>
      </c>
      <c r="T33" t="s">
        <v>49</v>
      </c>
      <c r="U33" t="s">
        <v>976</v>
      </c>
      <c r="W33">
        <f t="shared" si="0"/>
        <v>28.210736910000001</v>
      </c>
      <c r="X33" s="10">
        <f t="shared" si="1"/>
        <v>20900</v>
      </c>
    </row>
    <row r="34" spans="1:24" x14ac:dyDescent="0.3">
      <c r="A34">
        <v>131986489</v>
      </c>
      <c r="B34">
        <v>6.05</v>
      </c>
      <c r="C34">
        <v>1</v>
      </c>
      <c r="D34" t="s">
        <v>60</v>
      </c>
      <c r="E34" t="s">
        <v>47</v>
      </c>
      <c r="F34">
        <v>131986489</v>
      </c>
      <c r="G34" t="s">
        <v>87</v>
      </c>
      <c r="H34">
        <v>537</v>
      </c>
      <c r="I34">
        <v>89</v>
      </c>
      <c r="J34">
        <v>89</v>
      </c>
      <c r="K34">
        <v>1</v>
      </c>
      <c r="L34">
        <v>41.20507147</v>
      </c>
      <c r="M34">
        <v>-6.1506840499999997</v>
      </c>
      <c r="N34" s="10">
        <v>75800</v>
      </c>
      <c r="O34" s="10">
        <v>-5790</v>
      </c>
      <c r="P34" s="10">
        <v>541</v>
      </c>
      <c r="Q34">
        <v>0</v>
      </c>
      <c r="R34">
        <v>0</v>
      </c>
      <c r="S34" t="s">
        <v>975</v>
      </c>
      <c r="T34" t="s">
        <v>49</v>
      </c>
      <c r="U34" t="s">
        <v>976</v>
      </c>
      <c r="W34">
        <f t="shared" si="0"/>
        <v>6.1506840499999997</v>
      </c>
      <c r="X34" s="10">
        <f t="shared" si="1"/>
        <v>5790</v>
      </c>
    </row>
    <row r="35" spans="1:24" x14ac:dyDescent="0.3">
      <c r="A35">
        <v>131986502</v>
      </c>
      <c r="B35">
        <v>9.1</v>
      </c>
      <c r="C35">
        <v>2</v>
      </c>
      <c r="D35" t="s">
        <v>60</v>
      </c>
      <c r="E35" t="s">
        <v>47</v>
      </c>
      <c r="F35">
        <v>131986502</v>
      </c>
      <c r="G35" t="s">
        <v>88</v>
      </c>
      <c r="H35">
        <v>2452</v>
      </c>
      <c r="I35">
        <v>539</v>
      </c>
      <c r="J35">
        <v>270</v>
      </c>
      <c r="K35">
        <v>7</v>
      </c>
      <c r="L35">
        <v>120.5564146</v>
      </c>
      <c r="M35">
        <v>-22.928614589999999</v>
      </c>
      <c r="N35" s="10">
        <v>226000</v>
      </c>
      <c r="O35" s="10">
        <v>-19700</v>
      </c>
      <c r="P35" s="10">
        <v>3280</v>
      </c>
      <c r="Q35">
        <v>0</v>
      </c>
      <c r="R35">
        <v>0</v>
      </c>
      <c r="S35" t="s">
        <v>975</v>
      </c>
      <c r="T35" t="s">
        <v>49</v>
      </c>
      <c r="U35" t="s">
        <v>976</v>
      </c>
      <c r="W35">
        <f t="shared" si="0"/>
        <v>22.928614589999999</v>
      </c>
      <c r="X35" s="10">
        <f t="shared" si="1"/>
        <v>19700</v>
      </c>
    </row>
    <row r="36" spans="1:24" x14ac:dyDescent="0.3">
      <c r="A36">
        <v>131986525</v>
      </c>
      <c r="B36">
        <v>5.2</v>
      </c>
      <c r="C36">
        <v>1</v>
      </c>
      <c r="D36" t="s">
        <v>60</v>
      </c>
      <c r="E36" t="s">
        <v>80</v>
      </c>
      <c r="F36">
        <v>131986525</v>
      </c>
      <c r="G36" t="s">
        <v>89</v>
      </c>
      <c r="H36">
        <v>1762</v>
      </c>
      <c r="I36">
        <v>339</v>
      </c>
      <c r="J36">
        <v>339</v>
      </c>
      <c r="K36">
        <v>4</v>
      </c>
      <c r="L36">
        <v>84.538720069999997</v>
      </c>
      <c r="M36">
        <v>-16.470022969999999</v>
      </c>
      <c r="N36" s="10">
        <v>160000</v>
      </c>
      <c r="O36" s="10">
        <v>-15200</v>
      </c>
      <c r="P36" s="10">
        <v>2070</v>
      </c>
      <c r="Q36">
        <v>0</v>
      </c>
      <c r="R36">
        <v>0</v>
      </c>
      <c r="S36" t="s">
        <v>975</v>
      </c>
      <c r="T36" t="s">
        <v>49</v>
      </c>
      <c r="U36" t="s">
        <v>976</v>
      </c>
      <c r="W36">
        <f t="shared" si="0"/>
        <v>16.470022969999999</v>
      </c>
      <c r="X36" s="10">
        <f t="shared" si="1"/>
        <v>15200</v>
      </c>
    </row>
    <row r="37" spans="1:24" x14ac:dyDescent="0.3">
      <c r="A37">
        <v>131986535</v>
      </c>
      <c r="B37">
        <v>6.66</v>
      </c>
      <c r="C37">
        <v>1</v>
      </c>
      <c r="D37" t="s">
        <v>60</v>
      </c>
      <c r="E37" t="s">
        <v>47</v>
      </c>
      <c r="F37">
        <v>131986535</v>
      </c>
      <c r="G37" t="s">
        <v>90</v>
      </c>
      <c r="H37">
        <v>1032</v>
      </c>
      <c r="I37">
        <v>155</v>
      </c>
      <c r="J37">
        <v>155</v>
      </c>
      <c r="K37">
        <v>2</v>
      </c>
      <c r="L37">
        <v>67.919437709999997</v>
      </c>
      <c r="M37">
        <v>-10.51086866</v>
      </c>
      <c r="N37" s="10">
        <v>126000</v>
      </c>
      <c r="O37" s="10">
        <v>-9740</v>
      </c>
      <c r="P37" s="10">
        <v>945</v>
      </c>
      <c r="Q37">
        <v>0</v>
      </c>
      <c r="R37">
        <v>0</v>
      </c>
      <c r="S37" t="s">
        <v>975</v>
      </c>
      <c r="T37" t="s">
        <v>49</v>
      </c>
      <c r="U37" t="s">
        <v>976</v>
      </c>
      <c r="W37">
        <f t="shared" si="0"/>
        <v>10.51086866</v>
      </c>
      <c r="X37" s="10">
        <f t="shared" si="1"/>
        <v>9740</v>
      </c>
    </row>
    <row r="38" spans="1:24" x14ac:dyDescent="0.3">
      <c r="A38">
        <v>131986539</v>
      </c>
      <c r="B38">
        <v>10.5</v>
      </c>
      <c r="C38">
        <v>3</v>
      </c>
      <c r="D38" t="s">
        <v>60</v>
      </c>
      <c r="E38" t="s">
        <v>51</v>
      </c>
      <c r="F38">
        <v>131986539</v>
      </c>
      <c r="G38" t="s">
        <v>91</v>
      </c>
      <c r="H38">
        <v>4359</v>
      </c>
      <c r="I38">
        <v>1245</v>
      </c>
      <c r="J38">
        <v>415</v>
      </c>
      <c r="K38">
        <v>16</v>
      </c>
      <c r="L38">
        <v>111.2162328</v>
      </c>
      <c r="M38">
        <v>-37.546219929999999</v>
      </c>
      <c r="N38" s="10">
        <v>237000</v>
      </c>
      <c r="O38" s="10">
        <v>-24400</v>
      </c>
      <c r="P38" s="10">
        <v>7590</v>
      </c>
      <c r="Q38">
        <v>0</v>
      </c>
      <c r="R38">
        <v>0</v>
      </c>
      <c r="S38" t="s">
        <v>975</v>
      </c>
      <c r="T38" t="s">
        <v>49</v>
      </c>
      <c r="U38" t="s">
        <v>976</v>
      </c>
      <c r="W38">
        <f t="shared" si="0"/>
        <v>37.546219929999999</v>
      </c>
      <c r="X38" s="10">
        <f t="shared" si="1"/>
        <v>24400</v>
      </c>
    </row>
    <row r="39" spans="1:24" x14ac:dyDescent="0.3">
      <c r="A39">
        <v>131986563</v>
      </c>
      <c r="B39">
        <v>9.1</v>
      </c>
      <c r="C39">
        <v>2</v>
      </c>
      <c r="D39" t="s">
        <v>60</v>
      </c>
      <c r="E39" t="s">
        <v>47</v>
      </c>
      <c r="F39">
        <v>131986563</v>
      </c>
      <c r="G39" t="s">
        <v>92</v>
      </c>
      <c r="H39">
        <v>1589</v>
      </c>
      <c r="I39">
        <v>349</v>
      </c>
      <c r="J39">
        <v>175</v>
      </c>
      <c r="K39">
        <v>5</v>
      </c>
      <c r="L39">
        <v>60.193868879999997</v>
      </c>
      <c r="M39">
        <v>-12.97530708</v>
      </c>
      <c r="N39" s="10">
        <v>119000</v>
      </c>
      <c r="O39" s="10">
        <v>-10900</v>
      </c>
      <c r="P39" s="10">
        <v>2130</v>
      </c>
      <c r="Q39">
        <v>0</v>
      </c>
      <c r="R39">
        <v>0</v>
      </c>
      <c r="S39" t="s">
        <v>975</v>
      </c>
      <c r="T39" t="s">
        <v>49</v>
      </c>
      <c r="U39" t="s">
        <v>976</v>
      </c>
      <c r="W39">
        <f t="shared" si="0"/>
        <v>12.97530708</v>
      </c>
      <c r="X39" s="10">
        <f t="shared" si="1"/>
        <v>10900</v>
      </c>
    </row>
    <row r="40" spans="1:24" x14ac:dyDescent="0.3">
      <c r="A40">
        <v>131986576</v>
      </c>
      <c r="B40">
        <v>16.850000000000001</v>
      </c>
      <c r="C40">
        <v>4</v>
      </c>
      <c r="D40" t="s">
        <v>60</v>
      </c>
      <c r="E40" t="s">
        <v>51</v>
      </c>
      <c r="F40">
        <v>131986576</v>
      </c>
      <c r="G40" t="s">
        <v>93</v>
      </c>
      <c r="H40">
        <v>4425</v>
      </c>
      <c r="I40">
        <v>1050</v>
      </c>
      <c r="J40">
        <v>263</v>
      </c>
      <c r="K40">
        <v>14</v>
      </c>
      <c r="L40">
        <v>116.8462018</v>
      </c>
      <c r="M40">
        <v>-38.521148420000003</v>
      </c>
      <c r="N40" s="10">
        <v>238000</v>
      </c>
      <c r="O40" s="10">
        <v>-27600</v>
      </c>
      <c r="P40" s="10">
        <v>6400</v>
      </c>
      <c r="Q40">
        <v>0</v>
      </c>
      <c r="R40">
        <v>0</v>
      </c>
      <c r="S40" t="s">
        <v>975</v>
      </c>
      <c r="T40" t="s">
        <v>49</v>
      </c>
      <c r="U40" t="s">
        <v>976</v>
      </c>
      <c r="W40">
        <f t="shared" si="0"/>
        <v>38.521148420000003</v>
      </c>
      <c r="X40" s="10">
        <f t="shared" si="1"/>
        <v>27600</v>
      </c>
    </row>
    <row r="41" spans="1:24" x14ac:dyDescent="0.3">
      <c r="A41">
        <v>131986605</v>
      </c>
      <c r="B41">
        <v>12.56666667</v>
      </c>
      <c r="C41">
        <v>3</v>
      </c>
      <c r="D41" t="s">
        <v>60</v>
      </c>
      <c r="E41" t="s">
        <v>47</v>
      </c>
      <c r="F41">
        <v>131986605</v>
      </c>
      <c r="G41" t="s">
        <v>94</v>
      </c>
      <c r="H41">
        <v>2214</v>
      </c>
      <c r="I41">
        <v>529</v>
      </c>
      <c r="J41">
        <v>176</v>
      </c>
      <c r="K41">
        <v>7</v>
      </c>
      <c r="L41">
        <v>88.728475270000004</v>
      </c>
      <c r="M41">
        <v>-20.12902923</v>
      </c>
      <c r="N41" s="10">
        <v>174000</v>
      </c>
      <c r="O41" s="10">
        <v>-16500</v>
      </c>
      <c r="P41" s="10">
        <v>3220</v>
      </c>
      <c r="Q41">
        <v>0</v>
      </c>
      <c r="R41">
        <v>0</v>
      </c>
      <c r="S41" t="s">
        <v>975</v>
      </c>
      <c r="T41" t="s">
        <v>49</v>
      </c>
      <c r="U41" t="s">
        <v>976</v>
      </c>
      <c r="W41">
        <f t="shared" si="0"/>
        <v>20.12902923</v>
      </c>
      <c r="X41" s="10">
        <f t="shared" si="1"/>
        <v>16500</v>
      </c>
    </row>
    <row r="42" spans="1:24" x14ac:dyDescent="0.3">
      <c r="A42">
        <v>131986623</v>
      </c>
      <c r="B42">
        <v>6.733333333</v>
      </c>
      <c r="C42">
        <v>1</v>
      </c>
      <c r="D42" t="s">
        <v>60</v>
      </c>
      <c r="E42" t="s">
        <v>47</v>
      </c>
      <c r="F42">
        <v>131986623</v>
      </c>
      <c r="G42" t="s">
        <v>95</v>
      </c>
      <c r="H42">
        <v>780</v>
      </c>
      <c r="I42">
        <v>116</v>
      </c>
      <c r="J42">
        <v>116</v>
      </c>
      <c r="K42">
        <v>2</v>
      </c>
      <c r="L42">
        <v>58.139862979999997</v>
      </c>
      <c r="M42">
        <v>-8.7232033849999997</v>
      </c>
      <c r="N42" s="10">
        <v>108000</v>
      </c>
      <c r="O42" s="10">
        <v>-8420</v>
      </c>
      <c r="P42" s="10">
        <v>706</v>
      </c>
      <c r="Q42">
        <v>0</v>
      </c>
      <c r="R42">
        <v>0</v>
      </c>
      <c r="S42" t="s">
        <v>975</v>
      </c>
      <c r="T42" t="s">
        <v>49</v>
      </c>
      <c r="U42" t="s">
        <v>976</v>
      </c>
      <c r="W42">
        <f t="shared" si="0"/>
        <v>8.7232033849999997</v>
      </c>
      <c r="X42" s="10">
        <f t="shared" si="1"/>
        <v>8420</v>
      </c>
    </row>
    <row r="43" spans="1:24" x14ac:dyDescent="0.3">
      <c r="A43">
        <v>131986637</v>
      </c>
      <c r="B43">
        <v>4.3</v>
      </c>
      <c r="C43">
        <v>1</v>
      </c>
      <c r="D43" t="s">
        <v>60</v>
      </c>
      <c r="E43" t="s">
        <v>51</v>
      </c>
      <c r="F43">
        <v>131986637</v>
      </c>
      <c r="G43" t="s">
        <v>96</v>
      </c>
      <c r="H43">
        <v>1258</v>
      </c>
      <c r="I43">
        <v>293</v>
      </c>
      <c r="J43">
        <v>293</v>
      </c>
      <c r="K43">
        <v>4</v>
      </c>
      <c r="L43">
        <v>51.840910280000003</v>
      </c>
      <c r="M43">
        <v>-11.419078880000001</v>
      </c>
      <c r="N43" s="10">
        <v>101000</v>
      </c>
      <c r="O43" s="10">
        <v>-8880</v>
      </c>
      <c r="P43" s="10">
        <v>1780</v>
      </c>
      <c r="Q43">
        <v>0</v>
      </c>
      <c r="R43">
        <v>0</v>
      </c>
      <c r="S43" t="s">
        <v>975</v>
      </c>
      <c r="T43" t="s">
        <v>49</v>
      </c>
      <c r="U43" t="s">
        <v>976</v>
      </c>
      <c r="W43">
        <f t="shared" si="0"/>
        <v>11.419078880000001</v>
      </c>
      <c r="X43" s="10">
        <f t="shared" si="1"/>
        <v>8880</v>
      </c>
    </row>
    <row r="44" spans="1:24" x14ac:dyDescent="0.3">
      <c r="A44">
        <v>131986650</v>
      </c>
      <c r="B44">
        <v>8.8666666670000005</v>
      </c>
      <c r="C44">
        <v>2</v>
      </c>
      <c r="D44" t="s">
        <v>60</v>
      </c>
      <c r="E44" t="s">
        <v>47</v>
      </c>
      <c r="F44">
        <v>131986650</v>
      </c>
      <c r="G44" t="s">
        <v>97</v>
      </c>
      <c r="H44">
        <v>805</v>
      </c>
      <c r="I44">
        <v>182</v>
      </c>
      <c r="J44">
        <v>91</v>
      </c>
      <c r="K44">
        <v>2</v>
      </c>
      <c r="L44">
        <v>48.435625559999998</v>
      </c>
      <c r="M44">
        <v>-8.6392879810000007</v>
      </c>
      <c r="N44" s="10">
        <v>88100</v>
      </c>
      <c r="O44" s="10">
        <v>-7640</v>
      </c>
      <c r="P44" s="10">
        <v>1110</v>
      </c>
      <c r="Q44">
        <v>0</v>
      </c>
      <c r="R44">
        <v>0</v>
      </c>
      <c r="S44" t="s">
        <v>975</v>
      </c>
      <c r="T44" t="s">
        <v>49</v>
      </c>
      <c r="U44" t="s">
        <v>976</v>
      </c>
      <c r="W44">
        <f t="shared" si="0"/>
        <v>8.6392879810000007</v>
      </c>
      <c r="X44" s="10">
        <f t="shared" si="1"/>
        <v>7640</v>
      </c>
    </row>
    <row r="45" spans="1:24" x14ac:dyDescent="0.3">
      <c r="A45">
        <v>131986665</v>
      </c>
      <c r="B45">
        <v>5.8</v>
      </c>
      <c r="C45">
        <v>1</v>
      </c>
      <c r="D45" t="s">
        <v>60</v>
      </c>
      <c r="E45" t="s">
        <v>98</v>
      </c>
      <c r="F45">
        <v>131986665</v>
      </c>
      <c r="G45" t="s">
        <v>99</v>
      </c>
      <c r="H45">
        <v>617</v>
      </c>
      <c r="I45">
        <v>106</v>
      </c>
      <c r="J45">
        <v>106</v>
      </c>
      <c r="K45">
        <v>1</v>
      </c>
      <c r="L45">
        <v>22.881920730000001</v>
      </c>
      <c r="M45">
        <v>-6.3400411959999996</v>
      </c>
      <c r="N45" s="10">
        <v>44300</v>
      </c>
      <c r="O45" s="10">
        <v>-4430</v>
      </c>
      <c r="P45" s="10">
        <v>649</v>
      </c>
      <c r="Q45">
        <v>0</v>
      </c>
      <c r="R45">
        <v>0</v>
      </c>
      <c r="S45" t="s">
        <v>975</v>
      </c>
      <c r="T45" t="s">
        <v>49</v>
      </c>
      <c r="U45" t="s">
        <v>976</v>
      </c>
      <c r="W45">
        <f t="shared" si="0"/>
        <v>6.3400411959999996</v>
      </c>
      <c r="X45" s="10">
        <f t="shared" si="1"/>
        <v>4430</v>
      </c>
    </row>
    <row r="46" spans="1:24" x14ac:dyDescent="0.3">
      <c r="A46">
        <v>131986695</v>
      </c>
      <c r="B46">
        <v>9.7750000000000004</v>
      </c>
      <c r="C46">
        <v>2</v>
      </c>
      <c r="D46" t="s">
        <v>60</v>
      </c>
      <c r="E46" t="s">
        <v>47</v>
      </c>
      <c r="F46">
        <v>131986695</v>
      </c>
      <c r="G46" t="s">
        <v>100</v>
      </c>
      <c r="H46">
        <v>1039</v>
      </c>
      <c r="I46">
        <v>213</v>
      </c>
      <c r="J46">
        <v>107</v>
      </c>
      <c r="K46">
        <v>3</v>
      </c>
      <c r="L46">
        <v>51.017047839999996</v>
      </c>
      <c r="M46">
        <v>-9.7140495439999999</v>
      </c>
      <c r="N46" s="10">
        <v>94500</v>
      </c>
      <c r="O46" s="10">
        <v>-8310</v>
      </c>
      <c r="P46" s="10">
        <v>1300</v>
      </c>
      <c r="Q46">
        <v>0</v>
      </c>
      <c r="R46">
        <v>0</v>
      </c>
      <c r="S46" t="s">
        <v>975</v>
      </c>
      <c r="T46" t="s">
        <v>49</v>
      </c>
      <c r="U46" t="s">
        <v>976</v>
      </c>
      <c r="W46">
        <f t="shared" si="0"/>
        <v>9.7140495439999999</v>
      </c>
      <c r="X46" s="10">
        <f t="shared" si="1"/>
        <v>8310</v>
      </c>
    </row>
    <row r="47" spans="1:24" x14ac:dyDescent="0.3">
      <c r="A47">
        <v>131986703</v>
      </c>
      <c r="B47">
        <v>4.5</v>
      </c>
      <c r="C47">
        <v>1</v>
      </c>
      <c r="D47" t="s">
        <v>46</v>
      </c>
      <c r="E47" t="s">
        <v>47</v>
      </c>
      <c r="F47">
        <v>131986703</v>
      </c>
      <c r="G47" t="s">
        <v>101</v>
      </c>
      <c r="H47">
        <v>1243</v>
      </c>
      <c r="I47">
        <v>276</v>
      </c>
      <c r="J47">
        <v>276</v>
      </c>
      <c r="K47">
        <v>4</v>
      </c>
      <c r="L47">
        <v>62.910193159999999</v>
      </c>
      <c r="M47">
        <v>-9.1824153150000001</v>
      </c>
      <c r="N47" s="10">
        <v>134000</v>
      </c>
      <c r="O47" s="10">
        <v>-13000</v>
      </c>
      <c r="P47" s="10">
        <v>1310</v>
      </c>
      <c r="Q47">
        <v>0</v>
      </c>
      <c r="R47">
        <v>0</v>
      </c>
      <c r="S47" t="s">
        <v>975</v>
      </c>
      <c r="T47" t="s">
        <v>49</v>
      </c>
      <c r="U47" t="s">
        <v>976</v>
      </c>
      <c r="W47">
        <f t="shared" si="0"/>
        <v>9.1824153150000001</v>
      </c>
      <c r="X47" s="10">
        <f t="shared" si="1"/>
        <v>13000</v>
      </c>
    </row>
    <row r="48" spans="1:24" x14ac:dyDescent="0.3">
      <c r="A48">
        <v>131986710</v>
      </c>
      <c r="B48">
        <v>10.76</v>
      </c>
      <c r="C48">
        <v>3</v>
      </c>
      <c r="D48" t="s">
        <v>102</v>
      </c>
      <c r="E48" t="s">
        <v>47</v>
      </c>
      <c r="F48">
        <v>131986710</v>
      </c>
      <c r="G48" t="s">
        <v>103</v>
      </c>
      <c r="H48">
        <v>5164</v>
      </c>
      <c r="I48">
        <v>1440</v>
      </c>
      <c r="J48">
        <v>480</v>
      </c>
      <c r="K48">
        <v>19</v>
      </c>
      <c r="L48">
        <v>156.3379942</v>
      </c>
      <c r="M48">
        <v>-34.95254654</v>
      </c>
      <c r="N48" s="10">
        <v>417000</v>
      </c>
      <c r="O48" s="10">
        <v>-50700</v>
      </c>
      <c r="P48" s="10">
        <v>6850</v>
      </c>
      <c r="Q48">
        <v>0</v>
      </c>
      <c r="R48">
        <v>0</v>
      </c>
      <c r="S48" t="s">
        <v>975</v>
      </c>
      <c r="T48" t="s">
        <v>49</v>
      </c>
      <c r="U48" t="s">
        <v>976</v>
      </c>
      <c r="W48">
        <f t="shared" si="0"/>
        <v>34.95254654</v>
      </c>
      <c r="X48" s="10">
        <f t="shared" si="1"/>
        <v>50700</v>
      </c>
    </row>
    <row r="49" spans="1:24" x14ac:dyDescent="0.3">
      <c r="A49">
        <v>131986711</v>
      </c>
      <c r="B49">
        <v>9.5166666670000009</v>
      </c>
      <c r="C49">
        <v>2</v>
      </c>
      <c r="D49" t="s">
        <v>104</v>
      </c>
      <c r="E49" t="s">
        <v>55</v>
      </c>
      <c r="F49">
        <v>131986711</v>
      </c>
      <c r="G49" t="s">
        <v>105</v>
      </c>
      <c r="H49">
        <v>6811</v>
      </c>
      <c r="I49">
        <v>1431</v>
      </c>
      <c r="J49">
        <v>716</v>
      </c>
      <c r="K49">
        <v>19</v>
      </c>
      <c r="L49">
        <v>125.3840074</v>
      </c>
      <c r="M49">
        <v>-149.60764800000001</v>
      </c>
      <c r="N49" s="10">
        <v>1460000</v>
      </c>
      <c r="O49" s="10">
        <v>-436000</v>
      </c>
      <c r="P49" s="10">
        <v>52200</v>
      </c>
      <c r="Q49">
        <v>0</v>
      </c>
      <c r="R49">
        <v>0</v>
      </c>
      <c r="S49" t="s">
        <v>975</v>
      </c>
      <c r="T49" t="s">
        <v>49</v>
      </c>
      <c r="U49" t="s">
        <v>976</v>
      </c>
      <c r="W49">
        <f t="shared" si="0"/>
        <v>149.60764800000001</v>
      </c>
      <c r="X49" s="10">
        <f t="shared" si="1"/>
        <v>436000</v>
      </c>
    </row>
    <row r="50" spans="1:24" x14ac:dyDescent="0.3">
      <c r="A50">
        <v>131986727</v>
      </c>
      <c r="B50">
        <v>11.15</v>
      </c>
      <c r="C50">
        <v>3</v>
      </c>
      <c r="D50" t="s">
        <v>60</v>
      </c>
      <c r="E50" t="s">
        <v>47</v>
      </c>
      <c r="F50">
        <v>131986727</v>
      </c>
      <c r="G50" t="s">
        <v>106</v>
      </c>
      <c r="H50">
        <v>2008</v>
      </c>
      <c r="I50">
        <v>540</v>
      </c>
      <c r="J50">
        <v>180</v>
      </c>
      <c r="K50">
        <v>7</v>
      </c>
      <c r="L50">
        <v>91.544153230000006</v>
      </c>
      <c r="M50">
        <v>-19.503700550000001</v>
      </c>
      <c r="N50" s="10">
        <v>178000</v>
      </c>
      <c r="O50" s="10">
        <v>-16300</v>
      </c>
      <c r="P50" s="10">
        <v>3290</v>
      </c>
      <c r="Q50">
        <v>0</v>
      </c>
      <c r="R50">
        <v>0</v>
      </c>
      <c r="S50" t="s">
        <v>975</v>
      </c>
      <c r="T50" t="s">
        <v>49</v>
      </c>
      <c r="U50" t="s">
        <v>976</v>
      </c>
      <c r="W50">
        <f t="shared" si="0"/>
        <v>19.503700550000001</v>
      </c>
      <c r="X50" s="10">
        <f t="shared" si="1"/>
        <v>16300</v>
      </c>
    </row>
    <row r="51" spans="1:24" x14ac:dyDescent="0.3">
      <c r="A51">
        <v>131986738</v>
      </c>
      <c r="B51">
        <v>5.0333333329999999</v>
      </c>
      <c r="C51">
        <v>1</v>
      </c>
      <c r="D51" t="s">
        <v>60</v>
      </c>
      <c r="E51" t="s">
        <v>47</v>
      </c>
      <c r="F51">
        <v>131986738</v>
      </c>
      <c r="G51" t="s">
        <v>107</v>
      </c>
      <c r="H51">
        <v>474</v>
      </c>
      <c r="I51">
        <v>94</v>
      </c>
      <c r="J51">
        <v>94</v>
      </c>
      <c r="K51">
        <v>1</v>
      </c>
      <c r="L51">
        <v>30.2182256</v>
      </c>
      <c r="M51">
        <v>-4.9223326009999999</v>
      </c>
      <c r="N51" s="10">
        <v>55800</v>
      </c>
      <c r="O51" s="10">
        <v>-4560</v>
      </c>
      <c r="P51" s="10">
        <v>574</v>
      </c>
      <c r="Q51">
        <v>0</v>
      </c>
      <c r="R51">
        <v>0</v>
      </c>
      <c r="S51" t="s">
        <v>975</v>
      </c>
      <c r="T51" t="s">
        <v>49</v>
      </c>
      <c r="U51" t="s">
        <v>976</v>
      </c>
      <c r="W51">
        <f t="shared" si="0"/>
        <v>4.9223326009999999</v>
      </c>
      <c r="X51" s="10">
        <f t="shared" si="1"/>
        <v>4560</v>
      </c>
    </row>
    <row r="52" spans="1:24" x14ac:dyDescent="0.3">
      <c r="A52">
        <v>131986851</v>
      </c>
      <c r="B52">
        <v>7.7</v>
      </c>
      <c r="C52">
        <v>2</v>
      </c>
      <c r="D52" t="s">
        <v>60</v>
      </c>
      <c r="E52" t="s">
        <v>55</v>
      </c>
      <c r="F52">
        <v>131986851</v>
      </c>
      <c r="G52" t="s">
        <v>108</v>
      </c>
      <c r="H52">
        <v>1107</v>
      </c>
      <c r="I52">
        <v>288</v>
      </c>
      <c r="J52">
        <v>144</v>
      </c>
      <c r="K52">
        <v>4</v>
      </c>
      <c r="L52">
        <v>44.755623890000003</v>
      </c>
      <c r="M52">
        <v>-12.9625851</v>
      </c>
      <c r="N52" s="10">
        <v>84100</v>
      </c>
      <c r="O52" s="10">
        <v>-9100</v>
      </c>
      <c r="P52" s="10">
        <v>1750</v>
      </c>
      <c r="Q52">
        <v>0</v>
      </c>
      <c r="R52">
        <v>0</v>
      </c>
      <c r="S52" t="s">
        <v>975</v>
      </c>
      <c r="T52" t="s">
        <v>49</v>
      </c>
      <c r="U52" t="s">
        <v>976</v>
      </c>
      <c r="W52">
        <f t="shared" si="0"/>
        <v>12.9625851</v>
      </c>
      <c r="X52" s="10">
        <f t="shared" si="1"/>
        <v>9100</v>
      </c>
    </row>
    <row r="53" spans="1:24" x14ac:dyDescent="0.3">
      <c r="A53">
        <v>131986865</v>
      </c>
      <c r="B53">
        <v>12.133333329999999</v>
      </c>
      <c r="C53">
        <v>3</v>
      </c>
      <c r="D53" t="s">
        <v>102</v>
      </c>
      <c r="E53" t="s">
        <v>47</v>
      </c>
      <c r="F53">
        <v>131986865</v>
      </c>
      <c r="G53" t="s">
        <v>109</v>
      </c>
      <c r="H53">
        <v>4030</v>
      </c>
      <c r="I53">
        <v>996</v>
      </c>
      <c r="J53">
        <v>332</v>
      </c>
      <c r="K53">
        <v>13</v>
      </c>
      <c r="L53">
        <v>144.08759370000001</v>
      </c>
      <c r="M53">
        <v>-29.14688842</v>
      </c>
      <c r="N53" s="10">
        <v>344000</v>
      </c>
      <c r="O53" s="10">
        <v>-40000</v>
      </c>
      <c r="P53" s="10">
        <v>4740</v>
      </c>
      <c r="Q53">
        <v>0</v>
      </c>
      <c r="R53">
        <v>0</v>
      </c>
      <c r="S53" t="s">
        <v>975</v>
      </c>
      <c r="T53" t="s">
        <v>49</v>
      </c>
      <c r="U53" t="s">
        <v>976</v>
      </c>
      <c r="W53">
        <f t="shared" si="0"/>
        <v>29.14688842</v>
      </c>
      <c r="X53" s="10">
        <f t="shared" si="1"/>
        <v>40000</v>
      </c>
    </row>
    <row r="54" spans="1:24" x14ac:dyDescent="0.3">
      <c r="A54">
        <v>131986866</v>
      </c>
      <c r="B54">
        <v>4.95</v>
      </c>
      <c r="C54">
        <v>1</v>
      </c>
      <c r="D54" t="s">
        <v>60</v>
      </c>
      <c r="E54" t="s">
        <v>51</v>
      </c>
      <c r="F54">
        <v>131986866</v>
      </c>
      <c r="G54" t="s">
        <v>110</v>
      </c>
      <c r="H54">
        <v>469</v>
      </c>
      <c r="I54">
        <v>95</v>
      </c>
      <c r="J54">
        <v>95</v>
      </c>
      <c r="K54">
        <v>1</v>
      </c>
      <c r="L54">
        <v>21.26580701</v>
      </c>
      <c r="M54">
        <v>-4.7328480849999996</v>
      </c>
      <c r="N54" s="10">
        <v>40000</v>
      </c>
      <c r="O54" s="10">
        <v>-3700</v>
      </c>
      <c r="P54" s="10">
        <v>577</v>
      </c>
      <c r="Q54">
        <v>0</v>
      </c>
      <c r="R54">
        <v>0</v>
      </c>
      <c r="S54" t="s">
        <v>975</v>
      </c>
      <c r="T54" t="s">
        <v>49</v>
      </c>
      <c r="U54" t="s">
        <v>976</v>
      </c>
      <c r="W54">
        <f t="shared" si="0"/>
        <v>4.7328480849999996</v>
      </c>
      <c r="X54" s="10">
        <f t="shared" si="1"/>
        <v>3700</v>
      </c>
    </row>
    <row r="55" spans="1:24" x14ac:dyDescent="0.3">
      <c r="A55">
        <v>131986886</v>
      </c>
      <c r="B55">
        <v>14.7</v>
      </c>
      <c r="C55">
        <v>4</v>
      </c>
      <c r="D55" t="s">
        <v>60</v>
      </c>
      <c r="E55" t="s">
        <v>80</v>
      </c>
      <c r="F55">
        <v>131986886</v>
      </c>
      <c r="G55" t="s">
        <v>111</v>
      </c>
      <c r="H55">
        <v>6731</v>
      </c>
      <c r="I55">
        <v>1832</v>
      </c>
      <c r="J55">
        <v>458</v>
      </c>
      <c r="K55">
        <v>24</v>
      </c>
      <c r="L55">
        <v>210.7078266</v>
      </c>
      <c r="M55">
        <v>-61.156472190000002</v>
      </c>
      <c r="N55" s="10">
        <v>428000</v>
      </c>
      <c r="O55" s="10">
        <v>-44600</v>
      </c>
      <c r="P55" s="10">
        <v>11200</v>
      </c>
      <c r="Q55">
        <v>0</v>
      </c>
      <c r="R55">
        <v>0</v>
      </c>
      <c r="S55" t="s">
        <v>975</v>
      </c>
      <c r="T55" t="s">
        <v>49</v>
      </c>
      <c r="U55" t="s">
        <v>976</v>
      </c>
      <c r="W55">
        <f t="shared" si="0"/>
        <v>61.156472190000002</v>
      </c>
      <c r="X55" s="10">
        <f t="shared" si="1"/>
        <v>44600</v>
      </c>
    </row>
    <row r="56" spans="1:24" x14ac:dyDescent="0.3">
      <c r="A56">
        <v>131986891</v>
      </c>
      <c r="B56">
        <v>12.74</v>
      </c>
      <c r="C56">
        <v>3</v>
      </c>
      <c r="D56" t="s">
        <v>60</v>
      </c>
      <c r="E56" t="s">
        <v>55</v>
      </c>
      <c r="F56">
        <v>131986891</v>
      </c>
      <c r="G56" t="s">
        <v>112</v>
      </c>
      <c r="H56">
        <v>4229</v>
      </c>
      <c r="I56">
        <v>996</v>
      </c>
      <c r="J56">
        <v>332</v>
      </c>
      <c r="K56">
        <v>13</v>
      </c>
      <c r="L56">
        <v>81.720944930000002</v>
      </c>
      <c r="M56">
        <v>-28.431002459999998</v>
      </c>
      <c r="N56" s="10">
        <v>185000</v>
      </c>
      <c r="O56" s="10">
        <v>-21600</v>
      </c>
      <c r="P56" s="10">
        <v>6070</v>
      </c>
      <c r="Q56">
        <v>0</v>
      </c>
      <c r="R56">
        <v>0</v>
      </c>
      <c r="S56" t="s">
        <v>975</v>
      </c>
      <c r="T56" t="s">
        <v>49</v>
      </c>
      <c r="U56" t="s">
        <v>976</v>
      </c>
      <c r="W56">
        <f t="shared" si="0"/>
        <v>28.431002459999998</v>
      </c>
      <c r="X56" s="10">
        <f t="shared" si="1"/>
        <v>21600</v>
      </c>
    </row>
    <row r="57" spans="1:24" x14ac:dyDescent="0.3">
      <c r="A57">
        <v>131986909</v>
      </c>
      <c r="B57">
        <v>11.24</v>
      </c>
      <c r="C57">
        <v>3</v>
      </c>
      <c r="D57" t="s">
        <v>60</v>
      </c>
      <c r="E57" t="s">
        <v>47</v>
      </c>
      <c r="F57">
        <v>131986909</v>
      </c>
      <c r="G57" t="s">
        <v>113</v>
      </c>
      <c r="H57">
        <v>2141</v>
      </c>
      <c r="I57">
        <v>572</v>
      </c>
      <c r="J57">
        <v>191</v>
      </c>
      <c r="K57">
        <v>7</v>
      </c>
      <c r="L57">
        <v>104.0871331</v>
      </c>
      <c r="M57">
        <v>-21.302472430000002</v>
      </c>
      <c r="N57" s="10">
        <v>198000</v>
      </c>
      <c r="O57" s="10">
        <v>-18700</v>
      </c>
      <c r="P57" s="10">
        <v>3480</v>
      </c>
      <c r="Q57">
        <v>0</v>
      </c>
      <c r="R57">
        <v>0</v>
      </c>
      <c r="S57" t="s">
        <v>975</v>
      </c>
      <c r="T57" t="s">
        <v>49</v>
      </c>
      <c r="U57" t="s">
        <v>976</v>
      </c>
      <c r="W57">
        <f t="shared" si="0"/>
        <v>21.302472430000002</v>
      </c>
      <c r="X57" s="10">
        <f t="shared" si="1"/>
        <v>18700</v>
      </c>
    </row>
    <row r="58" spans="1:24" x14ac:dyDescent="0.3">
      <c r="A58">
        <v>131986929</v>
      </c>
      <c r="B58">
        <v>6.9333333330000002</v>
      </c>
      <c r="C58">
        <v>1</v>
      </c>
      <c r="D58" t="s">
        <v>60</v>
      </c>
      <c r="E58" t="s">
        <v>47</v>
      </c>
      <c r="F58">
        <v>131986929</v>
      </c>
      <c r="G58" t="s">
        <v>114</v>
      </c>
      <c r="H58">
        <v>806</v>
      </c>
      <c r="I58">
        <v>116</v>
      </c>
      <c r="J58">
        <v>116</v>
      </c>
      <c r="K58">
        <v>2</v>
      </c>
      <c r="L58">
        <v>46.624670010000003</v>
      </c>
      <c r="M58">
        <v>-7.3409101430000003</v>
      </c>
      <c r="N58" s="10">
        <v>88000</v>
      </c>
      <c r="O58" s="10">
        <v>-6940</v>
      </c>
      <c r="P58" s="10">
        <v>709</v>
      </c>
      <c r="Q58">
        <v>0</v>
      </c>
      <c r="R58">
        <v>0</v>
      </c>
      <c r="S58" t="s">
        <v>975</v>
      </c>
      <c r="T58" t="s">
        <v>49</v>
      </c>
      <c r="U58" t="s">
        <v>976</v>
      </c>
      <c r="W58">
        <f t="shared" si="0"/>
        <v>7.3409101430000003</v>
      </c>
      <c r="X58" s="10">
        <f t="shared" si="1"/>
        <v>6940</v>
      </c>
    </row>
    <row r="59" spans="1:24" x14ac:dyDescent="0.3">
      <c r="A59">
        <v>131986939</v>
      </c>
      <c r="B59">
        <v>9.7666666670000009</v>
      </c>
      <c r="C59">
        <v>2</v>
      </c>
      <c r="D59" t="s">
        <v>54</v>
      </c>
      <c r="E59" t="s">
        <v>47</v>
      </c>
      <c r="F59">
        <v>131986939</v>
      </c>
      <c r="G59" t="s">
        <v>115</v>
      </c>
      <c r="H59">
        <v>3604</v>
      </c>
      <c r="I59">
        <v>738</v>
      </c>
      <c r="J59">
        <v>369</v>
      </c>
      <c r="K59">
        <v>10</v>
      </c>
      <c r="L59">
        <v>102.9889642</v>
      </c>
      <c r="M59">
        <v>-20.590930180000001</v>
      </c>
      <c r="N59" s="10">
        <v>253000</v>
      </c>
      <c r="O59" s="10">
        <v>-27900</v>
      </c>
      <c r="P59" s="10">
        <v>3510</v>
      </c>
      <c r="Q59">
        <v>0</v>
      </c>
      <c r="R59">
        <v>0</v>
      </c>
      <c r="S59" t="s">
        <v>975</v>
      </c>
      <c r="T59" t="s">
        <v>49</v>
      </c>
      <c r="U59" t="s">
        <v>976</v>
      </c>
      <c r="W59">
        <f t="shared" si="0"/>
        <v>20.590930180000001</v>
      </c>
      <c r="X59" s="10">
        <f t="shared" si="1"/>
        <v>27900</v>
      </c>
    </row>
    <row r="60" spans="1:24" x14ac:dyDescent="0.3">
      <c r="A60">
        <v>131986945</v>
      </c>
      <c r="B60">
        <v>14.4</v>
      </c>
      <c r="C60">
        <v>4</v>
      </c>
      <c r="D60" t="s">
        <v>60</v>
      </c>
      <c r="E60" t="s">
        <v>51</v>
      </c>
      <c r="F60">
        <v>131986945</v>
      </c>
      <c r="G60" t="s">
        <v>116</v>
      </c>
      <c r="H60">
        <v>6223</v>
      </c>
      <c r="I60">
        <v>1728</v>
      </c>
      <c r="J60">
        <v>432</v>
      </c>
      <c r="K60">
        <v>22</v>
      </c>
      <c r="L60">
        <v>166.034739</v>
      </c>
      <c r="M60">
        <v>-55.739868110000003</v>
      </c>
      <c r="N60" s="10">
        <v>342000</v>
      </c>
      <c r="O60" s="10">
        <v>-36700</v>
      </c>
      <c r="P60" s="10">
        <v>10500</v>
      </c>
      <c r="Q60">
        <v>0</v>
      </c>
      <c r="R60">
        <v>0</v>
      </c>
      <c r="S60" t="s">
        <v>975</v>
      </c>
      <c r="T60" t="s">
        <v>49</v>
      </c>
      <c r="U60" t="s">
        <v>976</v>
      </c>
      <c r="W60">
        <f t="shared" si="0"/>
        <v>55.739868110000003</v>
      </c>
      <c r="X60" s="10">
        <f t="shared" si="1"/>
        <v>36700</v>
      </c>
    </row>
    <row r="61" spans="1:24" x14ac:dyDescent="0.3">
      <c r="A61">
        <v>131986949</v>
      </c>
      <c r="B61">
        <v>6.6</v>
      </c>
      <c r="C61">
        <v>1</v>
      </c>
      <c r="D61" t="s">
        <v>60</v>
      </c>
      <c r="E61" t="s">
        <v>47</v>
      </c>
      <c r="F61">
        <v>131986949</v>
      </c>
      <c r="G61" t="s">
        <v>117</v>
      </c>
      <c r="H61">
        <v>2275</v>
      </c>
      <c r="I61">
        <v>345</v>
      </c>
      <c r="J61">
        <v>345</v>
      </c>
      <c r="K61">
        <v>4</v>
      </c>
      <c r="L61">
        <v>96.673212169999999</v>
      </c>
      <c r="M61">
        <v>-17.533631020000001</v>
      </c>
      <c r="N61" s="10">
        <v>185000</v>
      </c>
      <c r="O61" s="10">
        <v>-16300</v>
      </c>
      <c r="P61" s="10">
        <v>2100</v>
      </c>
      <c r="Q61">
        <v>0</v>
      </c>
      <c r="R61">
        <v>0</v>
      </c>
      <c r="S61" t="s">
        <v>975</v>
      </c>
      <c r="T61" t="s">
        <v>49</v>
      </c>
      <c r="U61" t="s">
        <v>976</v>
      </c>
      <c r="W61">
        <f t="shared" si="0"/>
        <v>17.533631020000001</v>
      </c>
      <c r="X61" s="10">
        <f t="shared" si="1"/>
        <v>16300</v>
      </c>
    </row>
    <row r="62" spans="1:24" x14ac:dyDescent="0.3">
      <c r="A62">
        <v>131986983</v>
      </c>
      <c r="B62">
        <v>7.4166666670000003</v>
      </c>
      <c r="C62">
        <v>2</v>
      </c>
      <c r="D62" t="s">
        <v>54</v>
      </c>
      <c r="E62" t="s">
        <v>51</v>
      </c>
      <c r="F62">
        <v>131986983</v>
      </c>
      <c r="G62" t="s">
        <v>118</v>
      </c>
      <c r="H62">
        <v>1880</v>
      </c>
      <c r="I62">
        <v>507</v>
      </c>
      <c r="J62">
        <v>254</v>
      </c>
      <c r="K62">
        <v>7</v>
      </c>
      <c r="L62">
        <v>37.834724209999997</v>
      </c>
      <c r="M62">
        <v>-10.788065550000001</v>
      </c>
      <c r="N62" s="10">
        <v>118000</v>
      </c>
      <c r="O62" s="10">
        <v>-15000</v>
      </c>
      <c r="P62" s="10">
        <v>2410</v>
      </c>
      <c r="Q62">
        <v>0</v>
      </c>
      <c r="R62">
        <v>0</v>
      </c>
      <c r="S62" t="s">
        <v>975</v>
      </c>
      <c r="T62" t="s">
        <v>49</v>
      </c>
      <c r="U62" t="s">
        <v>976</v>
      </c>
      <c r="W62">
        <f t="shared" si="0"/>
        <v>10.788065550000001</v>
      </c>
      <c r="X62" s="10">
        <f t="shared" si="1"/>
        <v>15000</v>
      </c>
    </row>
    <row r="63" spans="1:24" x14ac:dyDescent="0.3">
      <c r="A63">
        <v>131986995</v>
      </c>
      <c r="B63">
        <v>3.65</v>
      </c>
      <c r="C63">
        <v>1</v>
      </c>
      <c r="D63" t="s">
        <v>102</v>
      </c>
      <c r="E63" t="s">
        <v>47</v>
      </c>
      <c r="F63">
        <v>131986995</v>
      </c>
      <c r="G63" t="s">
        <v>119</v>
      </c>
      <c r="H63">
        <v>698</v>
      </c>
      <c r="I63">
        <v>191</v>
      </c>
      <c r="J63">
        <v>191</v>
      </c>
      <c r="K63">
        <v>2</v>
      </c>
      <c r="L63">
        <v>52.899460439999999</v>
      </c>
      <c r="M63">
        <v>-7.3994968830000003</v>
      </c>
      <c r="N63" s="10">
        <v>108000</v>
      </c>
      <c r="O63" s="10">
        <v>-10200</v>
      </c>
      <c r="P63" s="10">
        <v>910</v>
      </c>
      <c r="Q63">
        <v>0</v>
      </c>
      <c r="R63">
        <v>0</v>
      </c>
      <c r="S63" t="s">
        <v>975</v>
      </c>
      <c r="T63" t="s">
        <v>49</v>
      </c>
      <c r="U63" t="s">
        <v>976</v>
      </c>
      <c r="W63">
        <f t="shared" si="0"/>
        <v>7.3994968830000003</v>
      </c>
      <c r="X63" s="10">
        <f t="shared" si="1"/>
        <v>10200</v>
      </c>
    </row>
    <row r="64" spans="1:24" x14ac:dyDescent="0.3">
      <c r="A64">
        <v>131986998</v>
      </c>
      <c r="B64">
        <v>6.6</v>
      </c>
      <c r="C64">
        <v>1</v>
      </c>
      <c r="D64" t="s">
        <v>60</v>
      </c>
      <c r="E64" t="s">
        <v>51</v>
      </c>
      <c r="F64">
        <v>131986998</v>
      </c>
      <c r="G64" t="s">
        <v>120</v>
      </c>
      <c r="H64">
        <v>1526</v>
      </c>
      <c r="I64">
        <v>231</v>
      </c>
      <c r="J64">
        <v>231</v>
      </c>
      <c r="K64">
        <v>3</v>
      </c>
      <c r="L64">
        <v>53.810054819999998</v>
      </c>
      <c r="M64">
        <v>-12.628743</v>
      </c>
      <c r="N64" s="10">
        <v>104000</v>
      </c>
      <c r="O64" s="10">
        <v>-10500</v>
      </c>
      <c r="P64" s="10">
        <v>1410</v>
      </c>
      <c r="Q64">
        <v>0</v>
      </c>
      <c r="R64">
        <v>0</v>
      </c>
      <c r="S64" t="s">
        <v>975</v>
      </c>
      <c r="T64" t="s">
        <v>49</v>
      </c>
      <c r="U64" t="s">
        <v>976</v>
      </c>
      <c r="W64">
        <f t="shared" si="0"/>
        <v>12.628743</v>
      </c>
      <c r="X64" s="10">
        <f t="shared" si="1"/>
        <v>10500</v>
      </c>
    </row>
    <row r="65" spans="1:24" x14ac:dyDescent="0.3">
      <c r="A65">
        <v>131987005</v>
      </c>
      <c r="B65">
        <v>12.53333333</v>
      </c>
      <c r="C65">
        <v>3</v>
      </c>
      <c r="D65" t="s">
        <v>60</v>
      </c>
      <c r="E65" t="s">
        <v>80</v>
      </c>
      <c r="F65">
        <v>131987005</v>
      </c>
      <c r="G65" t="s">
        <v>121</v>
      </c>
      <c r="H65">
        <v>3582</v>
      </c>
      <c r="I65">
        <v>857</v>
      </c>
      <c r="J65">
        <v>286</v>
      </c>
      <c r="K65">
        <v>11</v>
      </c>
      <c r="L65">
        <v>116.08184079999999</v>
      </c>
      <c r="M65">
        <v>-30.66163439</v>
      </c>
      <c r="N65" s="10">
        <v>232000</v>
      </c>
      <c r="O65" s="10">
        <v>-24300</v>
      </c>
      <c r="P65" s="10">
        <v>5230</v>
      </c>
      <c r="Q65">
        <v>0</v>
      </c>
      <c r="R65">
        <v>0</v>
      </c>
      <c r="S65" t="s">
        <v>975</v>
      </c>
      <c r="T65" t="s">
        <v>49</v>
      </c>
      <c r="U65" t="s">
        <v>976</v>
      </c>
      <c r="W65">
        <f t="shared" si="0"/>
        <v>30.66163439</v>
      </c>
      <c r="X65" s="10">
        <f t="shared" si="1"/>
        <v>24300</v>
      </c>
    </row>
    <row r="66" spans="1:24" x14ac:dyDescent="0.3">
      <c r="A66">
        <v>131987025</v>
      </c>
      <c r="B66">
        <v>8.6999999999999993</v>
      </c>
      <c r="C66">
        <v>2</v>
      </c>
      <c r="D66" t="s">
        <v>60</v>
      </c>
      <c r="E66" t="s">
        <v>47</v>
      </c>
      <c r="F66">
        <v>131987025</v>
      </c>
      <c r="G66" t="s">
        <v>122</v>
      </c>
      <c r="H66">
        <v>1398</v>
      </c>
      <c r="I66">
        <v>321</v>
      </c>
      <c r="J66">
        <v>161</v>
      </c>
      <c r="K66">
        <v>4</v>
      </c>
      <c r="L66">
        <v>77.727246960000002</v>
      </c>
      <c r="M66">
        <v>-14.2684484</v>
      </c>
      <c r="N66" s="10">
        <v>142000</v>
      </c>
      <c r="O66" s="10">
        <v>-12400</v>
      </c>
      <c r="P66" s="10">
        <v>1960</v>
      </c>
      <c r="Q66">
        <v>0</v>
      </c>
      <c r="R66">
        <v>0</v>
      </c>
      <c r="S66" t="s">
        <v>975</v>
      </c>
      <c r="T66" t="s">
        <v>49</v>
      </c>
      <c r="U66" t="s">
        <v>976</v>
      </c>
      <c r="W66">
        <f t="shared" si="0"/>
        <v>14.2684484</v>
      </c>
      <c r="X66" s="10">
        <f t="shared" si="1"/>
        <v>12400</v>
      </c>
    </row>
    <row r="67" spans="1:24" x14ac:dyDescent="0.3">
      <c r="A67">
        <v>131987027</v>
      </c>
      <c r="B67">
        <v>12.3</v>
      </c>
      <c r="C67">
        <v>3</v>
      </c>
      <c r="D67" t="s">
        <v>60</v>
      </c>
      <c r="E67" t="s">
        <v>47</v>
      </c>
      <c r="F67">
        <v>131987027</v>
      </c>
      <c r="G67" t="s">
        <v>123</v>
      </c>
      <c r="H67">
        <v>2917</v>
      </c>
      <c r="I67">
        <v>712</v>
      </c>
      <c r="J67">
        <v>237</v>
      </c>
      <c r="K67">
        <v>9</v>
      </c>
      <c r="L67">
        <v>134.8497912</v>
      </c>
      <c r="M67">
        <v>-28.033136020000001</v>
      </c>
      <c r="N67" s="10">
        <v>256000</v>
      </c>
      <c r="O67" s="10">
        <v>-23300</v>
      </c>
      <c r="P67" s="10">
        <v>4340</v>
      </c>
      <c r="Q67">
        <v>0</v>
      </c>
      <c r="R67">
        <v>0</v>
      </c>
      <c r="S67" t="s">
        <v>975</v>
      </c>
      <c r="T67" t="s">
        <v>49</v>
      </c>
      <c r="U67" t="s">
        <v>976</v>
      </c>
      <c r="W67">
        <f t="shared" ref="W67:W130" si="2">-M67</f>
        <v>28.033136020000001</v>
      </c>
      <c r="X67" s="10">
        <f t="shared" ref="X67:X130" si="3">-O67</f>
        <v>23300</v>
      </c>
    </row>
    <row r="68" spans="1:24" x14ac:dyDescent="0.3">
      <c r="A68">
        <v>131987029</v>
      </c>
      <c r="B68">
        <v>10.525</v>
      </c>
      <c r="C68">
        <v>3</v>
      </c>
      <c r="D68" t="s">
        <v>60</v>
      </c>
      <c r="E68" t="s">
        <v>80</v>
      </c>
      <c r="F68">
        <v>131987029</v>
      </c>
      <c r="G68" t="s">
        <v>124</v>
      </c>
      <c r="H68">
        <v>1761</v>
      </c>
      <c r="I68">
        <v>502</v>
      </c>
      <c r="J68">
        <v>167</v>
      </c>
      <c r="K68">
        <v>7</v>
      </c>
      <c r="L68">
        <v>59.692344810000002</v>
      </c>
      <c r="M68">
        <v>-16.392040229999999</v>
      </c>
      <c r="N68" s="10">
        <v>122000</v>
      </c>
      <c r="O68" s="10">
        <v>-12600</v>
      </c>
      <c r="P68" s="10">
        <v>3060</v>
      </c>
      <c r="Q68">
        <v>0</v>
      </c>
      <c r="R68">
        <v>0</v>
      </c>
      <c r="S68" t="s">
        <v>975</v>
      </c>
      <c r="T68" t="s">
        <v>49</v>
      </c>
      <c r="U68" t="s">
        <v>976</v>
      </c>
      <c r="W68">
        <f t="shared" si="2"/>
        <v>16.392040229999999</v>
      </c>
      <c r="X68" s="10">
        <f t="shared" si="3"/>
        <v>12600</v>
      </c>
    </row>
    <row r="69" spans="1:24" x14ac:dyDescent="0.3">
      <c r="A69">
        <v>131987035</v>
      </c>
      <c r="B69">
        <v>8.3333333330000006</v>
      </c>
      <c r="C69">
        <v>2</v>
      </c>
      <c r="D69" t="s">
        <v>54</v>
      </c>
      <c r="E69" t="s">
        <v>47</v>
      </c>
      <c r="F69">
        <v>131987035</v>
      </c>
      <c r="G69" t="s">
        <v>125</v>
      </c>
      <c r="H69">
        <v>3541</v>
      </c>
      <c r="I69">
        <v>850</v>
      </c>
      <c r="J69">
        <v>425</v>
      </c>
      <c r="K69">
        <v>11</v>
      </c>
      <c r="L69">
        <v>98.549105670000003</v>
      </c>
      <c r="M69">
        <v>-20.57254524</v>
      </c>
      <c r="N69" s="10">
        <v>259000</v>
      </c>
      <c r="O69" s="10">
        <v>-29600</v>
      </c>
      <c r="P69" s="10">
        <v>4040</v>
      </c>
      <c r="Q69">
        <v>0</v>
      </c>
      <c r="R69">
        <v>0</v>
      </c>
      <c r="S69" t="s">
        <v>975</v>
      </c>
      <c r="T69" t="s">
        <v>49</v>
      </c>
      <c r="U69" t="s">
        <v>976</v>
      </c>
      <c r="W69">
        <f t="shared" si="2"/>
        <v>20.57254524</v>
      </c>
      <c r="X69" s="10">
        <f t="shared" si="3"/>
        <v>29600</v>
      </c>
    </row>
    <row r="70" spans="1:24" x14ac:dyDescent="0.3">
      <c r="A70">
        <v>131987045</v>
      </c>
      <c r="B70">
        <v>13.82</v>
      </c>
      <c r="C70">
        <v>3</v>
      </c>
      <c r="D70" t="s">
        <v>60</v>
      </c>
      <c r="E70" t="s">
        <v>55</v>
      </c>
      <c r="F70">
        <v>131987045</v>
      </c>
      <c r="G70" t="s">
        <v>126</v>
      </c>
      <c r="H70">
        <v>3515</v>
      </c>
      <c r="I70">
        <v>763</v>
      </c>
      <c r="J70">
        <v>254</v>
      </c>
      <c r="K70">
        <v>10</v>
      </c>
      <c r="L70">
        <v>77.701981680000003</v>
      </c>
      <c r="M70">
        <v>-26.381082190000001</v>
      </c>
      <c r="N70" s="10">
        <v>166000</v>
      </c>
      <c r="O70" s="10">
        <v>-18800</v>
      </c>
      <c r="P70" s="10">
        <v>4650</v>
      </c>
      <c r="Q70">
        <v>0</v>
      </c>
      <c r="R70">
        <v>0</v>
      </c>
      <c r="S70" t="s">
        <v>975</v>
      </c>
      <c r="T70" t="s">
        <v>49</v>
      </c>
      <c r="U70" t="s">
        <v>976</v>
      </c>
      <c r="W70">
        <f t="shared" si="2"/>
        <v>26.381082190000001</v>
      </c>
      <c r="X70" s="10">
        <f t="shared" si="3"/>
        <v>18800</v>
      </c>
    </row>
    <row r="71" spans="1:24" x14ac:dyDescent="0.3">
      <c r="A71">
        <v>131987056</v>
      </c>
      <c r="B71">
        <v>5.1749999999999998</v>
      </c>
      <c r="C71">
        <v>1</v>
      </c>
      <c r="D71" t="s">
        <v>60</v>
      </c>
      <c r="E71" t="s">
        <v>58</v>
      </c>
      <c r="F71">
        <v>131987056</v>
      </c>
      <c r="G71" t="s">
        <v>127</v>
      </c>
      <c r="H71">
        <v>651</v>
      </c>
      <c r="I71">
        <v>126</v>
      </c>
      <c r="J71">
        <v>126</v>
      </c>
      <c r="K71">
        <v>2</v>
      </c>
      <c r="L71">
        <v>29.949225340000002</v>
      </c>
      <c r="M71">
        <v>-7.2553880629999998</v>
      </c>
      <c r="N71" s="10">
        <v>56900</v>
      </c>
      <c r="O71" s="10">
        <v>-5450</v>
      </c>
      <c r="P71" s="10">
        <v>767</v>
      </c>
      <c r="Q71">
        <v>0</v>
      </c>
      <c r="R71">
        <v>0</v>
      </c>
      <c r="S71" t="s">
        <v>975</v>
      </c>
      <c r="T71" t="s">
        <v>49</v>
      </c>
      <c r="U71" t="s">
        <v>976</v>
      </c>
      <c r="W71">
        <f t="shared" si="2"/>
        <v>7.2553880629999998</v>
      </c>
      <c r="X71" s="10">
        <f t="shared" si="3"/>
        <v>5450</v>
      </c>
    </row>
    <row r="72" spans="1:24" x14ac:dyDescent="0.3">
      <c r="A72">
        <v>131987063</v>
      </c>
      <c r="B72">
        <v>17.966666669999999</v>
      </c>
      <c r="C72">
        <v>5</v>
      </c>
      <c r="D72" t="s">
        <v>54</v>
      </c>
      <c r="E72" t="s">
        <v>55</v>
      </c>
      <c r="F72">
        <v>131987063</v>
      </c>
      <c r="G72" t="s">
        <v>128</v>
      </c>
      <c r="H72">
        <v>6430</v>
      </c>
      <c r="I72">
        <v>1790</v>
      </c>
      <c r="J72">
        <v>358</v>
      </c>
      <c r="K72">
        <v>23</v>
      </c>
      <c r="L72">
        <v>126.4844018</v>
      </c>
      <c r="M72">
        <v>-49.222710980000002</v>
      </c>
      <c r="N72" s="10">
        <v>388000</v>
      </c>
      <c r="O72" s="10">
        <v>-59600</v>
      </c>
      <c r="P72" s="10">
        <v>8520</v>
      </c>
      <c r="Q72">
        <v>0</v>
      </c>
      <c r="R72">
        <v>0</v>
      </c>
      <c r="S72" t="s">
        <v>975</v>
      </c>
      <c r="T72" t="s">
        <v>49</v>
      </c>
      <c r="U72" t="s">
        <v>976</v>
      </c>
      <c r="W72">
        <f t="shared" si="2"/>
        <v>49.222710980000002</v>
      </c>
      <c r="X72" s="10">
        <f t="shared" si="3"/>
        <v>59600</v>
      </c>
    </row>
    <row r="73" spans="1:24" x14ac:dyDescent="0.3">
      <c r="A73">
        <v>131987071</v>
      </c>
      <c r="B73">
        <v>6.5</v>
      </c>
      <c r="C73">
        <v>1</v>
      </c>
      <c r="D73" t="s">
        <v>46</v>
      </c>
      <c r="E73" t="s">
        <v>47</v>
      </c>
      <c r="F73">
        <v>131987071</v>
      </c>
      <c r="G73" t="s">
        <v>129</v>
      </c>
      <c r="H73">
        <v>1269</v>
      </c>
      <c r="I73">
        <v>195</v>
      </c>
      <c r="J73">
        <v>195</v>
      </c>
      <c r="K73">
        <v>3</v>
      </c>
      <c r="L73">
        <v>64.376090399999995</v>
      </c>
      <c r="M73">
        <v>-9.4681788769999997</v>
      </c>
      <c r="N73" s="10">
        <v>128000</v>
      </c>
      <c r="O73" s="10">
        <v>-11700</v>
      </c>
      <c r="P73" s="10">
        <v>929</v>
      </c>
      <c r="Q73">
        <v>0</v>
      </c>
      <c r="R73">
        <v>0</v>
      </c>
      <c r="S73" t="s">
        <v>975</v>
      </c>
      <c r="T73" t="s">
        <v>49</v>
      </c>
      <c r="U73" t="s">
        <v>976</v>
      </c>
      <c r="W73">
        <f t="shared" si="2"/>
        <v>9.4681788769999997</v>
      </c>
      <c r="X73" s="10">
        <f t="shared" si="3"/>
        <v>11700</v>
      </c>
    </row>
    <row r="74" spans="1:24" x14ac:dyDescent="0.3">
      <c r="A74">
        <v>131987095</v>
      </c>
      <c r="B74">
        <v>6.5</v>
      </c>
      <c r="C74">
        <v>1</v>
      </c>
      <c r="D74" t="s">
        <v>60</v>
      </c>
      <c r="E74" t="s">
        <v>47</v>
      </c>
      <c r="F74">
        <v>131987095</v>
      </c>
      <c r="G74" t="s">
        <v>130</v>
      </c>
      <c r="H74">
        <v>2115</v>
      </c>
      <c r="I74">
        <v>325</v>
      </c>
      <c r="J74">
        <v>325</v>
      </c>
      <c r="K74">
        <v>4</v>
      </c>
      <c r="L74">
        <v>107.4255031</v>
      </c>
      <c r="M74">
        <v>-18.137059619999999</v>
      </c>
      <c r="N74" s="10">
        <v>202000</v>
      </c>
      <c r="O74" s="10">
        <v>-17200</v>
      </c>
      <c r="P74" s="10">
        <v>1980</v>
      </c>
      <c r="Q74">
        <v>0</v>
      </c>
      <c r="R74">
        <v>0</v>
      </c>
      <c r="S74" t="s">
        <v>975</v>
      </c>
      <c r="T74" t="s">
        <v>49</v>
      </c>
      <c r="U74" t="s">
        <v>976</v>
      </c>
      <c r="W74">
        <f t="shared" si="2"/>
        <v>18.137059619999999</v>
      </c>
      <c r="X74" s="10">
        <f t="shared" si="3"/>
        <v>17200</v>
      </c>
    </row>
    <row r="75" spans="1:24" x14ac:dyDescent="0.3">
      <c r="A75">
        <v>131987112</v>
      </c>
      <c r="B75">
        <v>7.3</v>
      </c>
      <c r="C75">
        <v>2</v>
      </c>
      <c r="D75" t="s">
        <v>60</v>
      </c>
      <c r="E75" t="s">
        <v>58</v>
      </c>
      <c r="F75">
        <v>131987112</v>
      </c>
      <c r="G75" t="s">
        <v>131</v>
      </c>
      <c r="H75">
        <v>869</v>
      </c>
      <c r="I75">
        <v>238</v>
      </c>
      <c r="J75">
        <v>119</v>
      </c>
      <c r="K75">
        <v>3</v>
      </c>
      <c r="L75">
        <v>30.97597193</v>
      </c>
      <c r="M75">
        <v>-9.2669486059999997</v>
      </c>
      <c r="N75" s="10">
        <v>61300</v>
      </c>
      <c r="O75" s="10">
        <v>-6210</v>
      </c>
      <c r="P75" s="10">
        <v>1450</v>
      </c>
      <c r="Q75">
        <v>0</v>
      </c>
      <c r="R75">
        <v>0</v>
      </c>
      <c r="S75" t="s">
        <v>975</v>
      </c>
      <c r="T75" t="s">
        <v>49</v>
      </c>
      <c r="U75" t="s">
        <v>976</v>
      </c>
      <c r="W75">
        <f t="shared" si="2"/>
        <v>9.2669486059999997</v>
      </c>
      <c r="X75" s="10">
        <f t="shared" si="3"/>
        <v>6210</v>
      </c>
    </row>
    <row r="76" spans="1:24" x14ac:dyDescent="0.3">
      <c r="A76">
        <v>131987114</v>
      </c>
      <c r="B76">
        <v>2.0499999999999998</v>
      </c>
      <c r="C76">
        <v>1</v>
      </c>
      <c r="D76" t="s">
        <v>54</v>
      </c>
      <c r="E76" t="s">
        <v>47</v>
      </c>
      <c r="F76">
        <v>131987114</v>
      </c>
      <c r="G76" t="s">
        <v>132</v>
      </c>
      <c r="H76">
        <v>359</v>
      </c>
      <c r="I76">
        <v>175</v>
      </c>
      <c r="J76">
        <v>175</v>
      </c>
      <c r="K76">
        <v>2</v>
      </c>
      <c r="L76">
        <v>42.175716960000003</v>
      </c>
      <c r="M76">
        <v>-6.0210177930000004</v>
      </c>
      <c r="N76" s="10">
        <v>86800</v>
      </c>
      <c r="O76" s="10">
        <v>-8310</v>
      </c>
      <c r="P76" s="10">
        <v>834</v>
      </c>
      <c r="Q76">
        <v>0</v>
      </c>
      <c r="R76">
        <v>0</v>
      </c>
      <c r="S76" t="s">
        <v>975</v>
      </c>
      <c r="T76" t="s">
        <v>49</v>
      </c>
      <c r="U76" t="s">
        <v>976</v>
      </c>
      <c r="W76">
        <f t="shared" si="2"/>
        <v>6.0210177930000004</v>
      </c>
      <c r="X76" s="10">
        <f t="shared" si="3"/>
        <v>8310</v>
      </c>
    </row>
    <row r="77" spans="1:24" x14ac:dyDescent="0.3">
      <c r="A77">
        <v>131987119</v>
      </c>
      <c r="B77">
        <v>14.72</v>
      </c>
      <c r="C77">
        <v>4</v>
      </c>
      <c r="D77" t="s">
        <v>60</v>
      </c>
      <c r="E77" t="s">
        <v>51</v>
      </c>
      <c r="F77">
        <v>131987119</v>
      </c>
      <c r="G77" t="s">
        <v>133</v>
      </c>
      <c r="H77">
        <v>5354</v>
      </c>
      <c r="I77">
        <v>1455</v>
      </c>
      <c r="J77">
        <v>364</v>
      </c>
      <c r="K77">
        <v>19</v>
      </c>
      <c r="L77">
        <v>113.7497846</v>
      </c>
      <c r="M77">
        <v>-42.592263690000003</v>
      </c>
      <c r="N77" s="10">
        <v>251000</v>
      </c>
      <c r="O77" s="10">
        <v>-27600</v>
      </c>
      <c r="P77" s="10">
        <v>8870</v>
      </c>
      <c r="Q77">
        <v>0</v>
      </c>
      <c r="R77">
        <v>0</v>
      </c>
      <c r="S77" t="s">
        <v>975</v>
      </c>
      <c r="T77" t="s">
        <v>49</v>
      </c>
      <c r="U77" t="s">
        <v>976</v>
      </c>
      <c r="W77">
        <f t="shared" si="2"/>
        <v>42.592263690000003</v>
      </c>
      <c r="X77" s="10">
        <f t="shared" si="3"/>
        <v>27600</v>
      </c>
    </row>
    <row r="78" spans="1:24" x14ac:dyDescent="0.3">
      <c r="A78">
        <v>131987132</v>
      </c>
      <c r="B78">
        <v>10.18</v>
      </c>
      <c r="C78">
        <v>2</v>
      </c>
      <c r="D78" t="s">
        <v>54</v>
      </c>
      <c r="E78" t="s">
        <v>47</v>
      </c>
      <c r="F78">
        <v>131987132</v>
      </c>
      <c r="G78" t="s">
        <v>134</v>
      </c>
      <c r="H78">
        <v>4874</v>
      </c>
      <c r="I78">
        <v>958</v>
      </c>
      <c r="J78">
        <v>479</v>
      </c>
      <c r="K78">
        <v>12</v>
      </c>
      <c r="L78">
        <v>151.79284809999999</v>
      </c>
      <c r="M78">
        <v>-29.259383029999999</v>
      </c>
      <c r="N78" s="10">
        <v>356000</v>
      </c>
      <c r="O78" s="10">
        <v>-38900</v>
      </c>
      <c r="P78" s="10">
        <v>4560</v>
      </c>
      <c r="Q78">
        <v>0</v>
      </c>
      <c r="R78">
        <v>0</v>
      </c>
      <c r="S78" t="s">
        <v>975</v>
      </c>
      <c r="T78" t="s">
        <v>49</v>
      </c>
      <c r="U78" t="s">
        <v>976</v>
      </c>
      <c r="W78">
        <f t="shared" si="2"/>
        <v>29.259383029999999</v>
      </c>
      <c r="X78" s="10">
        <f t="shared" si="3"/>
        <v>38900</v>
      </c>
    </row>
    <row r="79" spans="1:24" x14ac:dyDescent="0.3">
      <c r="A79">
        <v>131987141</v>
      </c>
      <c r="B79">
        <v>13.5</v>
      </c>
      <c r="C79">
        <v>3</v>
      </c>
      <c r="D79" t="s">
        <v>54</v>
      </c>
      <c r="E79" t="s">
        <v>47</v>
      </c>
      <c r="F79">
        <v>131987141</v>
      </c>
      <c r="G79" t="s">
        <v>135</v>
      </c>
      <c r="H79">
        <v>4822</v>
      </c>
      <c r="I79">
        <v>1072</v>
      </c>
      <c r="J79">
        <v>357</v>
      </c>
      <c r="K79">
        <v>14</v>
      </c>
      <c r="L79">
        <v>140.46690570000001</v>
      </c>
      <c r="M79">
        <v>-30.177906060000002</v>
      </c>
      <c r="N79" s="10">
        <v>349000</v>
      </c>
      <c r="O79" s="10">
        <v>-40500</v>
      </c>
      <c r="P79" s="10">
        <v>5100</v>
      </c>
      <c r="Q79">
        <v>0</v>
      </c>
      <c r="R79">
        <v>0</v>
      </c>
      <c r="S79" t="s">
        <v>975</v>
      </c>
      <c r="T79" t="s">
        <v>49</v>
      </c>
      <c r="U79" t="s">
        <v>976</v>
      </c>
      <c r="W79">
        <f t="shared" si="2"/>
        <v>30.177906060000002</v>
      </c>
      <c r="X79" s="10">
        <f t="shared" si="3"/>
        <v>40500</v>
      </c>
    </row>
    <row r="80" spans="1:24" x14ac:dyDescent="0.3">
      <c r="A80">
        <v>131987144</v>
      </c>
      <c r="B80">
        <v>9</v>
      </c>
      <c r="C80">
        <v>2</v>
      </c>
      <c r="D80" t="s">
        <v>60</v>
      </c>
      <c r="E80" t="s">
        <v>80</v>
      </c>
      <c r="F80">
        <v>131987144</v>
      </c>
      <c r="G80" t="s">
        <v>136</v>
      </c>
      <c r="H80">
        <v>1144</v>
      </c>
      <c r="I80">
        <v>254</v>
      </c>
      <c r="J80">
        <v>127</v>
      </c>
      <c r="K80">
        <v>3</v>
      </c>
      <c r="L80">
        <v>39.507081409999998</v>
      </c>
      <c r="M80">
        <v>-10.030624299999999</v>
      </c>
      <c r="N80" s="10">
        <v>78700</v>
      </c>
      <c r="O80" s="10">
        <v>-7860</v>
      </c>
      <c r="P80" s="10">
        <v>1550</v>
      </c>
      <c r="Q80">
        <v>0</v>
      </c>
      <c r="R80">
        <v>0</v>
      </c>
      <c r="S80" t="s">
        <v>975</v>
      </c>
      <c r="T80" t="s">
        <v>49</v>
      </c>
      <c r="U80" t="s">
        <v>976</v>
      </c>
      <c r="W80">
        <f t="shared" si="2"/>
        <v>10.030624299999999</v>
      </c>
      <c r="X80" s="10">
        <f t="shared" si="3"/>
        <v>7860</v>
      </c>
    </row>
    <row r="81" spans="1:24" x14ac:dyDescent="0.3">
      <c r="A81">
        <v>131987166</v>
      </c>
      <c r="B81">
        <v>9.8333333330000006</v>
      </c>
      <c r="C81">
        <v>2</v>
      </c>
      <c r="D81" t="s">
        <v>46</v>
      </c>
      <c r="E81" t="s">
        <v>47</v>
      </c>
      <c r="F81">
        <v>131987166</v>
      </c>
      <c r="G81" t="s">
        <v>137</v>
      </c>
      <c r="H81">
        <v>4416</v>
      </c>
      <c r="I81">
        <v>898</v>
      </c>
      <c r="J81">
        <v>449</v>
      </c>
      <c r="K81">
        <v>12</v>
      </c>
      <c r="L81">
        <v>138.8953152</v>
      </c>
      <c r="M81">
        <v>-26.875897999999999</v>
      </c>
      <c r="N81" s="10">
        <v>328000</v>
      </c>
      <c r="O81" s="10">
        <v>-36800</v>
      </c>
      <c r="P81" s="10">
        <v>4270</v>
      </c>
      <c r="Q81">
        <v>0</v>
      </c>
      <c r="R81">
        <v>0</v>
      </c>
      <c r="S81" t="s">
        <v>975</v>
      </c>
      <c r="T81" t="s">
        <v>49</v>
      </c>
      <c r="U81" t="s">
        <v>976</v>
      </c>
      <c r="W81">
        <f t="shared" si="2"/>
        <v>26.875897999999999</v>
      </c>
      <c r="X81" s="10">
        <f t="shared" si="3"/>
        <v>36800</v>
      </c>
    </row>
    <row r="82" spans="1:24" x14ac:dyDescent="0.3">
      <c r="A82">
        <v>131987237</v>
      </c>
      <c r="B82">
        <v>6.5333333329999999</v>
      </c>
      <c r="C82">
        <v>1</v>
      </c>
      <c r="D82" t="s">
        <v>54</v>
      </c>
      <c r="E82" t="s">
        <v>55</v>
      </c>
      <c r="F82">
        <v>131987237</v>
      </c>
      <c r="G82" t="s">
        <v>138</v>
      </c>
      <c r="H82">
        <v>3906</v>
      </c>
      <c r="I82">
        <v>598</v>
      </c>
      <c r="J82">
        <v>598</v>
      </c>
      <c r="K82">
        <v>8</v>
      </c>
      <c r="L82">
        <v>116.32462630000001</v>
      </c>
      <c r="M82">
        <v>-26.707628289999999</v>
      </c>
      <c r="N82" s="10">
        <v>259000</v>
      </c>
      <c r="O82" s="10">
        <v>-30400</v>
      </c>
      <c r="P82" s="10">
        <v>2850</v>
      </c>
      <c r="Q82">
        <v>0</v>
      </c>
      <c r="R82">
        <v>0</v>
      </c>
      <c r="S82" t="s">
        <v>975</v>
      </c>
      <c r="T82" t="s">
        <v>49</v>
      </c>
      <c r="U82" t="s">
        <v>976</v>
      </c>
      <c r="W82">
        <f t="shared" si="2"/>
        <v>26.707628289999999</v>
      </c>
      <c r="X82" s="10">
        <f t="shared" si="3"/>
        <v>30400</v>
      </c>
    </row>
    <row r="83" spans="1:24" x14ac:dyDescent="0.3">
      <c r="A83">
        <v>131987249</v>
      </c>
      <c r="B83">
        <v>7.1</v>
      </c>
      <c r="C83">
        <v>2</v>
      </c>
      <c r="D83" t="s">
        <v>60</v>
      </c>
      <c r="E83" t="s">
        <v>55</v>
      </c>
      <c r="F83">
        <v>131987249</v>
      </c>
      <c r="G83" t="s">
        <v>139</v>
      </c>
      <c r="H83">
        <v>1517</v>
      </c>
      <c r="I83">
        <v>427</v>
      </c>
      <c r="J83">
        <v>214</v>
      </c>
      <c r="K83">
        <v>6</v>
      </c>
      <c r="L83">
        <v>53.452488410000001</v>
      </c>
      <c r="M83">
        <v>-15.337920889999999</v>
      </c>
      <c r="N83" s="10">
        <v>106000</v>
      </c>
      <c r="O83" s="10">
        <v>-10800</v>
      </c>
      <c r="P83" s="10">
        <v>2600</v>
      </c>
      <c r="Q83">
        <v>0</v>
      </c>
      <c r="R83">
        <v>0</v>
      </c>
      <c r="S83" t="s">
        <v>975</v>
      </c>
      <c r="T83" t="s">
        <v>49</v>
      </c>
      <c r="U83" t="s">
        <v>976</v>
      </c>
      <c r="W83">
        <f t="shared" si="2"/>
        <v>15.337920889999999</v>
      </c>
      <c r="X83" s="10">
        <f t="shared" si="3"/>
        <v>10800</v>
      </c>
    </row>
    <row r="84" spans="1:24" x14ac:dyDescent="0.3">
      <c r="A84">
        <v>131987279</v>
      </c>
      <c r="B84">
        <v>8.32</v>
      </c>
      <c r="C84">
        <v>2</v>
      </c>
      <c r="D84" t="s">
        <v>54</v>
      </c>
      <c r="E84" t="s">
        <v>47</v>
      </c>
      <c r="F84">
        <v>131987279</v>
      </c>
      <c r="G84" t="s">
        <v>140</v>
      </c>
      <c r="H84">
        <v>1589</v>
      </c>
      <c r="I84">
        <v>382</v>
      </c>
      <c r="J84">
        <v>191</v>
      </c>
      <c r="K84">
        <v>5</v>
      </c>
      <c r="L84">
        <v>70.084793129999994</v>
      </c>
      <c r="M84">
        <v>-12.330142499999999</v>
      </c>
      <c r="N84" s="10">
        <v>155000</v>
      </c>
      <c r="O84" s="10">
        <v>-17100</v>
      </c>
      <c r="P84" s="10">
        <v>1820</v>
      </c>
      <c r="Q84">
        <v>0</v>
      </c>
      <c r="R84">
        <v>0</v>
      </c>
      <c r="S84" t="s">
        <v>975</v>
      </c>
      <c r="T84" t="s">
        <v>49</v>
      </c>
      <c r="U84" t="s">
        <v>976</v>
      </c>
      <c r="W84">
        <f t="shared" si="2"/>
        <v>12.330142499999999</v>
      </c>
      <c r="X84" s="10">
        <f t="shared" si="3"/>
        <v>17100</v>
      </c>
    </row>
    <row r="85" spans="1:24" x14ac:dyDescent="0.3">
      <c r="A85">
        <v>131987280</v>
      </c>
      <c r="B85">
        <v>4.6333333330000004</v>
      </c>
      <c r="C85">
        <v>1</v>
      </c>
      <c r="D85" t="s">
        <v>60</v>
      </c>
      <c r="E85" t="s">
        <v>47</v>
      </c>
      <c r="F85">
        <v>131987280</v>
      </c>
      <c r="G85" t="s">
        <v>141</v>
      </c>
      <c r="H85">
        <v>2623</v>
      </c>
      <c r="I85">
        <v>566</v>
      </c>
      <c r="J85">
        <v>566</v>
      </c>
      <c r="K85">
        <v>7</v>
      </c>
      <c r="L85">
        <v>146.95593299999999</v>
      </c>
      <c r="M85">
        <v>-24.55502079</v>
      </c>
      <c r="N85" s="10">
        <v>274000</v>
      </c>
      <c r="O85" s="10">
        <v>-22600</v>
      </c>
      <c r="P85" s="10">
        <v>3450</v>
      </c>
      <c r="Q85">
        <v>0</v>
      </c>
      <c r="R85">
        <v>0</v>
      </c>
      <c r="S85" t="s">
        <v>975</v>
      </c>
      <c r="T85" t="s">
        <v>49</v>
      </c>
      <c r="U85" t="s">
        <v>976</v>
      </c>
      <c r="W85">
        <f t="shared" si="2"/>
        <v>24.55502079</v>
      </c>
      <c r="X85" s="10">
        <f t="shared" si="3"/>
        <v>22600</v>
      </c>
    </row>
    <row r="86" spans="1:24" x14ac:dyDescent="0.3">
      <c r="A86">
        <v>131987284</v>
      </c>
      <c r="B86">
        <v>9.4499999999999993</v>
      </c>
      <c r="C86">
        <v>2</v>
      </c>
      <c r="D86" t="s">
        <v>54</v>
      </c>
      <c r="E86" t="s">
        <v>55</v>
      </c>
      <c r="F86">
        <v>131987284</v>
      </c>
      <c r="G86" t="s">
        <v>142</v>
      </c>
      <c r="H86">
        <v>3075</v>
      </c>
      <c r="I86">
        <v>651</v>
      </c>
      <c r="J86">
        <v>326</v>
      </c>
      <c r="K86">
        <v>8</v>
      </c>
      <c r="L86">
        <v>74.644695979999995</v>
      </c>
      <c r="M86">
        <v>-21.643937149999999</v>
      </c>
      <c r="N86" s="10">
        <v>190000</v>
      </c>
      <c r="O86" s="10">
        <v>-24500</v>
      </c>
      <c r="P86" s="10">
        <v>3100</v>
      </c>
      <c r="Q86">
        <v>0</v>
      </c>
      <c r="R86">
        <v>0</v>
      </c>
      <c r="S86" t="s">
        <v>975</v>
      </c>
      <c r="T86" t="s">
        <v>49</v>
      </c>
      <c r="U86" t="s">
        <v>976</v>
      </c>
      <c r="W86">
        <f t="shared" si="2"/>
        <v>21.643937149999999</v>
      </c>
      <c r="X86" s="10">
        <f t="shared" si="3"/>
        <v>24500</v>
      </c>
    </row>
    <row r="87" spans="1:24" x14ac:dyDescent="0.3">
      <c r="A87">
        <v>131987312</v>
      </c>
      <c r="B87">
        <v>5.0999999999999996</v>
      </c>
      <c r="C87">
        <v>1</v>
      </c>
      <c r="D87" t="s">
        <v>60</v>
      </c>
      <c r="E87" t="s">
        <v>51</v>
      </c>
      <c r="F87">
        <v>131987312</v>
      </c>
      <c r="G87" t="s">
        <v>143</v>
      </c>
      <c r="H87">
        <v>1028</v>
      </c>
      <c r="I87">
        <v>201</v>
      </c>
      <c r="J87">
        <v>201</v>
      </c>
      <c r="K87">
        <v>3</v>
      </c>
      <c r="L87">
        <v>43.810655599999997</v>
      </c>
      <c r="M87">
        <v>-9.8123378880000001</v>
      </c>
      <c r="N87" s="10">
        <v>83700</v>
      </c>
      <c r="O87" s="10">
        <v>-7710</v>
      </c>
      <c r="P87" s="10">
        <v>1230</v>
      </c>
      <c r="Q87">
        <v>0</v>
      </c>
      <c r="R87">
        <v>0</v>
      </c>
      <c r="S87" t="s">
        <v>975</v>
      </c>
      <c r="T87" t="s">
        <v>49</v>
      </c>
      <c r="U87" t="s">
        <v>976</v>
      </c>
      <c r="W87">
        <f t="shared" si="2"/>
        <v>9.8123378880000001</v>
      </c>
      <c r="X87" s="10">
        <f t="shared" si="3"/>
        <v>7710</v>
      </c>
    </row>
    <row r="88" spans="1:24" x14ac:dyDescent="0.3">
      <c r="A88">
        <v>131987313</v>
      </c>
      <c r="B88">
        <v>7.3</v>
      </c>
      <c r="C88">
        <v>2</v>
      </c>
      <c r="D88" t="s">
        <v>60</v>
      </c>
      <c r="E88" t="s">
        <v>51</v>
      </c>
      <c r="F88">
        <v>131987313</v>
      </c>
      <c r="G88" t="s">
        <v>144</v>
      </c>
      <c r="H88">
        <v>955</v>
      </c>
      <c r="I88">
        <v>262</v>
      </c>
      <c r="J88">
        <v>131</v>
      </c>
      <c r="K88">
        <v>3</v>
      </c>
      <c r="L88">
        <v>37.505821109999999</v>
      </c>
      <c r="M88">
        <v>-9.9788598119999996</v>
      </c>
      <c r="N88" s="10">
        <v>71500</v>
      </c>
      <c r="O88" s="10">
        <v>-7440</v>
      </c>
      <c r="P88" s="10">
        <v>1590</v>
      </c>
      <c r="Q88">
        <v>0</v>
      </c>
      <c r="R88">
        <v>0</v>
      </c>
      <c r="S88" t="s">
        <v>975</v>
      </c>
      <c r="T88" t="s">
        <v>49</v>
      </c>
      <c r="U88" t="s">
        <v>976</v>
      </c>
      <c r="W88">
        <f t="shared" si="2"/>
        <v>9.9788598119999996</v>
      </c>
      <c r="X88" s="10">
        <f t="shared" si="3"/>
        <v>7440</v>
      </c>
    </row>
    <row r="89" spans="1:24" x14ac:dyDescent="0.3">
      <c r="A89">
        <v>131987327</v>
      </c>
      <c r="B89">
        <v>13.55</v>
      </c>
      <c r="C89">
        <v>3</v>
      </c>
      <c r="D89" t="s">
        <v>46</v>
      </c>
      <c r="E89" t="s">
        <v>47</v>
      </c>
      <c r="F89">
        <v>131987327</v>
      </c>
      <c r="G89" t="s">
        <v>145</v>
      </c>
      <c r="H89">
        <v>12186</v>
      </c>
      <c r="I89">
        <v>2698</v>
      </c>
      <c r="J89">
        <v>899</v>
      </c>
      <c r="K89">
        <v>35</v>
      </c>
      <c r="L89">
        <v>342.84445340000002</v>
      </c>
      <c r="M89">
        <v>-73.730485599999994</v>
      </c>
      <c r="N89" s="10">
        <v>865000</v>
      </c>
      <c r="O89" s="10">
        <v>-103000</v>
      </c>
      <c r="P89" s="10">
        <v>12800</v>
      </c>
      <c r="Q89">
        <v>0</v>
      </c>
      <c r="R89">
        <v>0</v>
      </c>
      <c r="S89" t="s">
        <v>975</v>
      </c>
      <c r="T89" t="s">
        <v>49</v>
      </c>
      <c r="U89" t="s">
        <v>976</v>
      </c>
      <c r="W89">
        <f t="shared" si="2"/>
        <v>73.730485599999994</v>
      </c>
      <c r="X89" s="10">
        <f t="shared" si="3"/>
        <v>103000</v>
      </c>
    </row>
    <row r="90" spans="1:24" x14ac:dyDescent="0.3">
      <c r="A90">
        <v>131987329</v>
      </c>
      <c r="B90">
        <v>5.3444444439999996</v>
      </c>
      <c r="C90">
        <v>1</v>
      </c>
      <c r="D90" t="s">
        <v>102</v>
      </c>
      <c r="E90" t="s">
        <v>47</v>
      </c>
      <c r="F90">
        <v>131987329</v>
      </c>
      <c r="G90" t="s">
        <v>146</v>
      </c>
      <c r="H90">
        <v>2681</v>
      </c>
      <c r="I90">
        <v>502</v>
      </c>
      <c r="J90">
        <v>502</v>
      </c>
      <c r="K90">
        <v>7</v>
      </c>
      <c r="L90">
        <v>110.44941249999999</v>
      </c>
      <c r="M90">
        <v>-16.85102157</v>
      </c>
      <c r="N90" s="10">
        <v>238000</v>
      </c>
      <c r="O90" s="10">
        <v>-24000</v>
      </c>
      <c r="P90" s="10">
        <v>2390</v>
      </c>
      <c r="Q90">
        <v>0</v>
      </c>
      <c r="R90">
        <v>0</v>
      </c>
      <c r="S90" t="s">
        <v>975</v>
      </c>
      <c r="T90" t="s">
        <v>49</v>
      </c>
      <c r="U90" t="s">
        <v>976</v>
      </c>
      <c r="W90">
        <f t="shared" si="2"/>
        <v>16.85102157</v>
      </c>
      <c r="X90" s="10">
        <f t="shared" si="3"/>
        <v>24000</v>
      </c>
    </row>
    <row r="91" spans="1:24" x14ac:dyDescent="0.3">
      <c r="A91">
        <v>131987413</v>
      </c>
      <c r="B91">
        <v>13.5</v>
      </c>
      <c r="C91">
        <v>3</v>
      </c>
      <c r="D91" t="s">
        <v>60</v>
      </c>
      <c r="E91" t="s">
        <v>51</v>
      </c>
      <c r="F91">
        <v>131987413</v>
      </c>
      <c r="G91" t="s">
        <v>147</v>
      </c>
      <c r="H91">
        <v>7171</v>
      </c>
      <c r="I91">
        <v>1594</v>
      </c>
      <c r="J91">
        <v>531</v>
      </c>
      <c r="K91">
        <v>21</v>
      </c>
      <c r="L91">
        <v>181.70149029999999</v>
      </c>
      <c r="M91">
        <v>-57.75390968</v>
      </c>
      <c r="N91" s="10">
        <v>375000</v>
      </c>
      <c r="O91" s="10">
        <v>-41000</v>
      </c>
      <c r="P91" s="10">
        <v>9710</v>
      </c>
      <c r="Q91">
        <v>0</v>
      </c>
      <c r="R91">
        <v>0</v>
      </c>
      <c r="S91" t="s">
        <v>975</v>
      </c>
      <c r="T91" t="s">
        <v>49</v>
      </c>
      <c r="U91" t="s">
        <v>976</v>
      </c>
      <c r="W91">
        <f t="shared" si="2"/>
        <v>57.75390968</v>
      </c>
      <c r="X91" s="10">
        <f t="shared" si="3"/>
        <v>41000</v>
      </c>
    </row>
    <row r="92" spans="1:24" x14ac:dyDescent="0.3">
      <c r="A92">
        <v>131987415</v>
      </c>
      <c r="B92">
        <v>5.8571428570000004</v>
      </c>
      <c r="C92">
        <v>1</v>
      </c>
      <c r="D92" t="s">
        <v>104</v>
      </c>
      <c r="E92" t="s">
        <v>51</v>
      </c>
      <c r="F92">
        <v>131987415</v>
      </c>
      <c r="G92" t="s">
        <v>148</v>
      </c>
      <c r="H92">
        <v>1267</v>
      </c>
      <c r="I92">
        <v>216</v>
      </c>
      <c r="J92">
        <v>216</v>
      </c>
      <c r="K92">
        <v>3</v>
      </c>
      <c r="L92">
        <v>41.332181490000004</v>
      </c>
      <c r="M92">
        <v>-22.564171640000001</v>
      </c>
      <c r="N92" s="10">
        <v>262000</v>
      </c>
      <c r="O92" s="10">
        <v>-68000</v>
      </c>
      <c r="P92" s="10">
        <v>7900</v>
      </c>
      <c r="Q92">
        <v>0</v>
      </c>
      <c r="R92">
        <v>0</v>
      </c>
      <c r="S92" t="s">
        <v>975</v>
      </c>
      <c r="T92" t="s">
        <v>49</v>
      </c>
      <c r="U92" t="s">
        <v>976</v>
      </c>
      <c r="W92">
        <f t="shared" si="2"/>
        <v>22.564171640000001</v>
      </c>
      <c r="X92" s="10">
        <f t="shared" si="3"/>
        <v>68000</v>
      </c>
    </row>
    <row r="93" spans="1:24" x14ac:dyDescent="0.3">
      <c r="A93">
        <v>131987440</v>
      </c>
      <c r="B93">
        <v>4.9000000000000004</v>
      </c>
      <c r="C93">
        <v>1</v>
      </c>
      <c r="D93" t="s">
        <v>60</v>
      </c>
      <c r="E93" t="s">
        <v>51</v>
      </c>
      <c r="F93">
        <v>131987440</v>
      </c>
      <c r="G93" t="s">
        <v>149</v>
      </c>
      <c r="H93">
        <v>632</v>
      </c>
      <c r="I93">
        <v>129</v>
      </c>
      <c r="J93">
        <v>129</v>
      </c>
      <c r="K93">
        <v>2</v>
      </c>
      <c r="L93">
        <v>28.852840830000002</v>
      </c>
      <c r="M93">
        <v>-6.4182961130000002</v>
      </c>
      <c r="N93" s="10">
        <v>54800</v>
      </c>
      <c r="O93" s="10">
        <v>-5110</v>
      </c>
      <c r="P93" s="10">
        <v>787</v>
      </c>
      <c r="Q93">
        <v>0</v>
      </c>
      <c r="R93">
        <v>0</v>
      </c>
      <c r="S93" t="s">
        <v>975</v>
      </c>
      <c r="T93" t="s">
        <v>49</v>
      </c>
      <c r="U93" t="s">
        <v>976</v>
      </c>
      <c r="W93">
        <f t="shared" si="2"/>
        <v>6.4182961130000002</v>
      </c>
      <c r="X93" s="10">
        <f t="shared" si="3"/>
        <v>5110</v>
      </c>
    </row>
    <row r="94" spans="1:24" x14ac:dyDescent="0.3">
      <c r="A94">
        <v>131987451</v>
      </c>
      <c r="B94">
        <v>6.6333333330000004</v>
      </c>
      <c r="C94">
        <v>1</v>
      </c>
      <c r="D94" t="s">
        <v>60</v>
      </c>
      <c r="E94" t="s">
        <v>58</v>
      </c>
      <c r="F94">
        <v>131987451</v>
      </c>
      <c r="G94" t="s">
        <v>150</v>
      </c>
      <c r="H94">
        <v>2439</v>
      </c>
      <c r="I94">
        <v>368</v>
      </c>
      <c r="J94">
        <v>368</v>
      </c>
      <c r="K94">
        <v>5</v>
      </c>
      <c r="L94">
        <v>77.901318270000004</v>
      </c>
      <c r="M94">
        <v>-19.48085888</v>
      </c>
      <c r="N94" s="10">
        <v>155000</v>
      </c>
      <c r="O94" s="10">
        <v>-15500</v>
      </c>
      <c r="P94" s="10">
        <v>2240</v>
      </c>
      <c r="Q94">
        <v>0</v>
      </c>
      <c r="R94">
        <v>0</v>
      </c>
      <c r="S94" t="s">
        <v>975</v>
      </c>
      <c r="T94" t="s">
        <v>49</v>
      </c>
      <c r="U94" t="s">
        <v>976</v>
      </c>
      <c r="W94">
        <f t="shared" si="2"/>
        <v>19.48085888</v>
      </c>
      <c r="X94" s="10">
        <f t="shared" si="3"/>
        <v>15500</v>
      </c>
    </row>
    <row r="95" spans="1:24" x14ac:dyDescent="0.3">
      <c r="A95">
        <v>131987471</v>
      </c>
      <c r="B95">
        <v>5.5</v>
      </c>
      <c r="C95">
        <v>1</v>
      </c>
      <c r="D95" t="s">
        <v>46</v>
      </c>
      <c r="E95" t="s">
        <v>55</v>
      </c>
      <c r="F95">
        <v>131987471</v>
      </c>
      <c r="G95" t="s">
        <v>151</v>
      </c>
      <c r="H95">
        <v>781</v>
      </c>
      <c r="I95">
        <v>142</v>
      </c>
      <c r="J95">
        <v>142</v>
      </c>
      <c r="K95">
        <v>2</v>
      </c>
      <c r="L95">
        <v>30.712806400000002</v>
      </c>
      <c r="M95">
        <v>-7.1633423970000001</v>
      </c>
      <c r="N95" s="10">
        <v>66000</v>
      </c>
      <c r="O95" s="10">
        <v>-7820</v>
      </c>
      <c r="P95" s="10">
        <v>676</v>
      </c>
      <c r="Q95">
        <v>0</v>
      </c>
      <c r="R95">
        <v>0</v>
      </c>
      <c r="S95" t="s">
        <v>975</v>
      </c>
      <c r="T95" t="s">
        <v>49</v>
      </c>
      <c r="U95" t="s">
        <v>976</v>
      </c>
      <c r="W95">
        <f t="shared" si="2"/>
        <v>7.1633423970000001</v>
      </c>
      <c r="X95" s="10">
        <f t="shared" si="3"/>
        <v>7820</v>
      </c>
    </row>
    <row r="96" spans="1:24" x14ac:dyDescent="0.3">
      <c r="A96">
        <v>131987472</v>
      </c>
      <c r="B96">
        <v>13.8</v>
      </c>
      <c r="C96">
        <v>3</v>
      </c>
      <c r="D96" t="s">
        <v>60</v>
      </c>
      <c r="E96" t="s">
        <v>55</v>
      </c>
      <c r="F96">
        <v>131987472</v>
      </c>
      <c r="G96" t="s">
        <v>152</v>
      </c>
      <c r="H96">
        <v>5944</v>
      </c>
      <c r="I96">
        <v>1292</v>
      </c>
      <c r="J96">
        <v>431</v>
      </c>
      <c r="K96">
        <v>17</v>
      </c>
      <c r="L96">
        <v>146.89037450000001</v>
      </c>
      <c r="M96">
        <v>-48.418619829999997</v>
      </c>
      <c r="N96" s="10">
        <v>304000</v>
      </c>
      <c r="O96" s="10">
        <v>-35100</v>
      </c>
      <c r="P96" s="10">
        <v>7880</v>
      </c>
      <c r="Q96">
        <v>0</v>
      </c>
      <c r="R96">
        <v>0</v>
      </c>
      <c r="S96" t="s">
        <v>975</v>
      </c>
      <c r="T96" t="s">
        <v>49</v>
      </c>
      <c r="U96" t="s">
        <v>976</v>
      </c>
      <c r="W96">
        <f t="shared" si="2"/>
        <v>48.418619829999997</v>
      </c>
      <c r="X96" s="10">
        <f t="shared" si="3"/>
        <v>35100</v>
      </c>
    </row>
    <row r="97" spans="1:24" x14ac:dyDescent="0.3">
      <c r="A97">
        <v>131987475</v>
      </c>
      <c r="B97">
        <v>16</v>
      </c>
      <c r="C97">
        <v>4</v>
      </c>
      <c r="D97" t="s">
        <v>60</v>
      </c>
      <c r="E97" t="s">
        <v>51</v>
      </c>
      <c r="F97">
        <v>131987475</v>
      </c>
      <c r="G97" t="s">
        <v>153</v>
      </c>
      <c r="H97">
        <v>6876</v>
      </c>
      <c r="I97">
        <v>1719</v>
      </c>
      <c r="J97">
        <v>430</v>
      </c>
      <c r="K97">
        <v>22</v>
      </c>
      <c r="L97">
        <v>179.2554672</v>
      </c>
      <c r="M97">
        <v>-59.722464340000002</v>
      </c>
      <c r="N97" s="10">
        <v>367000</v>
      </c>
      <c r="O97" s="10">
        <v>-39700</v>
      </c>
      <c r="P97" s="10">
        <v>10500</v>
      </c>
      <c r="Q97">
        <v>0</v>
      </c>
      <c r="R97">
        <v>0</v>
      </c>
      <c r="S97" t="s">
        <v>975</v>
      </c>
      <c r="T97" t="s">
        <v>49</v>
      </c>
      <c r="U97" t="s">
        <v>976</v>
      </c>
      <c r="W97">
        <f t="shared" si="2"/>
        <v>59.722464340000002</v>
      </c>
      <c r="X97" s="10">
        <f t="shared" si="3"/>
        <v>39700</v>
      </c>
    </row>
    <row r="98" spans="1:24" x14ac:dyDescent="0.3">
      <c r="A98">
        <v>131987477</v>
      </c>
      <c r="B98">
        <v>9.1285714290000008</v>
      </c>
      <c r="C98">
        <v>2</v>
      </c>
      <c r="D98" t="s">
        <v>54</v>
      </c>
      <c r="E98" t="s">
        <v>55</v>
      </c>
      <c r="F98">
        <v>131987477</v>
      </c>
      <c r="G98" t="s">
        <v>154</v>
      </c>
      <c r="H98">
        <v>7779</v>
      </c>
      <c r="I98">
        <v>1704</v>
      </c>
      <c r="J98">
        <v>852</v>
      </c>
      <c r="K98">
        <v>22</v>
      </c>
      <c r="L98">
        <v>141.3498616</v>
      </c>
      <c r="M98">
        <v>-43.387271859999998</v>
      </c>
      <c r="N98" s="10">
        <v>416000</v>
      </c>
      <c r="O98" s="10">
        <v>-54300</v>
      </c>
      <c r="P98" s="10">
        <v>8110</v>
      </c>
      <c r="Q98">
        <v>0</v>
      </c>
      <c r="R98">
        <v>0</v>
      </c>
      <c r="S98" t="s">
        <v>975</v>
      </c>
      <c r="T98" t="s">
        <v>49</v>
      </c>
      <c r="U98" t="s">
        <v>976</v>
      </c>
      <c r="W98">
        <f t="shared" si="2"/>
        <v>43.387271859999998</v>
      </c>
      <c r="X98" s="10">
        <f t="shared" si="3"/>
        <v>54300</v>
      </c>
    </row>
    <row r="99" spans="1:24" x14ac:dyDescent="0.3">
      <c r="A99">
        <v>131987488</v>
      </c>
      <c r="B99">
        <v>11.15714286</v>
      </c>
      <c r="C99">
        <v>3</v>
      </c>
      <c r="D99" t="s">
        <v>46</v>
      </c>
      <c r="E99" t="s">
        <v>47</v>
      </c>
      <c r="F99">
        <v>131987488</v>
      </c>
      <c r="G99" t="s">
        <v>155</v>
      </c>
      <c r="H99">
        <v>11382</v>
      </c>
      <c r="I99">
        <v>3061</v>
      </c>
      <c r="J99">
        <v>1020</v>
      </c>
      <c r="K99">
        <v>40</v>
      </c>
      <c r="L99">
        <v>393.11146050000002</v>
      </c>
      <c r="M99">
        <v>-81.589074460000006</v>
      </c>
      <c r="N99" s="10">
        <v>980000</v>
      </c>
      <c r="O99" s="10">
        <v>-115000</v>
      </c>
      <c r="P99" s="10">
        <v>14600</v>
      </c>
      <c r="Q99">
        <v>0</v>
      </c>
      <c r="R99">
        <v>0</v>
      </c>
      <c r="S99" t="s">
        <v>975</v>
      </c>
      <c r="T99" t="s">
        <v>49</v>
      </c>
      <c r="U99" t="s">
        <v>976</v>
      </c>
      <c r="W99">
        <f t="shared" si="2"/>
        <v>81.589074460000006</v>
      </c>
      <c r="X99" s="10">
        <f t="shared" si="3"/>
        <v>115000</v>
      </c>
    </row>
    <row r="100" spans="1:24" x14ac:dyDescent="0.3">
      <c r="A100">
        <v>131987510</v>
      </c>
      <c r="B100">
        <v>14.65</v>
      </c>
      <c r="C100">
        <v>4</v>
      </c>
      <c r="D100" t="s">
        <v>102</v>
      </c>
      <c r="E100" t="s">
        <v>58</v>
      </c>
      <c r="F100">
        <v>131987510</v>
      </c>
      <c r="G100" t="s">
        <v>156</v>
      </c>
      <c r="H100">
        <v>12887</v>
      </c>
      <c r="I100">
        <v>3519</v>
      </c>
      <c r="J100">
        <v>880</v>
      </c>
      <c r="K100">
        <v>46</v>
      </c>
      <c r="L100">
        <v>185.4812221</v>
      </c>
      <c r="M100">
        <v>-73.105397749999995</v>
      </c>
      <c r="N100" s="10">
        <v>679000</v>
      </c>
      <c r="O100" s="10">
        <v>-97000</v>
      </c>
      <c r="P100" s="10">
        <v>16700</v>
      </c>
      <c r="Q100">
        <v>0</v>
      </c>
      <c r="R100">
        <v>0</v>
      </c>
      <c r="S100" t="s">
        <v>975</v>
      </c>
      <c r="T100" t="s">
        <v>49</v>
      </c>
      <c r="U100" t="s">
        <v>976</v>
      </c>
      <c r="W100">
        <f t="shared" si="2"/>
        <v>73.105397749999995</v>
      </c>
      <c r="X100" s="10">
        <f t="shared" si="3"/>
        <v>97000</v>
      </c>
    </row>
    <row r="101" spans="1:24" x14ac:dyDescent="0.3">
      <c r="A101">
        <v>131987523</v>
      </c>
      <c r="B101">
        <v>6.0333333329999999</v>
      </c>
      <c r="C101">
        <v>1</v>
      </c>
      <c r="D101" t="s">
        <v>54</v>
      </c>
      <c r="E101" t="s">
        <v>47</v>
      </c>
      <c r="F101">
        <v>131987523</v>
      </c>
      <c r="G101" t="s">
        <v>157</v>
      </c>
      <c r="H101">
        <v>3909</v>
      </c>
      <c r="I101">
        <v>648</v>
      </c>
      <c r="J101">
        <v>648</v>
      </c>
      <c r="K101">
        <v>8</v>
      </c>
      <c r="L101">
        <v>124.5515214</v>
      </c>
      <c r="M101">
        <v>-19.97713495</v>
      </c>
      <c r="N101" s="10">
        <v>279000</v>
      </c>
      <c r="O101" s="10">
        <v>-28600</v>
      </c>
      <c r="P101" s="10">
        <v>3080</v>
      </c>
      <c r="Q101">
        <v>0</v>
      </c>
      <c r="R101">
        <v>0</v>
      </c>
      <c r="S101" t="s">
        <v>975</v>
      </c>
      <c r="T101" t="s">
        <v>49</v>
      </c>
      <c r="U101" t="s">
        <v>976</v>
      </c>
      <c r="W101">
        <f t="shared" si="2"/>
        <v>19.97713495</v>
      </c>
      <c r="X101" s="10">
        <f t="shared" si="3"/>
        <v>28600</v>
      </c>
    </row>
    <row r="102" spans="1:24" x14ac:dyDescent="0.3">
      <c r="A102">
        <v>131987525</v>
      </c>
      <c r="B102">
        <v>10.9</v>
      </c>
      <c r="C102">
        <v>3</v>
      </c>
      <c r="D102" t="s">
        <v>104</v>
      </c>
      <c r="E102" t="s">
        <v>55</v>
      </c>
      <c r="F102">
        <v>131987525</v>
      </c>
      <c r="G102" t="s">
        <v>158</v>
      </c>
      <c r="H102">
        <v>2538</v>
      </c>
      <c r="I102">
        <v>698</v>
      </c>
      <c r="J102">
        <v>233</v>
      </c>
      <c r="K102">
        <v>9</v>
      </c>
      <c r="L102">
        <v>49.652218789999999</v>
      </c>
      <c r="M102">
        <v>-62.881122660000003</v>
      </c>
      <c r="N102" s="10">
        <v>690000</v>
      </c>
      <c r="O102" s="10">
        <v>-214000</v>
      </c>
      <c r="P102" s="10">
        <v>25500</v>
      </c>
      <c r="Q102">
        <v>0</v>
      </c>
      <c r="R102">
        <v>0</v>
      </c>
      <c r="S102" t="s">
        <v>975</v>
      </c>
      <c r="T102" t="s">
        <v>49</v>
      </c>
      <c r="U102" t="s">
        <v>976</v>
      </c>
      <c r="W102">
        <f t="shared" si="2"/>
        <v>62.881122660000003</v>
      </c>
      <c r="X102" s="10">
        <f t="shared" si="3"/>
        <v>214000</v>
      </c>
    </row>
    <row r="103" spans="1:24" x14ac:dyDescent="0.3">
      <c r="A103">
        <v>131987539</v>
      </c>
      <c r="B103">
        <v>8.9499999999999993</v>
      </c>
      <c r="C103">
        <v>2</v>
      </c>
      <c r="D103" t="s">
        <v>60</v>
      </c>
      <c r="E103" t="s">
        <v>51</v>
      </c>
      <c r="F103">
        <v>131987539</v>
      </c>
      <c r="G103" t="s">
        <v>159</v>
      </c>
      <c r="H103">
        <v>1534</v>
      </c>
      <c r="I103">
        <v>343</v>
      </c>
      <c r="J103">
        <v>172</v>
      </c>
      <c r="K103">
        <v>4</v>
      </c>
      <c r="L103">
        <v>54.966672449999997</v>
      </c>
      <c r="M103">
        <v>-14.8843651</v>
      </c>
      <c r="N103" s="10">
        <v>105000</v>
      </c>
      <c r="O103" s="10">
        <v>-11200</v>
      </c>
      <c r="P103" s="10">
        <v>2090</v>
      </c>
      <c r="Q103">
        <v>0</v>
      </c>
      <c r="R103">
        <v>0</v>
      </c>
      <c r="S103" t="s">
        <v>975</v>
      </c>
      <c r="T103" t="s">
        <v>49</v>
      </c>
      <c r="U103" t="s">
        <v>976</v>
      </c>
      <c r="W103">
        <f t="shared" si="2"/>
        <v>14.8843651</v>
      </c>
      <c r="X103" s="10">
        <f t="shared" si="3"/>
        <v>11200</v>
      </c>
    </row>
    <row r="104" spans="1:24" x14ac:dyDescent="0.3">
      <c r="A104">
        <v>131987545</v>
      </c>
      <c r="B104">
        <v>9.0500000000000007</v>
      </c>
      <c r="C104">
        <v>2</v>
      </c>
      <c r="D104" t="s">
        <v>60</v>
      </c>
      <c r="E104" t="s">
        <v>51</v>
      </c>
      <c r="F104">
        <v>131987545</v>
      </c>
      <c r="G104" t="s">
        <v>160</v>
      </c>
      <c r="H104">
        <v>2335</v>
      </c>
      <c r="I104">
        <v>516</v>
      </c>
      <c r="J104">
        <v>258</v>
      </c>
      <c r="K104">
        <v>7</v>
      </c>
      <c r="L104">
        <v>63.044150070000001</v>
      </c>
      <c r="M104">
        <v>-18.374360060000001</v>
      </c>
      <c r="N104" s="10">
        <v>130000</v>
      </c>
      <c r="O104" s="10">
        <v>-13400</v>
      </c>
      <c r="P104" s="10">
        <v>3150</v>
      </c>
      <c r="Q104">
        <v>0</v>
      </c>
      <c r="R104">
        <v>0</v>
      </c>
      <c r="S104" t="s">
        <v>975</v>
      </c>
      <c r="T104" t="s">
        <v>49</v>
      </c>
      <c r="U104" t="s">
        <v>976</v>
      </c>
      <c r="W104">
        <f t="shared" si="2"/>
        <v>18.374360060000001</v>
      </c>
      <c r="X104" s="10">
        <f t="shared" si="3"/>
        <v>13400</v>
      </c>
    </row>
    <row r="105" spans="1:24" x14ac:dyDescent="0.3">
      <c r="A105">
        <v>131987559</v>
      </c>
      <c r="B105">
        <v>10.31666667</v>
      </c>
      <c r="C105">
        <v>2</v>
      </c>
      <c r="D105" t="s">
        <v>54</v>
      </c>
      <c r="E105" t="s">
        <v>47</v>
      </c>
      <c r="F105">
        <v>131987559</v>
      </c>
      <c r="G105" t="s">
        <v>161</v>
      </c>
      <c r="H105">
        <v>3415</v>
      </c>
      <c r="I105">
        <v>662</v>
      </c>
      <c r="J105">
        <v>331</v>
      </c>
      <c r="K105">
        <v>9</v>
      </c>
      <c r="L105">
        <v>122.848578</v>
      </c>
      <c r="M105">
        <v>-21.997241379999998</v>
      </c>
      <c r="N105" s="10">
        <v>273000</v>
      </c>
      <c r="O105" s="10">
        <v>-30000</v>
      </c>
      <c r="P105" s="10">
        <v>3150</v>
      </c>
      <c r="Q105">
        <v>0</v>
      </c>
      <c r="R105">
        <v>0</v>
      </c>
      <c r="S105" t="s">
        <v>975</v>
      </c>
      <c r="T105" t="s">
        <v>49</v>
      </c>
      <c r="U105" t="s">
        <v>976</v>
      </c>
      <c r="W105">
        <f t="shared" si="2"/>
        <v>21.997241379999998</v>
      </c>
      <c r="X105" s="10">
        <f t="shared" si="3"/>
        <v>30000</v>
      </c>
    </row>
    <row r="106" spans="1:24" x14ac:dyDescent="0.3">
      <c r="A106">
        <v>131987574</v>
      </c>
      <c r="B106">
        <v>10.5</v>
      </c>
      <c r="C106">
        <v>3</v>
      </c>
      <c r="D106" t="s">
        <v>60</v>
      </c>
      <c r="E106" t="s">
        <v>51</v>
      </c>
      <c r="F106">
        <v>131987574</v>
      </c>
      <c r="G106" t="s">
        <v>162</v>
      </c>
      <c r="H106">
        <v>2466</v>
      </c>
      <c r="I106">
        <v>704</v>
      </c>
      <c r="J106">
        <v>235</v>
      </c>
      <c r="K106">
        <v>9</v>
      </c>
      <c r="L106">
        <v>79.463664829999999</v>
      </c>
      <c r="M106">
        <v>-24.243583810000001</v>
      </c>
      <c r="N106" s="10">
        <v>158000</v>
      </c>
      <c r="O106" s="10">
        <v>-16900</v>
      </c>
      <c r="P106" s="10">
        <v>4290</v>
      </c>
      <c r="Q106">
        <v>0</v>
      </c>
      <c r="R106">
        <v>0</v>
      </c>
      <c r="S106" t="s">
        <v>975</v>
      </c>
      <c r="T106" t="s">
        <v>49</v>
      </c>
      <c r="U106" t="s">
        <v>976</v>
      </c>
      <c r="W106">
        <f t="shared" si="2"/>
        <v>24.243583810000001</v>
      </c>
      <c r="X106" s="10">
        <f t="shared" si="3"/>
        <v>16900</v>
      </c>
    </row>
    <row r="107" spans="1:24" x14ac:dyDescent="0.3">
      <c r="A107">
        <v>131987578</v>
      </c>
      <c r="B107">
        <v>7.7166666670000001</v>
      </c>
      <c r="C107">
        <v>2</v>
      </c>
      <c r="D107" t="s">
        <v>54</v>
      </c>
      <c r="E107" t="s">
        <v>51</v>
      </c>
      <c r="F107">
        <v>131987578</v>
      </c>
      <c r="G107" t="s">
        <v>163</v>
      </c>
      <c r="H107">
        <v>4248</v>
      </c>
      <c r="I107">
        <v>1101</v>
      </c>
      <c r="J107">
        <v>551</v>
      </c>
      <c r="K107">
        <v>14</v>
      </c>
      <c r="L107">
        <v>91.287608669999997</v>
      </c>
      <c r="M107">
        <v>-25.402989229999999</v>
      </c>
      <c r="N107" s="10">
        <v>270000</v>
      </c>
      <c r="O107" s="10">
        <v>-34200</v>
      </c>
      <c r="P107" s="10">
        <v>5240</v>
      </c>
      <c r="Q107">
        <v>0</v>
      </c>
      <c r="R107">
        <v>0</v>
      </c>
      <c r="S107" t="s">
        <v>975</v>
      </c>
      <c r="T107" t="s">
        <v>49</v>
      </c>
      <c r="U107" t="s">
        <v>976</v>
      </c>
      <c r="W107">
        <f t="shared" si="2"/>
        <v>25.402989229999999</v>
      </c>
      <c r="X107" s="10">
        <f t="shared" si="3"/>
        <v>34200</v>
      </c>
    </row>
    <row r="108" spans="1:24" x14ac:dyDescent="0.3">
      <c r="A108">
        <v>131987586</v>
      </c>
      <c r="B108">
        <v>5.9749999999999996</v>
      </c>
      <c r="C108">
        <v>1</v>
      </c>
      <c r="D108" t="s">
        <v>60</v>
      </c>
      <c r="E108" t="s">
        <v>47</v>
      </c>
      <c r="F108">
        <v>131987586</v>
      </c>
      <c r="G108" t="s">
        <v>164</v>
      </c>
      <c r="H108">
        <v>2246</v>
      </c>
      <c r="I108">
        <v>376</v>
      </c>
      <c r="J108">
        <v>376</v>
      </c>
      <c r="K108">
        <v>5</v>
      </c>
      <c r="L108">
        <v>123.09676210000001</v>
      </c>
      <c r="M108">
        <v>-20.39861698</v>
      </c>
      <c r="N108" s="10">
        <v>230000</v>
      </c>
      <c r="O108" s="10">
        <v>-19300</v>
      </c>
      <c r="P108" s="10">
        <v>2290</v>
      </c>
      <c r="Q108">
        <v>0</v>
      </c>
      <c r="R108">
        <v>0</v>
      </c>
      <c r="S108" t="s">
        <v>975</v>
      </c>
      <c r="T108" t="s">
        <v>49</v>
      </c>
      <c r="U108" t="s">
        <v>976</v>
      </c>
      <c r="W108">
        <f t="shared" si="2"/>
        <v>20.39861698</v>
      </c>
      <c r="X108" s="10">
        <f t="shared" si="3"/>
        <v>19300</v>
      </c>
    </row>
    <row r="109" spans="1:24" x14ac:dyDescent="0.3">
      <c r="A109">
        <v>131987588</v>
      </c>
      <c r="B109">
        <v>12.375</v>
      </c>
      <c r="C109">
        <v>3</v>
      </c>
      <c r="D109" t="s">
        <v>60</v>
      </c>
      <c r="E109" t="s">
        <v>51</v>
      </c>
      <c r="F109">
        <v>131987588</v>
      </c>
      <c r="G109" t="s">
        <v>165</v>
      </c>
      <c r="H109">
        <v>4287</v>
      </c>
      <c r="I109">
        <v>1039</v>
      </c>
      <c r="J109">
        <v>346</v>
      </c>
      <c r="K109">
        <v>13</v>
      </c>
      <c r="L109">
        <v>111.9886953</v>
      </c>
      <c r="M109">
        <v>-36.248908579999998</v>
      </c>
      <c r="N109" s="10">
        <v>232000</v>
      </c>
      <c r="O109" s="10">
        <v>-24800</v>
      </c>
      <c r="P109" s="10">
        <v>6330</v>
      </c>
      <c r="Q109">
        <v>0</v>
      </c>
      <c r="R109">
        <v>0</v>
      </c>
      <c r="S109" t="s">
        <v>975</v>
      </c>
      <c r="T109" t="s">
        <v>49</v>
      </c>
      <c r="U109" t="s">
        <v>976</v>
      </c>
      <c r="W109">
        <f t="shared" si="2"/>
        <v>36.248908579999998</v>
      </c>
      <c r="X109" s="10">
        <f t="shared" si="3"/>
        <v>24800</v>
      </c>
    </row>
    <row r="110" spans="1:24" x14ac:dyDescent="0.3">
      <c r="A110">
        <v>131987590</v>
      </c>
      <c r="B110">
        <v>3.82</v>
      </c>
      <c r="C110">
        <v>1</v>
      </c>
      <c r="D110" t="s">
        <v>104</v>
      </c>
      <c r="E110" t="s">
        <v>47</v>
      </c>
      <c r="F110">
        <v>131987590</v>
      </c>
      <c r="G110" t="s">
        <v>166</v>
      </c>
      <c r="H110">
        <v>744</v>
      </c>
      <c r="I110">
        <v>195</v>
      </c>
      <c r="J110">
        <v>195</v>
      </c>
      <c r="K110">
        <v>3</v>
      </c>
      <c r="L110">
        <v>53.028759669999999</v>
      </c>
      <c r="M110">
        <v>-19.607871209999999</v>
      </c>
      <c r="N110" s="10">
        <v>265000</v>
      </c>
      <c r="O110" s="10">
        <v>-62500</v>
      </c>
      <c r="P110" s="10">
        <v>7110</v>
      </c>
      <c r="Q110">
        <v>0</v>
      </c>
      <c r="R110">
        <v>0</v>
      </c>
      <c r="S110" t="s">
        <v>975</v>
      </c>
      <c r="T110" t="s">
        <v>49</v>
      </c>
      <c r="U110" t="s">
        <v>976</v>
      </c>
      <c r="W110">
        <f t="shared" si="2"/>
        <v>19.607871209999999</v>
      </c>
      <c r="X110" s="10">
        <f t="shared" si="3"/>
        <v>62500</v>
      </c>
    </row>
    <row r="111" spans="1:24" x14ac:dyDescent="0.3">
      <c r="A111">
        <v>131987608</v>
      </c>
      <c r="B111">
        <v>9.35</v>
      </c>
      <c r="C111">
        <v>2</v>
      </c>
      <c r="D111" t="s">
        <v>102</v>
      </c>
      <c r="E111" t="s">
        <v>47</v>
      </c>
      <c r="F111">
        <v>131987608</v>
      </c>
      <c r="G111" t="s">
        <v>167</v>
      </c>
      <c r="H111">
        <v>19340</v>
      </c>
      <c r="I111">
        <v>4137</v>
      </c>
      <c r="J111">
        <v>2069</v>
      </c>
      <c r="K111">
        <v>54</v>
      </c>
      <c r="L111">
        <v>541.25222980000001</v>
      </c>
      <c r="M111">
        <v>-110.0158496</v>
      </c>
      <c r="N111" s="10">
        <v>1360000</v>
      </c>
      <c r="O111" s="10">
        <v>-158000</v>
      </c>
      <c r="P111" s="10">
        <v>19700</v>
      </c>
      <c r="Q111">
        <v>0</v>
      </c>
      <c r="R111">
        <v>0</v>
      </c>
      <c r="S111" t="s">
        <v>975</v>
      </c>
      <c r="T111" t="s">
        <v>49</v>
      </c>
      <c r="U111" t="s">
        <v>976</v>
      </c>
      <c r="W111">
        <f t="shared" si="2"/>
        <v>110.0158496</v>
      </c>
      <c r="X111" s="10">
        <f t="shared" si="3"/>
        <v>158000</v>
      </c>
    </row>
    <row r="112" spans="1:24" x14ac:dyDescent="0.3">
      <c r="A112">
        <v>131987616</v>
      </c>
      <c r="B112">
        <v>10.34</v>
      </c>
      <c r="C112">
        <v>2</v>
      </c>
      <c r="D112" t="s">
        <v>46</v>
      </c>
      <c r="E112" t="s">
        <v>47</v>
      </c>
      <c r="F112">
        <v>131987616</v>
      </c>
      <c r="G112" t="s">
        <v>168</v>
      </c>
      <c r="H112">
        <v>23196</v>
      </c>
      <c r="I112">
        <v>4487</v>
      </c>
      <c r="J112">
        <v>2244</v>
      </c>
      <c r="K112">
        <v>58</v>
      </c>
      <c r="L112">
        <v>565.07076040000004</v>
      </c>
      <c r="M112">
        <v>-117.8510014</v>
      </c>
      <c r="N112" s="10">
        <v>1450000</v>
      </c>
      <c r="O112" s="10">
        <v>-168000</v>
      </c>
      <c r="P112" s="10">
        <v>21400</v>
      </c>
      <c r="Q112">
        <v>0</v>
      </c>
      <c r="R112">
        <v>0</v>
      </c>
      <c r="S112" t="s">
        <v>975</v>
      </c>
      <c r="T112" t="s">
        <v>49</v>
      </c>
      <c r="U112" t="s">
        <v>976</v>
      </c>
      <c r="W112">
        <f t="shared" si="2"/>
        <v>117.8510014</v>
      </c>
      <c r="X112" s="10">
        <f t="shared" si="3"/>
        <v>168000</v>
      </c>
    </row>
    <row r="113" spans="1:24" x14ac:dyDescent="0.3">
      <c r="A113">
        <v>131987618</v>
      </c>
      <c r="B113">
        <v>5.0833333329999997</v>
      </c>
      <c r="C113">
        <v>1</v>
      </c>
      <c r="D113" t="s">
        <v>54</v>
      </c>
      <c r="E113" t="s">
        <v>47</v>
      </c>
      <c r="F113">
        <v>131987618</v>
      </c>
      <c r="G113" t="s">
        <v>169</v>
      </c>
      <c r="H113">
        <v>4636</v>
      </c>
      <c r="I113">
        <v>912</v>
      </c>
      <c r="J113">
        <v>912</v>
      </c>
      <c r="K113">
        <v>12</v>
      </c>
      <c r="L113">
        <v>194.7866573</v>
      </c>
      <c r="M113">
        <v>-29.81849609</v>
      </c>
      <c r="N113" s="10">
        <v>421000</v>
      </c>
      <c r="O113" s="10">
        <v>-42100</v>
      </c>
      <c r="P113" s="10">
        <v>4340</v>
      </c>
      <c r="Q113">
        <v>0</v>
      </c>
      <c r="R113">
        <v>0</v>
      </c>
      <c r="S113" t="s">
        <v>975</v>
      </c>
      <c r="T113" t="s">
        <v>49</v>
      </c>
      <c r="U113" t="s">
        <v>976</v>
      </c>
      <c r="W113">
        <f t="shared" si="2"/>
        <v>29.81849609</v>
      </c>
      <c r="X113" s="10">
        <f t="shared" si="3"/>
        <v>42100</v>
      </c>
    </row>
    <row r="114" spans="1:24" x14ac:dyDescent="0.3">
      <c r="A114">
        <v>131987637</v>
      </c>
      <c r="B114">
        <v>9.6666666669999994</v>
      </c>
      <c r="C114">
        <v>2</v>
      </c>
      <c r="D114" t="s">
        <v>104</v>
      </c>
      <c r="E114" t="s">
        <v>47</v>
      </c>
      <c r="F114">
        <v>131987637</v>
      </c>
      <c r="G114" t="s">
        <v>170</v>
      </c>
      <c r="H114">
        <v>9916</v>
      </c>
      <c r="I114">
        <v>2052</v>
      </c>
      <c r="J114">
        <v>1026</v>
      </c>
      <c r="K114">
        <v>27</v>
      </c>
      <c r="L114">
        <v>336.33387759999999</v>
      </c>
      <c r="M114">
        <v>-192.01103670000001</v>
      </c>
      <c r="N114" s="10">
        <v>2380000</v>
      </c>
      <c r="O114" s="10">
        <v>-636000</v>
      </c>
      <c r="P114" s="10">
        <v>74900</v>
      </c>
      <c r="Q114">
        <v>0</v>
      </c>
      <c r="R114">
        <v>0</v>
      </c>
      <c r="S114" t="s">
        <v>975</v>
      </c>
      <c r="T114" t="s">
        <v>49</v>
      </c>
      <c r="U114" t="s">
        <v>976</v>
      </c>
      <c r="W114">
        <f t="shared" si="2"/>
        <v>192.01103670000001</v>
      </c>
      <c r="X114" s="10">
        <f t="shared" si="3"/>
        <v>636000</v>
      </c>
    </row>
    <row r="115" spans="1:24" x14ac:dyDescent="0.3">
      <c r="A115">
        <v>131987640</v>
      </c>
      <c r="B115">
        <v>6.6333333330000004</v>
      </c>
      <c r="C115">
        <v>1</v>
      </c>
      <c r="D115" t="s">
        <v>60</v>
      </c>
      <c r="E115" t="s">
        <v>47</v>
      </c>
      <c r="F115">
        <v>131987640</v>
      </c>
      <c r="G115" t="s">
        <v>171</v>
      </c>
      <c r="H115">
        <v>2490</v>
      </c>
      <c r="I115">
        <v>375</v>
      </c>
      <c r="J115">
        <v>375</v>
      </c>
      <c r="K115">
        <v>5</v>
      </c>
      <c r="L115">
        <v>134.04282409999999</v>
      </c>
      <c r="M115">
        <v>-22.13091352</v>
      </c>
      <c r="N115" s="10">
        <v>250000</v>
      </c>
      <c r="O115" s="10">
        <v>-20500</v>
      </c>
      <c r="P115" s="10">
        <v>2290</v>
      </c>
      <c r="Q115">
        <v>0</v>
      </c>
      <c r="R115">
        <v>0</v>
      </c>
      <c r="S115" t="s">
        <v>975</v>
      </c>
      <c r="T115" t="s">
        <v>49</v>
      </c>
      <c r="U115" t="s">
        <v>976</v>
      </c>
      <c r="W115">
        <f t="shared" si="2"/>
        <v>22.13091352</v>
      </c>
      <c r="X115" s="10">
        <f t="shared" si="3"/>
        <v>20500</v>
      </c>
    </row>
    <row r="116" spans="1:24" x14ac:dyDescent="0.3">
      <c r="A116">
        <v>131987646</v>
      </c>
      <c r="B116">
        <v>6.85</v>
      </c>
      <c r="C116">
        <v>1</v>
      </c>
      <c r="D116" t="s">
        <v>60</v>
      </c>
      <c r="E116" t="s">
        <v>55</v>
      </c>
      <c r="F116">
        <v>131987646</v>
      </c>
      <c r="G116" t="s">
        <v>172</v>
      </c>
      <c r="H116">
        <v>1010</v>
      </c>
      <c r="I116">
        <v>147</v>
      </c>
      <c r="J116">
        <v>147</v>
      </c>
      <c r="K116">
        <v>2</v>
      </c>
      <c r="L116">
        <v>37.807226399999998</v>
      </c>
      <c r="M116">
        <v>-9.4488008729999997</v>
      </c>
      <c r="N116" s="10">
        <v>73100</v>
      </c>
      <c r="O116" s="10">
        <v>-7520</v>
      </c>
      <c r="P116" s="10">
        <v>899</v>
      </c>
      <c r="Q116">
        <v>0</v>
      </c>
      <c r="R116">
        <v>0</v>
      </c>
      <c r="S116" t="s">
        <v>975</v>
      </c>
      <c r="T116" t="s">
        <v>49</v>
      </c>
      <c r="U116" t="s">
        <v>976</v>
      </c>
      <c r="W116">
        <f t="shared" si="2"/>
        <v>9.4488008729999997</v>
      </c>
      <c r="X116" s="10">
        <f t="shared" si="3"/>
        <v>7520</v>
      </c>
    </row>
    <row r="117" spans="1:24" x14ac:dyDescent="0.3">
      <c r="A117">
        <v>131987650</v>
      </c>
      <c r="B117">
        <v>12.21666667</v>
      </c>
      <c r="C117">
        <v>3</v>
      </c>
      <c r="D117" t="s">
        <v>60</v>
      </c>
      <c r="E117" t="s">
        <v>47</v>
      </c>
      <c r="F117">
        <v>131987650</v>
      </c>
      <c r="G117" t="s">
        <v>173</v>
      </c>
      <c r="H117">
        <v>9889</v>
      </c>
      <c r="I117">
        <v>2428</v>
      </c>
      <c r="J117">
        <v>809</v>
      </c>
      <c r="K117">
        <v>32</v>
      </c>
      <c r="L117">
        <v>396.15616660000001</v>
      </c>
      <c r="M117">
        <v>-87.952697900000004</v>
      </c>
      <c r="N117" s="10">
        <v>776000</v>
      </c>
      <c r="O117" s="10">
        <v>-71500</v>
      </c>
      <c r="P117" s="10">
        <v>14800</v>
      </c>
      <c r="Q117">
        <v>0</v>
      </c>
      <c r="R117">
        <v>0</v>
      </c>
      <c r="S117" t="s">
        <v>975</v>
      </c>
      <c r="T117" t="s">
        <v>49</v>
      </c>
      <c r="U117" t="s">
        <v>976</v>
      </c>
      <c r="W117">
        <f t="shared" si="2"/>
        <v>87.952697900000004</v>
      </c>
      <c r="X117" s="10">
        <f t="shared" si="3"/>
        <v>71500</v>
      </c>
    </row>
    <row r="118" spans="1:24" x14ac:dyDescent="0.3">
      <c r="A118">
        <v>131987659</v>
      </c>
      <c r="B118">
        <v>10.55</v>
      </c>
      <c r="C118">
        <v>3</v>
      </c>
      <c r="D118" t="s">
        <v>60</v>
      </c>
      <c r="E118" t="s">
        <v>51</v>
      </c>
      <c r="F118">
        <v>131987659</v>
      </c>
      <c r="G118" t="s">
        <v>174</v>
      </c>
      <c r="H118">
        <v>3676</v>
      </c>
      <c r="I118">
        <v>1045</v>
      </c>
      <c r="J118">
        <v>348</v>
      </c>
      <c r="K118">
        <v>14</v>
      </c>
      <c r="L118">
        <v>107.0513247</v>
      </c>
      <c r="M118">
        <v>-33.361618020000002</v>
      </c>
      <c r="N118" s="10">
        <v>219000</v>
      </c>
      <c r="O118" s="10">
        <v>-23200</v>
      </c>
      <c r="P118" s="10">
        <v>6370</v>
      </c>
      <c r="Q118">
        <v>0</v>
      </c>
      <c r="R118">
        <v>0</v>
      </c>
      <c r="S118" t="s">
        <v>975</v>
      </c>
      <c r="T118" t="s">
        <v>49</v>
      </c>
      <c r="U118" t="s">
        <v>976</v>
      </c>
      <c r="W118">
        <f t="shared" si="2"/>
        <v>33.361618020000002</v>
      </c>
      <c r="X118" s="10">
        <f t="shared" si="3"/>
        <v>23200</v>
      </c>
    </row>
    <row r="119" spans="1:24" x14ac:dyDescent="0.3">
      <c r="A119">
        <v>131987684</v>
      </c>
      <c r="B119">
        <v>9.75</v>
      </c>
      <c r="C119">
        <v>2</v>
      </c>
      <c r="D119" t="s">
        <v>60</v>
      </c>
      <c r="E119" t="s">
        <v>47</v>
      </c>
      <c r="F119">
        <v>131987684</v>
      </c>
      <c r="G119" t="s">
        <v>175</v>
      </c>
      <c r="H119">
        <v>5457</v>
      </c>
      <c r="I119">
        <v>1119</v>
      </c>
      <c r="J119">
        <v>560</v>
      </c>
      <c r="K119">
        <v>15</v>
      </c>
      <c r="L119">
        <v>229.19404349999999</v>
      </c>
      <c r="M119">
        <v>-46.334140130000002</v>
      </c>
      <c r="N119" s="10">
        <v>441000</v>
      </c>
      <c r="O119" s="10">
        <v>-39700</v>
      </c>
      <c r="P119" s="10">
        <v>6820</v>
      </c>
      <c r="Q119">
        <v>0</v>
      </c>
      <c r="R119">
        <v>0</v>
      </c>
      <c r="S119" t="s">
        <v>975</v>
      </c>
      <c r="T119" t="s">
        <v>49</v>
      </c>
      <c r="U119" t="s">
        <v>976</v>
      </c>
      <c r="W119">
        <f t="shared" si="2"/>
        <v>46.334140130000002</v>
      </c>
      <c r="X119" s="10">
        <f t="shared" si="3"/>
        <v>39700</v>
      </c>
    </row>
    <row r="120" spans="1:24" x14ac:dyDescent="0.3">
      <c r="A120">
        <v>131987686</v>
      </c>
      <c r="B120">
        <v>5.7625000000000002</v>
      </c>
      <c r="C120">
        <v>1</v>
      </c>
      <c r="D120" t="s">
        <v>60</v>
      </c>
      <c r="E120" t="s">
        <v>47</v>
      </c>
      <c r="F120">
        <v>131987686</v>
      </c>
      <c r="G120" t="s">
        <v>176</v>
      </c>
      <c r="H120">
        <v>2963</v>
      </c>
      <c r="I120">
        <v>514</v>
      </c>
      <c r="J120">
        <v>514</v>
      </c>
      <c r="K120">
        <v>7</v>
      </c>
      <c r="L120">
        <v>150.7518986</v>
      </c>
      <c r="M120">
        <v>-25.487340660000001</v>
      </c>
      <c r="N120" s="10">
        <v>284000</v>
      </c>
      <c r="O120" s="10">
        <v>-23700</v>
      </c>
      <c r="P120" s="10">
        <v>3130</v>
      </c>
      <c r="Q120">
        <v>0</v>
      </c>
      <c r="R120">
        <v>0</v>
      </c>
      <c r="S120" t="s">
        <v>975</v>
      </c>
      <c r="T120" t="s">
        <v>49</v>
      </c>
      <c r="U120" t="s">
        <v>976</v>
      </c>
      <c r="W120">
        <f t="shared" si="2"/>
        <v>25.487340660000001</v>
      </c>
      <c r="X120" s="10">
        <f t="shared" si="3"/>
        <v>23700</v>
      </c>
    </row>
    <row r="121" spans="1:24" x14ac:dyDescent="0.3">
      <c r="A121">
        <v>131987694</v>
      </c>
      <c r="B121">
        <v>5.2</v>
      </c>
      <c r="C121">
        <v>1</v>
      </c>
      <c r="D121" t="s">
        <v>46</v>
      </c>
      <c r="E121" t="s">
        <v>55</v>
      </c>
      <c r="F121">
        <v>131987694</v>
      </c>
      <c r="G121" t="s">
        <v>177</v>
      </c>
      <c r="H121">
        <v>1485</v>
      </c>
      <c r="I121">
        <v>286</v>
      </c>
      <c r="J121">
        <v>286</v>
      </c>
      <c r="K121">
        <v>4</v>
      </c>
      <c r="L121">
        <v>50.249398470000003</v>
      </c>
      <c r="M121">
        <v>-11.195929960000001</v>
      </c>
      <c r="N121" s="10">
        <v>114000</v>
      </c>
      <c r="O121" s="10">
        <v>-13000</v>
      </c>
      <c r="P121" s="10">
        <v>1360</v>
      </c>
      <c r="Q121">
        <v>0</v>
      </c>
      <c r="R121">
        <v>0</v>
      </c>
      <c r="S121" t="s">
        <v>975</v>
      </c>
      <c r="T121" t="s">
        <v>49</v>
      </c>
      <c r="U121" t="s">
        <v>976</v>
      </c>
      <c r="W121">
        <f t="shared" si="2"/>
        <v>11.195929960000001</v>
      </c>
      <c r="X121" s="10">
        <f t="shared" si="3"/>
        <v>13000</v>
      </c>
    </row>
    <row r="122" spans="1:24" x14ac:dyDescent="0.3">
      <c r="A122">
        <v>131987702</v>
      </c>
      <c r="B122">
        <v>14.5</v>
      </c>
      <c r="C122">
        <v>4</v>
      </c>
      <c r="D122" t="s">
        <v>60</v>
      </c>
      <c r="E122" t="s">
        <v>47</v>
      </c>
      <c r="F122">
        <v>131987702</v>
      </c>
      <c r="G122" t="s">
        <v>178</v>
      </c>
      <c r="H122">
        <v>10173</v>
      </c>
      <c r="I122">
        <v>2806</v>
      </c>
      <c r="J122">
        <v>702</v>
      </c>
      <c r="K122">
        <v>36</v>
      </c>
      <c r="L122">
        <v>387.40299349999998</v>
      </c>
      <c r="M122">
        <v>-93.195748399999999</v>
      </c>
      <c r="N122" s="10">
        <v>777000</v>
      </c>
      <c r="O122" s="10">
        <v>-75300</v>
      </c>
      <c r="P122" s="10">
        <v>17100</v>
      </c>
      <c r="Q122">
        <v>0</v>
      </c>
      <c r="R122">
        <v>0</v>
      </c>
      <c r="S122" t="s">
        <v>975</v>
      </c>
      <c r="T122" t="s">
        <v>49</v>
      </c>
      <c r="U122" t="s">
        <v>976</v>
      </c>
      <c r="W122">
        <f t="shared" si="2"/>
        <v>93.195748399999999</v>
      </c>
      <c r="X122" s="10">
        <f t="shared" si="3"/>
        <v>75300</v>
      </c>
    </row>
    <row r="123" spans="1:24" x14ac:dyDescent="0.3">
      <c r="A123">
        <v>131987743</v>
      </c>
      <c r="B123">
        <v>9.875</v>
      </c>
      <c r="C123">
        <v>2</v>
      </c>
      <c r="D123" t="s">
        <v>60</v>
      </c>
      <c r="E123" t="s">
        <v>47</v>
      </c>
      <c r="F123">
        <v>131987743</v>
      </c>
      <c r="G123" t="s">
        <v>179</v>
      </c>
      <c r="H123">
        <v>7259</v>
      </c>
      <c r="I123">
        <v>1470</v>
      </c>
      <c r="J123">
        <v>735</v>
      </c>
      <c r="K123">
        <v>19</v>
      </c>
      <c r="L123">
        <v>295.14712470000001</v>
      </c>
      <c r="M123">
        <v>-60.084705409999998</v>
      </c>
      <c r="N123" s="10">
        <v>571000</v>
      </c>
      <c r="O123" s="10">
        <v>-52100</v>
      </c>
      <c r="P123" s="10">
        <v>8960</v>
      </c>
      <c r="Q123">
        <v>0</v>
      </c>
      <c r="R123">
        <v>0</v>
      </c>
      <c r="S123" t="s">
        <v>975</v>
      </c>
      <c r="T123" t="s">
        <v>49</v>
      </c>
      <c r="U123" t="s">
        <v>976</v>
      </c>
      <c r="W123">
        <f t="shared" si="2"/>
        <v>60.084705409999998</v>
      </c>
      <c r="X123" s="10">
        <f t="shared" si="3"/>
        <v>52100</v>
      </c>
    </row>
    <row r="124" spans="1:24" x14ac:dyDescent="0.3">
      <c r="A124">
        <v>131987768</v>
      </c>
      <c r="B124">
        <v>7.6571428570000002</v>
      </c>
      <c r="C124">
        <v>2</v>
      </c>
      <c r="D124" t="s">
        <v>46</v>
      </c>
      <c r="E124" t="s">
        <v>51</v>
      </c>
      <c r="F124">
        <v>131987768</v>
      </c>
      <c r="G124" t="s">
        <v>180</v>
      </c>
      <c r="H124">
        <v>7805</v>
      </c>
      <c r="I124">
        <v>2039</v>
      </c>
      <c r="J124">
        <v>1020</v>
      </c>
      <c r="K124">
        <v>26</v>
      </c>
      <c r="L124">
        <v>173.37455069999999</v>
      </c>
      <c r="M124">
        <v>-48.672760570000001</v>
      </c>
      <c r="N124" s="10">
        <v>505000</v>
      </c>
      <c r="O124" s="10">
        <v>-63700</v>
      </c>
      <c r="P124" s="10">
        <v>9700</v>
      </c>
      <c r="Q124">
        <v>0</v>
      </c>
      <c r="R124">
        <v>0</v>
      </c>
      <c r="S124" t="s">
        <v>975</v>
      </c>
      <c r="T124" t="s">
        <v>49</v>
      </c>
      <c r="U124" t="s">
        <v>976</v>
      </c>
      <c r="W124">
        <f t="shared" si="2"/>
        <v>48.672760570000001</v>
      </c>
      <c r="X124" s="10">
        <f t="shared" si="3"/>
        <v>63700</v>
      </c>
    </row>
    <row r="125" spans="1:24" x14ac:dyDescent="0.3">
      <c r="A125">
        <v>131987780</v>
      </c>
      <c r="B125">
        <v>13.1</v>
      </c>
      <c r="C125">
        <v>3</v>
      </c>
      <c r="D125" t="s">
        <v>60</v>
      </c>
      <c r="E125" t="s">
        <v>55</v>
      </c>
      <c r="F125">
        <v>131987780</v>
      </c>
      <c r="G125" t="s">
        <v>181</v>
      </c>
      <c r="H125">
        <v>12471</v>
      </c>
      <c r="I125">
        <v>2856</v>
      </c>
      <c r="J125">
        <v>952</v>
      </c>
      <c r="K125">
        <v>37</v>
      </c>
      <c r="L125">
        <v>320.28988120000002</v>
      </c>
      <c r="M125">
        <v>-105.0260298</v>
      </c>
      <c r="N125" s="10">
        <v>657000</v>
      </c>
      <c r="O125" s="10">
        <v>-72900</v>
      </c>
      <c r="P125" s="10">
        <v>17400</v>
      </c>
      <c r="Q125">
        <v>0</v>
      </c>
      <c r="R125">
        <v>0</v>
      </c>
      <c r="S125" t="s">
        <v>975</v>
      </c>
      <c r="T125" t="s">
        <v>49</v>
      </c>
      <c r="U125" t="s">
        <v>976</v>
      </c>
      <c r="W125">
        <f t="shared" si="2"/>
        <v>105.0260298</v>
      </c>
      <c r="X125" s="10">
        <f t="shared" si="3"/>
        <v>72900</v>
      </c>
    </row>
    <row r="126" spans="1:24" x14ac:dyDescent="0.3">
      <c r="A126">
        <v>131987790</v>
      </c>
      <c r="B126">
        <v>14.6</v>
      </c>
      <c r="C126">
        <v>4</v>
      </c>
      <c r="D126" t="s">
        <v>46</v>
      </c>
      <c r="E126" t="s">
        <v>55</v>
      </c>
      <c r="F126">
        <v>131987790</v>
      </c>
      <c r="G126" t="s">
        <v>182</v>
      </c>
      <c r="H126">
        <v>16465</v>
      </c>
      <c r="I126">
        <v>4511</v>
      </c>
      <c r="J126">
        <v>1128</v>
      </c>
      <c r="K126">
        <v>59</v>
      </c>
      <c r="L126">
        <v>289.7406148</v>
      </c>
      <c r="M126">
        <v>-106.98893510000001</v>
      </c>
      <c r="N126" s="10">
        <v>947000</v>
      </c>
      <c r="O126" s="10">
        <v>-136000</v>
      </c>
      <c r="P126" s="10">
        <v>21500</v>
      </c>
      <c r="Q126">
        <v>0</v>
      </c>
      <c r="R126">
        <v>0</v>
      </c>
      <c r="S126" t="s">
        <v>975</v>
      </c>
      <c r="T126" t="s">
        <v>49</v>
      </c>
      <c r="U126" t="s">
        <v>976</v>
      </c>
      <c r="W126">
        <f t="shared" si="2"/>
        <v>106.98893510000001</v>
      </c>
      <c r="X126" s="10">
        <f t="shared" si="3"/>
        <v>136000</v>
      </c>
    </row>
    <row r="127" spans="1:24" x14ac:dyDescent="0.3">
      <c r="A127">
        <v>131987809</v>
      </c>
      <c r="B127">
        <v>11.85714286</v>
      </c>
      <c r="C127">
        <v>3</v>
      </c>
      <c r="D127" t="s">
        <v>60</v>
      </c>
      <c r="E127" t="s">
        <v>55</v>
      </c>
      <c r="F127">
        <v>131987809</v>
      </c>
      <c r="G127" t="s">
        <v>183</v>
      </c>
      <c r="H127">
        <v>6119</v>
      </c>
      <c r="I127">
        <v>1548</v>
      </c>
      <c r="J127">
        <v>516</v>
      </c>
      <c r="K127">
        <v>20</v>
      </c>
      <c r="L127">
        <v>150.00414549999999</v>
      </c>
      <c r="M127">
        <v>-51.281580980000001</v>
      </c>
      <c r="N127" s="10">
        <v>317000</v>
      </c>
      <c r="O127" s="10">
        <v>-34900</v>
      </c>
      <c r="P127" s="10">
        <v>9440</v>
      </c>
      <c r="Q127">
        <v>0</v>
      </c>
      <c r="R127">
        <v>0</v>
      </c>
      <c r="S127" t="s">
        <v>975</v>
      </c>
      <c r="T127" t="s">
        <v>49</v>
      </c>
      <c r="U127" t="s">
        <v>976</v>
      </c>
      <c r="W127">
        <f t="shared" si="2"/>
        <v>51.281580980000001</v>
      </c>
      <c r="X127" s="10">
        <f t="shared" si="3"/>
        <v>34900</v>
      </c>
    </row>
    <row r="128" spans="1:24" x14ac:dyDescent="0.3">
      <c r="A128">
        <v>131987811</v>
      </c>
      <c r="B128">
        <v>7.5888888889999997</v>
      </c>
      <c r="C128">
        <v>2</v>
      </c>
      <c r="D128" t="s">
        <v>60</v>
      </c>
      <c r="E128" t="s">
        <v>47</v>
      </c>
      <c r="F128">
        <v>131987811</v>
      </c>
      <c r="G128" t="s">
        <v>184</v>
      </c>
      <c r="H128">
        <v>4413</v>
      </c>
      <c r="I128">
        <v>1163</v>
      </c>
      <c r="J128">
        <v>582</v>
      </c>
      <c r="K128">
        <v>15</v>
      </c>
      <c r="L128">
        <v>183.8119312</v>
      </c>
      <c r="M128">
        <v>-38.915233649999998</v>
      </c>
      <c r="N128" s="10">
        <v>363000</v>
      </c>
      <c r="O128" s="10">
        <v>-32600</v>
      </c>
      <c r="P128" s="10">
        <v>7090</v>
      </c>
      <c r="Q128">
        <v>0</v>
      </c>
      <c r="R128">
        <v>0</v>
      </c>
      <c r="S128" t="s">
        <v>975</v>
      </c>
      <c r="T128" t="s">
        <v>49</v>
      </c>
      <c r="U128" t="s">
        <v>976</v>
      </c>
      <c r="W128">
        <f t="shared" si="2"/>
        <v>38.915233649999998</v>
      </c>
      <c r="X128" s="10">
        <f t="shared" si="3"/>
        <v>32600</v>
      </c>
    </row>
    <row r="129" spans="1:24" x14ac:dyDescent="0.3">
      <c r="A129">
        <v>131987817</v>
      </c>
      <c r="B129">
        <v>11.32</v>
      </c>
      <c r="C129">
        <v>3</v>
      </c>
      <c r="D129" t="s">
        <v>60</v>
      </c>
      <c r="E129" t="s">
        <v>51</v>
      </c>
      <c r="F129">
        <v>131987817</v>
      </c>
      <c r="G129" t="s">
        <v>185</v>
      </c>
      <c r="H129">
        <v>11505</v>
      </c>
      <c r="I129">
        <v>3049</v>
      </c>
      <c r="J129">
        <v>1016</v>
      </c>
      <c r="K129">
        <v>40</v>
      </c>
      <c r="L129">
        <v>270.24337480000003</v>
      </c>
      <c r="M129">
        <v>-89.979019149999999</v>
      </c>
      <c r="N129" s="10">
        <v>582000</v>
      </c>
      <c r="O129" s="10">
        <v>-61900</v>
      </c>
      <c r="P129" s="10">
        <v>18600</v>
      </c>
      <c r="Q129">
        <v>0</v>
      </c>
      <c r="R129">
        <v>0</v>
      </c>
      <c r="S129" t="s">
        <v>975</v>
      </c>
      <c r="T129" t="s">
        <v>49</v>
      </c>
      <c r="U129" t="s">
        <v>976</v>
      </c>
      <c r="W129">
        <f t="shared" si="2"/>
        <v>89.979019149999999</v>
      </c>
      <c r="X129" s="10">
        <f t="shared" si="3"/>
        <v>61900</v>
      </c>
    </row>
    <row r="130" spans="1:24" x14ac:dyDescent="0.3">
      <c r="A130">
        <v>131987832</v>
      </c>
      <c r="B130">
        <v>12.98888889</v>
      </c>
      <c r="C130">
        <v>3</v>
      </c>
      <c r="D130" t="s">
        <v>60</v>
      </c>
      <c r="E130" t="s">
        <v>51</v>
      </c>
      <c r="F130">
        <v>131987832</v>
      </c>
      <c r="G130" t="s">
        <v>186</v>
      </c>
      <c r="H130">
        <v>43158</v>
      </c>
      <c r="I130">
        <v>9968</v>
      </c>
      <c r="J130">
        <v>3323</v>
      </c>
      <c r="K130">
        <v>129</v>
      </c>
      <c r="L130">
        <v>821.45036270000003</v>
      </c>
      <c r="M130">
        <v>-293.53167889999997</v>
      </c>
      <c r="N130" s="10">
        <v>1850000</v>
      </c>
      <c r="O130" s="10">
        <v>-216000</v>
      </c>
      <c r="P130" s="10">
        <v>60800</v>
      </c>
      <c r="Q130">
        <v>0</v>
      </c>
      <c r="R130">
        <v>0</v>
      </c>
      <c r="S130" t="s">
        <v>975</v>
      </c>
      <c r="T130" t="s">
        <v>49</v>
      </c>
      <c r="U130" t="s">
        <v>976</v>
      </c>
      <c r="W130">
        <f t="shared" si="2"/>
        <v>293.53167889999997</v>
      </c>
      <c r="X130" s="10">
        <f t="shared" si="3"/>
        <v>216000</v>
      </c>
    </row>
    <row r="131" spans="1:24" x14ac:dyDescent="0.3">
      <c r="A131">
        <v>131987833</v>
      </c>
      <c r="B131">
        <v>7.7</v>
      </c>
      <c r="C131">
        <v>2</v>
      </c>
      <c r="D131" t="s">
        <v>102</v>
      </c>
      <c r="E131" t="s">
        <v>47</v>
      </c>
      <c r="F131">
        <v>131987833</v>
      </c>
      <c r="G131" t="s">
        <v>187</v>
      </c>
      <c r="H131">
        <v>9993</v>
      </c>
      <c r="I131">
        <v>2596</v>
      </c>
      <c r="J131">
        <v>1298</v>
      </c>
      <c r="K131">
        <v>34</v>
      </c>
      <c r="L131">
        <v>308.58845009999999</v>
      </c>
      <c r="M131">
        <v>-64.736853819999993</v>
      </c>
      <c r="N131" s="10">
        <v>800000</v>
      </c>
      <c r="O131" s="10">
        <v>-92600</v>
      </c>
      <c r="P131" s="10">
        <v>12400</v>
      </c>
      <c r="Q131">
        <v>0</v>
      </c>
      <c r="R131">
        <v>0</v>
      </c>
      <c r="S131" t="s">
        <v>975</v>
      </c>
      <c r="T131" t="s">
        <v>49</v>
      </c>
      <c r="U131" t="s">
        <v>976</v>
      </c>
      <c r="W131">
        <f t="shared" ref="W131:W194" si="4">-M131</f>
        <v>64.736853819999993</v>
      </c>
      <c r="X131" s="10">
        <f t="shared" ref="X131:X194" si="5">-O131</f>
        <v>92600</v>
      </c>
    </row>
    <row r="132" spans="1:24" x14ac:dyDescent="0.3">
      <c r="A132">
        <v>131987834</v>
      </c>
      <c r="B132">
        <v>13.616666670000001</v>
      </c>
      <c r="C132">
        <v>3</v>
      </c>
      <c r="D132" t="s">
        <v>60</v>
      </c>
      <c r="E132" t="s">
        <v>80</v>
      </c>
      <c r="F132">
        <v>131987834</v>
      </c>
      <c r="G132" t="s">
        <v>188</v>
      </c>
      <c r="H132">
        <v>10134</v>
      </c>
      <c r="I132">
        <v>2233</v>
      </c>
      <c r="J132">
        <v>744</v>
      </c>
      <c r="K132">
        <v>29</v>
      </c>
      <c r="L132">
        <v>295.19620689999999</v>
      </c>
      <c r="M132">
        <v>-82.122720389999998</v>
      </c>
      <c r="N132" s="10">
        <v>603000</v>
      </c>
      <c r="O132" s="10">
        <v>-63200</v>
      </c>
      <c r="P132" s="10">
        <v>13600</v>
      </c>
      <c r="Q132">
        <v>0</v>
      </c>
      <c r="R132">
        <v>0</v>
      </c>
      <c r="S132" t="s">
        <v>975</v>
      </c>
      <c r="T132" t="s">
        <v>49</v>
      </c>
      <c r="U132" t="s">
        <v>976</v>
      </c>
      <c r="W132">
        <f t="shared" si="4"/>
        <v>82.122720389999998</v>
      </c>
      <c r="X132" s="10">
        <f t="shared" si="5"/>
        <v>63200</v>
      </c>
    </row>
    <row r="133" spans="1:24" x14ac:dyDescent="0.3">
      <c r="A133">
        <v>131987849</v>
      </c>
      <c r="B133">
        <v>14.5</v>
      </c>
      <c r="C133">
        <v>4</v>
      </c>
      <c r="D133" t="s">
        <v>60</v>
      </c>
      <c r="E133" t="s">
        <v>80</v>
      </c>
      <c r="F133">
        <v>131987849</v>
      </c>
      <c r="G133" t="s">
        <v>189</v>
      </c>
      <c r="H133">
        <v>17025</v>
      </c>
      <c r="I133">
        <v>4696</v>
      </c>
      <c r="J133">
        <v>1174</v>
      </c>
      <c r="K133">
        <v>61</v>
      </c>
      <c r="L133">
        <v>514.95840729999998</v>
      </c>
      <c r="M133">
        <v>-153.5253223</v>
      </c>
      <c r="N133" s="10">
        <v>1060000</v>
      </c>
      <c r="O133" s="10">
        <v>-115000</v>
      </c>
      <c r="P133" s="10">
        <v>28600</v>
      </c>
      <c r="Q133">
        <v>0</v>
      </c>
      <c r="R133">
        <v>0</v>
      </c>
      <c r="S133" t="s">
        <v>975</v>
      </c>
      <c r="T133" t="s">
        <v>49</v>
      </c>
      <c r="U133" t="s">
        <v>976</v>
      </c>
      <c r="W133">
        <f t="shared" si="4"/>
        <v>153.5253223</v>
      </c>
      <c r="X133" s="10">
        <f t="shared" si="5"/>
        <v>115000</v>
      </c>
    </row>
    <row r="134" spans="1:24" x14ac:dyDescent="0.3">
      <c r="A134">
        <v>131987852</v>
      </c>
      <c r="B134">
        <v>8.5749999999999993</v>
      </c>
      <c r="C134">
        <v>2</v>
      </c>
      <c r="D134" t="s">
        <v>60</v>
      </c>
      <c r="E134" t="s">
        <v>80</v>
      </c>
      <c r="F134">
        <v>131987852</v>
      </c>
      <c r="G134" t="s">
        <v>190</v>
      </c>
      <c r="H134">
        <v>6498</v>
      </c>
      <c r="I134">
        <v>1516</v>
      </c>
      <c r="J134">
        <v>758</v>
      </c>
      <c r="K134">
        <v>20</v>
      </c>
      <c r="L134">
        <v>247.07797160000001</v>
      </c>
      <c r="M134">
        <v>-59.336617889999999</v>
      </c>
      <c r="N134" s="10">
        <v>484000</v>
      </c>
      <c r="O134" s="10">
        <v>-49000</v>
      </c>
      <c r="P134" s="10">
        <v>9240</v>
      </c>
      <c r="Q134">
        <v>0</v>
      </c>
      <c r="R134">
        <v>0</v>
      </c>
      <c r="S134" t="s">
        <v>975</v>
      </c>
      <c r="T134" t="s">
        <v>49</v>
      </c>
      <c r="U134" t="s">
        <v>976</v>
      </c>
      <c r="W134">
        <f t="shared" si="4"/>
        <v>59.336617889999999</v>
      </c>
      <c r="X134" s="10">
        <f t="shared" si="5"/>
        <v>49000</v>
      </c>
    </row>
    <row r="135" spans="1:24" x14ac:dyDescent="0.3">
      <c r="A135">
        <v>131987897</v>
      </c>
      <c r="B135">
        <v>13.56666667</v>
      </c>
      <c r="C135">
        <v>3</v>
      </c>
      <c r="D135" t="s">
        <v>46</v>
      </c>
      <c r="E135" t="s">
        <v>47</v>
      </c>
      <c r="F135">
        <v>131987897</v>
      </c>
      <c r="G135" t="s">
        <v>191</v>
      </c>
      <c r="H135">
        <v>30271</v>
      </c>
      <c r="I135">
        <v>6694</v>
      </c>
      <c r="J135">
        <v>2231</v>
      </c>
      <c r="K135">
        <v>87</v>
      </c>
      <c r="L135">
        <v>675.16200649999996</v>
      </c>
      <c r="M135">
        <v>-161.8310276</v>
      </c>
      <c r="N135" s="10">
        <v>1870000</v>
      </c>
      <c r="O135" s="10">
        <v>-227000</v>
      </c>
      <c r="P135" s="10">
        <v>31900</v>
      </c>
      <c r="Q135">
        <v>0</v>
      </c>
      <c r="R135">
        <v>0</v>
      </c>
      <c r="S135" t="s">
        <v>975</v>
      </c>
      <c r="T135" t="s">
        <v>49</v>
      </c>
      <c r="U135" t="s">
        <v>976</v>
      </c>
      <c r="W135">
        <f t="shared" si="4"/>
        <v>161.8310276</v>
      </c>
      <c r="X135" s="10">
        <f t="shared" si="5"/>
        <v>227000</v>
      </c>
    </row>
    <row r="136" spans="1:24" x14ac:dyDescent="0.3">
      <c r="A136">
        <v>131987909</v>
      </c>
      <c r="B136">
        <v>9.5</v>
      </c>
      <c r="C136">
        <v>2</v>
      </c>
      <c r="D136" t="s">
        <v>46</v>
      </c>
      <c r="E136" t="s">
        <v>47</v>
      </c>
      <c r="F136">
        <v>131987909</v>
      </c>
      <c r="G136" t="s">
        <v>192</v>
      </c>
      <c r="H136">
        <v>9663</v>
      </c>
      <c r="I136">
        <v>2034</v>
      </c>
      <c r="J136">
        <v>1017</v>
      </c>
      <c r="K136">
        <v>26</v>
      </c>
      <c r="L136">
        <v>357.47109349999999</v>
      </c>
      <c r="M136">
        <v>-64.615439629999997</v>
      </c>
      <c r="N136" s="10">
        <v>806000</v>
      </c>
      <c r="O136" s="10">
        <v>-88000</v>
      </c>
      <c r="P136" s="10">
        <v>9680</v>
      </c>
      <c r="Q136">
        <v>0</v>
      </c>
      <c r="R136">
        <v>0</v>
      </c>
      <c r="S136" t="s">
        <v>975</v>
      </c>
      <c r="T136" t="s">
        <v>49</v>
      </c>
      <c r="U136" t="s">
        <v>976</v>
      </c>
      <c r="W136">
        <f t="shared" si="4"/>
        <v>64.615439629999997</v>
      </c>
      <c r="X136" s="10">
        <f t="shared" si="5"/>
        <v>88000</v>
      </c>
    </row>
    <row r="137" spans="1:24" x14ac:dyDescent="0.3">
      <c r="A137">
        <v>131987931</v>
      </c>
      <c r="B137">
        <v>12.1</v>
      </c>
      <c r="C137">
        <v>3</v>
      </c>
      <c r="D137" t="s">
        <v>60</v>
      </c>
      <c r="E137" t="s">
        <v>55</v>
      </c>
      <c r="F137">
        <v>131987931</v>
      </c>
      <c r="G137" t="s">
        <v>193</v>
      </c>
      <c r="H137">
        <v>1536</v>
      </c>
      <c r="I137">
        <v>381</v>
      </c>
      <c r="J137">
        <v>127</v>
      </c>
      <c r="K137">
        <v>5</v>
      </c>
      <c r="L137">
        <v>50.476670779999999</v>
      </c>
      <c r="M137">
        <v>-15.89342665</v>
      </c>
      <c r="N137" s="10">
        <v>98200</v>
      </c>
      <c r="O137" s="10">
        <v>-11500</v>
      </c>
      <c r="P137" s="10">
        <v>2320</v>
      </c>
      <c r="Q137">
        <v>0</v>
      </c>
      <c r="R137">
        <v>0</v>
      </c>
      <c r="S137" t="s">
        <v>975</v>
      </c>
      <c r="T137" t="s">
        <v>49</v>
      </c>
      <c r="U137" t="s">
        <v>976</v>
      </c>
      <c r="W137">
        <f t="shared" si="4"/>
        <v>15.89342665</v>
      </c>
      <c r="X137" s="10">
        <f t="shared" si="5"/>
        <v>11500</v>
      </c>
    </row>
    <row r="138" spans="1:24" x14ac:dyDescent="0.3">
      <c r="A138">
        <v>131988148</v>
      </c>
      <c r="B138">
        <v>8.25</v>
      </c>
      <c r="C138">
        <v>2</v>
      </c>
      <c r="D138" t="s">
        <v>60</v>
      </c>
      <c r="E138" t="s">
        <v>47</v>
      </c>
      <c r="F138">
        <v>131988148</v>
      </c>
      <c r="G138" t="s">
        <v>194</v>
      </c>
      <c r="H138">
        <v>848</v>
      </c>
      <c r="I138">
        <v>206</v>
      </c>
      <c r="J138">
        <v>103</v>
      </c>
      <c r="K138">
        <v>3</v>
      </c>
      <c r="L138">
        <v>38.530055300000001</v>
      </c>
      <c r="M138">
        <v>-7.9138101289999998</v>
      </c>
      <c r="N138" s="10">
        <v>74500</v>
      </c>
      <c r="O138" s="10">
        <v>-6950</v>
      </c>
      <c r="P138" s="10">
        <v>1250</v>
      </c>
      <c r="Q138">
        <v>0</v>
      </c>
      <c r="R138">
        <v>0</v>
      </c>
      <c r="S138" t="s">
        <v>975</v>
      </c>
      <c r="T138" t="s">
        <v>49</v>
      </c>
      <c r="U138" t="s">
        <v>976</v>
      </c>
      <c r="W138">
        <f t="shared" si="4"/>
        <v>7.9138101289999998</v>
      </c>
      <c r="X138" s="10">
        <f t="shared" si="5"/>
        <v>6950</v>
      </c>
    </row>
    <row r="139" spans="1:24" x14ac:dyDescent="0.3">
      <c r="A139">
        <v>131988159</v>
      </c>
      <c r="B139">
        <v>11.7</v>
      </c>
      <c r="C139">
        <v>3</v>
      </c>
      <c r="D139" t="s">
        <v>104</v>
      </c>
      <c r="E139" t="s">
        <v>47</v>
      </c>
      <c r="F139">
        <v>131988159</v>
      </c>
      <c r="G139" t="s">
        <v>195</v>
      </c>
      <c r="H139">
        <v>1943</v>
      </c>
      <c r="I139">
        <v>498</v>
      </c>
      <c r="J139">
        <v>166</v>
      </c>
      <c r="K139">
        <v>6</v>
      </c>
      <c r="L139">
        <v>42.728021400000003</v>
      </c>
      <c r="M139">
        <v>-50.428640639999998</v>
      </c>
      <c r="N139" s="10">
        <v>507000</v>
      </c>
      <c r="O139" s="10">
        <v>-152000</v>
      </c>
      <c r="P139" s="10">
        <v>18200</v>
      </c>
      <c r="Q139">
        <v>0</v>
      </c>
      <c r="R139">
        <v>0</v>
      </c>
      <c r="S139" t="s">
        <v>975</v>
      </c>
      <c r="T139" t="s">
        <v>49</v>
      </c>
      <c r="U139" t="s">
        <v>976</v>
      </c>
      <c r="W139">
        <f t="shared" si="4"/>
        <v>50.428640639999998</v>
      </c>
      <c r="X139" s="10">
        <f t="shared" si="5"/>
        <v>152000</v>
      </c>
    </row>
    <row r="140" spans="1:24" x14ac:dyDescent="0.3">
      <c r="A140">
        <v>131988183</v>
      </c>
      <c r="B140">
        <v>9.6333333329999995</v>
      </c>
      <c r="C140">
        <v>2</v>
      </c>
      <c r="D140" t="s">
        <v>54</v>
      </c>
      <c r="E140" t="s">
        <v>47</v>
      </c>
      <c r="F140">
        <v>131988183</v>
      </c>
      <c r="G140" t="s">
        <v>196</v>
      </c>
      <c r="H140">
        <v>1559</v>
      </c>
      <c r="I140">
        <v>324</v>
      </c>
      <c r="J140">
        <v>162</v>
      </c>
      <c r="K140">
        <v>4</v>
      </c>
      <c r="L140">
        <v>59.654463370000002</v>
      </c>
      <c r="M140">
        <v>-10.96986291</v>
      </c>
      <c r="N140" s="10">
        <v>132000</v>
      </c>
      <c r="O140" s="10">
        <v>-14100</v>
      </c>
      <c r="P140" s="10">
        <v>1540</v>
      </c>
      <c r="Q140">
        <v>0</v>
      </c>
      <c r="R140">
        <v>0</v>
      </c>
      <c r="S140" t="s">
        <v>975</v>
      </c>
      <c r="T140" t="s">
        <v>49</v>
      </c>
      <c r="U140" t="s">
        <v>976</v>
      </c>
      <c r="W140">
        <f t="shared" si="4"/>
        <v>10.96986291</v>
      </c>
      <c r="X140" s="10">
        <f t="shared" si="5"/>
        <v>14100</v>
      </c>
    </row>
    <row r="141" spans="1:24" x14ac:dyDescent="0.3">
      <c r="A141">
        <v>131988205</v>
      </c>
      <c r="B141">
        <v>8.1999999999999993</v>
      </c>
      <c r="C141">
        <v>2</v>
      </c>
      <c r="D141" t="s">
        <v>54</v>
      </c>
      <c r="E141" t="s">
        <v>47</v>
      </c>
      <c r="F141">
        <v>131988205</v>
      </c>
      <c r="G141" t="s">
        <v>197</v>
      </c>
      <c r="H141">
        <v>1402</v>
      </c>
      <c r="I141">
        <v>342</v>
      </c>
      <c r="J141">
        <v>171</v>
      </c>
      <c r="K141">
        <v>4</v>
      </c>
      <c r="L141">
        <v>67.401281679999997</v>
      </c>
      <c r="M141">
        <v>-11.600646810000001</v>
      </c>
      <c r="N141" s="10">
        <v>145000</v>
      </c>
      <c r="O141" s="10">
        <v>-15500</v>
      </c>
      <c r="P141" s="10">
        <v>1630</v>
      </c>
      <c r="Q141">
        <v>0</v>
      </c>
      <c r="R141">
        <v>0</v>
      </c>
      <c r="S141" t="s">
        <v>975</v>
      </c>
      <c r="T141" t="s">
        <v>49</v>
      </c>
      <c r="U141" t="s">
        <v>976</v>
      </c>
      <c r="W141">
        <f t="shared" si="4"/>
        <v>11.600646810000001</v>
      </c>
      <c r="X141" s="10">
        <f t="shared" si="5"/>
        <v>15500</v>
      </c>
    </row>
    <row r="142" spans="1:24" x14ac:dyDescent="0.3">
      <c r="A142">
        <v>131988414</v>
      </c>
      <c r="B142">
        <v>10.45</v>
      </c>
      <c r="C142">
        <v>2</v>
      </c>
      <c r="D142" t="s">
        <v>60</v>
      </c>
      <c r="E142" t="s">
        <v>47</v>
      </c>
      <c r="F142">
        <v>131988414</v>
      </c>
      <c r="G142" t="s">
        <v>198</v>
      </c>
      <c r="H142">
        <v>2479</v>
      </c>
      <c r="I142">
        <v>475</v>
      </c>
      <c r="J142">
        <v>238</v>
      </c>
      <c r="K142">
        <v>6</v>
      </c>
      <c r="L142">
        <v>84.856928359999998</v>
      </c>
      <c r="M142">
        <v>-18.662660729999999</v>
      </c>
      <c r="N142" s="10">
        <v>169000</v>
      </c>
      <c r="O142" s="10">
        <v>-15800</v>
      </c>
      <c r="P142" s="10">
        <v>2890</v>
      </c>
      <c r="Q142">
        <v>0</v>
      </c>
      <c r="R142">
        <v>0</v>
      </c>
      <c r="S142" t="s">
        <v>975</v>
      </c>
      <c r="T142" t="s">
        <v>49</v>
      </c>
      <c r="U142" t="s">
        <v>976</v>
      </c>
      <c r="W142">
        <f t="shared" si="4"/>
        <v>18.662660729999999</v>
      </c>
      <c r="X142" s="10">
        <f t="shared" si="5"/>
        <v>15800</v>
      </c>
    </row>
    <row r="143" spans="1:24" x14ac:dyDescent="0.3">
      <c r="A143">
        <v>131988500</v>
      </c>
      <c r="B143">
        <v>5.9</v>
      </c>
      <c r="C143">
        <v>1</v>
      </c>
      <c r="D143" t="s">
        <v>60</v>
      </c>
      <c r="E143" t="s">
        <v>47</v>
      </c>
      <c r="F143">
        <v>131988500</v>
      </c>
      <c r="G143" t="s">
        <v>199</v>
      </c>
      <c r="H143">
        <v>662</v>
      </c>
      <c r="I143">
        <v>112</v>
      </c>
      <c r="J143">
        <v>112</v>
      </c>
      <c r="K143">
        <v>1</v>
      </c>
      <c r="L143">
        <v>47.36008545</v>
      </c>
      <c r="M143">
        <v>-7.2660710049999997</v>
      </c>
      <c r="N143" s="10">
        <v>87200</v>
      </c>
      <c r="O143" s="10">
        <v>-7010</v>
      </c>
      <c r="P143" s="10">
        <v>684</v>
      </c>
      <c r="Q143">
        <v>0</v>
      </c>
      <c r="R143">
        <v>0</v>
      </c>
      <c r="S143" t="s">
        <v>975</v>
      </c>
      <c r="T143" t="s">
        <v>49</v>
      </c>
      <c r="U143" t="s">
        <v>976</v>
      </c>
      <c r="W143">
        <f t="shared" si="4"/>
        <v>7.2660710049999997</v>
      </c>
      <c r="X143" s="10">
        <f t="shared" si="5"/>
        <v>7010</v>
      </c>
    </row>
    <row r="144" spans="1:24" x14ac:dyDescent="0.3">
      <c r="A144">
        <v>131988692</v>
      </c>
      <c r="B144">
        <v>11.9</v>
      </c>
      <c r="C144">
        <v>3</v>
      </c>
      <c r="D144" t="s">
        <v>60</v>
      </c>
      <c r="E144" t="s">
        <v>47</v>
      </c>
      <c r="F144">
        <v>131988692</v>
      </c>
      <c r="G144" t="s">
        <v>200</v>
      </c>
      <c r="H144">
        <v>1714</v>
      </c>
      <c r="I144">
        <v>432</v>
      </c>
      <c r="J144">
        <v>144</v>
      </c>
      <c r="K144">
        <v>6</v>
      </c>
      <c r="L144">
        <v>88.09363166</v>
      </c>
      <c r="M144">
        <v>-17.594337110000001</v>
      </c>
      <c r="N144" s="10">
        <v>165000</v>
      </c>
      <c r="O144" s="10">
        <v>-15000</v>
      </c>
      <c r="P144" s="10">
        <v>2630</v>
      </c>
      <c r="Q144">
        <v>0</v>
      </c>
      <c r="R144">
        <v>0</v>
      </c>
      <c r="S144" t="s">
        <v>975</v>
      </c>
      <c r="T144" t="s">
        <v>49</v>
      </c>
      <c r="U144" t="s">
        <v>976</v>
      </c>
      <c r="W144">
        <f t="shared" si="4"/>
        <v>17.594337110000001</v>
      </c>
      <c r="X144" s="10">
        <f t="shared" si="5"/>
        <v>15000</v>
      </c>
    </row>
    <row r="145" spans="1:24" x14ac:dyDescent="0.3">
      <c r="A145">
        <v>131988897</v>
      </c>
      <c r="B145">
        <v>9.9</v>
      </c>
      <c r="C145">
        <v>2</v>
      </c>
      <c r="D145" t="s">
        <v>60</v>
      </c>
      <c r="E145" t="s">
        <v>47</v>
      </c>
      <c r="F145">
        <v>131988897</v>
      </c>
      <c r="G145" t="s">
        <v>201</v>
      </c>
      <c r="H145">
        <v>726</v>
      </c>
      <c r="I145">
        <v>147</v>
      </c>
      <c r="J145">
        <v>74</v>
      </c>
      <c r="K145">
        <v>2</v>
      </c>
      <c r="L145">
        <v>38.761913329999999</v>
      </c>
      <c r="M145">
        <v>-6.8246662909999998</v>
      </c>
      <c r="N145" s="10">
        <v>72000</v>
      </c>
      <c r="O145" s="10">
        <v>-5930</v>
      </c>
      <c r="P145" s="10">
        <v>894</v>
      </c>
      <c r="Q145">
        <v>0</v>
      </c>
      <c r="R145">
        <v>0</v>
      </c>
      <c r="S145" t="s">
        <v>975</v>
      </c>
      <c r="T145" t="s">
        <v>49</v>
      </c>
      <c r="U145" t="s">
        <v>976</v>
      </c>
      <c r="W145">
        <f t="shared" si="4"/>
        <v>6.8246662909999998</v>
      </c>
      <c r="X145" s="10">
        <f t="shared" si="5"/>
        <v>5930</v>
      </c>
    </row>
    <row r="146" spans="1:24" x14ac:dyDescent="0.3">
      <c r="A146">
        <v>131988941</v>
      </c>
      <c r="B146">
        <v>7.9</v>
      </c>
      <c r="C146">
        <v>2</v>
      </c>
      <c r="D146" t="s">
        <v>60</v>
      </c>
      <c r="E146" t="s">
        <v>80</v>
      </c>
      <c r="F146">
        <v>131988941</v>
      </c>
      <c r="G146" t="s">
        <v>202</v>
      </c>
      <c r="H146">
        <v>822</v>
      </c>
      <c r="I146">
        <v>208</v>
      </c>
      <c r="J146">
        <v>104</v>
      </c>
      <c r="K146">
        <v>3</v>
      </c>
      <c r="L146">
        <v>33.441233339999997</v>
      </c>
      <c r="M146">
        <v>-8.6002337880000006</v>
      </c>
      <c r="N146" s="10">
        <v>66100</v>
      </c>
      <c r="O146" s="10">
        <v>-6310</v>
      </c>
      <c r="P146" s="10">
        <v>1270</v>
      </c>
      <c r="Q146">
        <v>0</v>
      </c>
      <c r="R146">
        <v>0</v>
      </c>
      <c r="S146" t="s">
        <v>975</v>
      </c>
      <c r="T146" t="s">
        <v>49</v>
      </c>
      <c r="U146" t="s">
        <v>976</v>
      </c>
      <c r="W146">
        <f t="shared" si="4"/>
        <v>8.6002337880000006</v>
      </c>
      <c r="X146" s="10">
        <f t="shared" si="5"/>
        <v>6310</v>
      </c>
    </row>
    <row r="147" spans="1:24" x14ac:dyDescent="0.3">
      <c r="A147">
        <v>131989122</v>
      </c>
      <c r="B147">
        <v>10.5</v>
      </c>
      <c r="C147">
        <v>3</v>
      </c>
      <c r="D147" t="s">
        <v>54</v>
      </c>
      <c r="E147" t="s">
        <v>47</v>
      </c>
      <c r="F147">
        <v>131989122</v>
      </c>
      <c r="G147" t="s">
        <v>203</v>
      </c>
      <c r="H147">
        <v>1932</v>
      </c>
      <c r="I147">
        <v>552</v>
      </c>
      <c r="J147">
        <v>184</v>
      </c>
      <c r="K147">
        <v>7</v>
      </c>
      <c r="L147">
        <v>85.866157819999998</v>
      </c>
      <c r="M147">
        <v>-16.420341180000001</v>
      </c>
      <c r="N147" s="10">
        <v>199000</v>
      </c>
      <c r="O147" s="10">
        <v>-23100</v>
      </c>
      <c r="P147" s="10">
        <v>2630</v>
      </c>
      <c r="Q147">
        <v>0</v>
      </c>
      <c r="R147">
        <v>0</v>
      </c>
      <c r="S147" t="s">
        <v>975</v>
      </c>
      <c r="T147" t="s">
        <v>49</v>
      </c>
      <c r="U147" t="s">
        <v>976</v>
      </c>
      <c r="W147">
        <f t="shared" si="4"/>
        <v>16.420341180000001</v>
      </c>
      <c r="X147" s="10">
        <f t="shared" si="5"/>
        <v>23100</v>
      </c>
    </row>
    <row r="148" spans="1:24" x14ac:dyDescent="0.3">
      <c r="A148">
        <v>131989128</v>
      </c>
      <c r="B148">
        <v>7.266666667</v>
      </c>
      <c r="C148">
        <v>2</v>
      </c>
      <c r="D148" t="s">
        <v>60</v>
      </c>
      <c r="E148" t="s">
        <v>47</v>
      </c>
      <c r="F148">
        <v>131989128</v>
      </c>
      <c r="G148" t="s">
        <v>204</v>
      </c>
      <c r="H148">
        <v>2020</v>
      </c>
      <c r="I148">
        <v>556</v>
      </c>
      <c r="J148">
        <v>278</v>
      </c>
      <c r="K148">
        <v>7</v>
      </c>
      <c r="L148">
        <v>102.88342129999999</v>
      </c>
      <c r="M148">
        <v>-20.361131790000002</v>
      </c>
      <c r="N148" s="10">
        <v>196000</v>
      </c>
      <c r="O148" s="10">
        <v>-17600</v>
      </c>
      <c r="P148" s="10">
        <v>3390</v>
      </c>
      <c r="Q148">
        <v>0</v>
      </c>
      <c r="R148">
        <v>0</v>
      </c>
      <c r="S148" t="s">
        <v>975</v>
      </c>
      <c r="T148" t="s">
        <v>49</v>
      </c>
      <c r="U148" t="s">
        <v>976</v>
      </c>
      <c r="W148">
        <f t="shared" si="4"/>
        <v>20.361131790000002</v>
      </c>
      <c r="X148" s="10">
        <f t="shared" si="5"/>
        <v>17600</v>
      </c>
    </row>
    <row r="149" spans="1:24" x14ac:dyDescent="0.3">
      <c r="A149">
        <v>131989147</v>
      </c>
      <c r="B149">
        <v>9</v>
      </c>
      <c r="C149">
        <v>2</v>
      </c>
      <c r="D149" t="s">
        <v>54</v>
      </c>
      <c r="E149" t="s">
        <v>80</v>
      </c>
      <c r="F149">
        <v>131989147</v>
      </c>
      <c r="G149" t="s">
        <v>205</v>
      </c>
      <c r="H149">
        <v>1433</v>
      </c>
      <c r="I149">
        <v>318</v>
      </c>
      <c r="J149">
        <v>159</v>
      </c>
      <c r="K149">
        <v>4</v>
      </c>
      <c r="L149">
        <v>53.989219460000001</v>
      </c>
      <c r="M149">
        <v>-11.715507369999999</v>
      </c>
      <c r="N149" s="10">
        <v>121000</v>
      </c>
      <c r="O149" s="10">
        <v>-14500</v>
      </c>
      <c r="P149" s="10">
        <v>1520</v>
      </c>
      <c r="Q149">
        <v>0</v>
      </c>
      <c r="R149">
        <v>0</v>
      </c>
      <c r="S149" t="s">
        <v>975</v>
      </c>
      <c r="T149" t="s">
        <v>49</v>
      </c>
      <c r="U149" t="s">
        <v>976</v>
      </c>
      <c r="W149">
        <f t="shared" si="4"/>
        <v>11.715507369999999</v>
      </c>
      <c r="X149" s="10">
        <f t="shared" si="5"/>
        <v>14500</v>
      </c>
    </row>
    <row r="150" spans="1:24" x14ac:dyDescent="0.3">
      <c r="A150">
        <v>131989260</v>
      </c>
      <c r="B150">
        <v>6.05</v>
      </c>
      <c r="C150">
        <v>1</v>
      </c>
      <c r="D150" t="s">
        <v>54</v>
      </c>
      <c r="E150" t="s">
        <v>47</v>
      </c>
      <c r="F150">
        <v>131989260</v>
      </c>
      <c r="G150" t="s">
        <v>206</v>
      </c>
      <c r="H150">
        <v>548</v>
      </c>
      <c r="I150">
        <v>91</v>
      </c>
      <c r="J150">
        <v>91</v>
      </c>
      <c r="K150">
        <v>1</v>
      </c>
      <c r="L150">
        <v>29.85516586</v>
      </c>
      <c r="M150">
        <v>-4.1055225430000002</v>
      </c>
      <c r="N150" s="10">
        <v>60200</v>
      </c>
      <c r="O150" s="10">
        <v>-5320</v>
      </c>
      <c r="P150" s="10">
        <v>431</v>
      </c>
      <c r="Q150">
        <v>0</v>
      </c>
      <c r="R150">
        <v>0</v>
      </c>
      <c r="S150" t="s">
        <v>975</v>
      </c>
      <c r="T150" t="s">
        <v>49</v>
      </c>
      <c r="U150" t="s">
        <v>976</v>
      </c>
      <c r="W150">
        <f t="shared" si="4"/>
        <v>4.1055225430000002</v>
      </c>
      <c r="X150" s="10">
        <f t="shared" si="5"/>
        <v>5320</v>
      </c>
    </row>
    <row r="151" spans="1:24" x14ac:dyDescent="0.3">
      <c r="A151">
        <v>131989348</v>
      </c>
      <c r="B151">
        <v>7.7</v>
      </c>
      <c r="C151">
        <v>2</v>
      </c>
      <c r="D151" t="s">
        <v>54</v>
      </c>
      <c r="E151" t="s">
        <v>47</v>
      </c>
      <c r="F151">
        <v>131989348</v>
      </c>
      <c r="G151" t="s">
        <v>207</v>
      </c>
      <c r="H151">
        <v>1025</v>
      </c>
      <c r="I151">
        <v>266</v>
      </c>
      <c r="J151">
        <v>133</v>
      </c>
      <c r="K151">
        <v>3</v>
      </c>
      <c r="L151">
        <v>36.300039239999997</v>
      </c>
      <c r="M151">
        <v>-7.0590704290000001</v>
      </c>
      <c r="N151" s="10">
        <v>89500</v>
      </c>
      <c r="O151" s="10">
        <v>-10400</v>
      </c>
      <c r="P151" s="10">
        <v>1270</v>
      </c>
      <c r="Q151">
        <v>0</v>
      </c>
      <c r="R151">
        <v>0</v>
      </c>
      <c r="S151" t="s">
        <v>975</v>
      </c>
      <c r="T151" t="s">
        <v>49</v>
      </c>
      <c r="U151" t="s">
        <v>976</v>
      </c>
      <c r="W151">
        <f t="shared" si="4"/>
        <v>7.0590704290000001</v>
      </c>
      <c r="X151" s="10">
        <f t="shared" si="5"/>
        <v>10400</v>
      </c>
    </row>
    <row r="152" spans="1:24" x14ac:dyDescent="0.3">
      <c r="A152">
        <v>131989375</v>
      </c>
      <c r="B152">
        <v>11.5</v>
      </c>
      <c r="C152">
        <v>3</v>
      </c>
      <c r="D152" t="s">
        <v>60</v>
      </c>
      <c r="E152" t="s">
        <v>55</v>
      </c>
      <c r="F152">
        <v>131989375</v>
      </c>
      <c r="G152" t="s">
        <v>208</v>
      </c>
      <c r="H152">
        <v>2237</v>
      </c>
      <c r="I152">
        <v>584</v>
      </c>
      <c r="J152">
        <v>195</v>
      </c>
      <c r="K152">
        <v>8</v>
      </c>
      <c r="L152">
        <v>59.137413719999998</v>
      </c>
      <c r="M152">
        <v>-19.23246979</v>
      </c>
      <c r="N152" s="10">
        <v>122000</v>
      </c>
      <c r="O152" s="10">
        <v>-13300</v>
      </c>
      <c r="P152" s="10">
        <v>3560</v>
      </c>
      <c r="Q152">
        <v>0</v>
      </c>
      <c r="R152">
        <v>0</v>
      </c>
      <c r="S152" t="s">
        <v>975</v>
      </c>
      <c r="T152" t="s">
        <v>49</v>
      </c>
      <c r="U152" t="s">
        <v>976</v>
      </c>
      <c r="W152">
        <f t="shared" si="4"/>
        <v>19.23246979</v>
      </c>
      <c r="X152" s="10">
        <f t="shared" si="5"/>
        <v>13300</v>
      </c>
    </row>
    <row r="153" spans="1:24" x14ac:dyDescent="0.3">
      <c r="A153">
        <v>131989414</v>
      </c>
      <c r="B153">
        <v>7.2</v>
      </c>
      <c r="C153">
        <v>2</v>
      </c>
      <c r="D153" t="s">
        <v>54</v>
      </c>
      <c r="E153" t="s">
        <v>47</v>
      </c>
      <c r="F153">
        <v>131989414</v>
      </c>
      <c r="G153" t="s">
        <v>209</v>
      </c>
      <c r="H153">
        <v>804</v>
      </c>
      <c r="I153">
        <v>223</v>
      </c>
      <c r="J153">
        <v>112</v>
      </c>
      <c r="K153">
        <v>3</v>
      </c>
      <c r="L153">
        <v>46.259288589999997</v>
      </c>
      <c r="M153">
        <v>-7.7021547720000001</v>
      </c>
      <c r="N153" s="10">
        <v>98100</v>
      </c>
      <c r="O153" s="10">
        <v>-10600</v>
      </c>
      <c r="P153" s="10">
        <v>1060</v>
      </c>
      <c r="Q153">
        <v>0</v>
      </c>
      <c r="R153">
        <v>0</v>
      </c>
      <c r="S153" t="s">
        <v>975</v>
      </c>
      <c r="T153" t="s">
        <v>49</v>
      </c>
      <c r="U153" t="s">
        <v>976</v>
      </c>
      <c r="W153">
        <f t="shared" si="4"/>
        <v>7.7021547720000001</v>
      </c>
      <c r="X153" s="10">
        <f t="shared" si="5"/>
        <v>10600</v>
      </c>
    </row>
    <row r="154" spans="1:24" x14ac:dyDescent="0.3">
      <c r="A154">
        <v>131989544</v>
      </c>
      <c r="B154">
        <v>6.85</v>
      </c>
      <c r="C154">
        <v>1</v>
      </c>
      <c r="D154" t="s">
        <v>54</v>
      </c>
      <c r="E154" t="s">
        <v>47</v>
      </c>
      <c r="F154">
        <v>131989544</v>
      </c>
      <c r="G154" t="s">
        <v>210</v>
      </c>
      <c r="H154">
        <v>867</v>
      </c>
      <c r="I154">
        <v>127</v>
      </c>
      <c r="J154">
        <v>127</v>
      </c>
      <c r="K154">
        <v>2</v>
      </c>
      <c r="L154">
        <v>30.4664976</v>
      </c>
      <c r="M154">
        <v>-4.8354739679999996</v>
      </c>
      <c r="N154" s="10">
        <v>64400</v>
      </c>
      <c r="O154" s="10">
        <v>-6250</v>
      </c>
      <c r="P154" s="10">
        <v>602</v>
      </c>
      <c r="Q154">
        <v>0</v>
      </c>
      <c r="R154">
        <v>0</v>
      </c>
      <c r="S154" t="s">
        <v>975</v>
      </c>
      <c r="T154" t="s">
        <v>49</v>
      </c>
      <c r="U154" t="s">
        <v>976</v>
      </c>
      <c r="W154">
        <f t="shared" si="4"/>
        <v>4.8354739679999996</v>
      </c>
      <c r="X154" s="10">
        <f t="shared" si="5"/>
        <v>6250</v>
      </c>
    </row>
    <row r="155" spans="1:24" x14ac:dyDescent="0.3">
      <c r="A155">
        <v>131989562</v>
      </c>
      <c r="B155">
        <v>10.7</v>
      </c>
      <c r="C155">
        <v>3</v>
      </c>
      <c r="D155" t="s">
        <v>60</v>
      </c>
      <c r="E155" t="s">
        <v>47</v>
      </c>
      <c r="F155">
        <v>131989562</v>
      </c>
      <c r="G155" t="s">
        <v>211</v>
      </c>
      <c r="H155">
        <v>3032</v>
      </c>
      <c r="I155">
        <v>850</v>
      </c>
      <c r="J155">
        <v>283</v>
      </c>
      <c r="K155">
        <v>11</v>
      </c>
      <c r="L155">
        <v>138.4584428</v>
      </c>
      <c r="M155">
        <v>-29.113228070000002</v>
      </c>
      <c r="N155" s="10">
        <v>268000</v>
      </c>
      <c r="O155" s="10">
        <v>-24800</v>
      </c>
      <c r="P155" s="10">
        <v>5180</v>
      </c>
      <c r="Q155">
        <v>0</v>
      </c>
      <c r="R155">
        <v>0</v>
      </c>
      <c r="S155" t="s">
        <v>975</v>
      </c>
      <c r="T155" t="s">
        <v>49</v>
      </c>
      <c r="U155" t="s">
        <v>976</v>
      </c>
      <c r="W155">
        <f t="shared" si="4"/>
        <v>29.113228070000002</v>
      </c>
      <c r="X155" s="10">
        <f t="shared" si="5"/>
        <v>24800</v>
      </c>
    </row>
    <row r="156" spans="1:24" x14ac:dyDescent="0.3">
      <c r="A156">
        <v>131989585</v>
      </c>
      <c r="B156">
        <v>13</v>
      </c>
      <c r="C156">
        <v>3</v>
      </c>
      <c r="D156" t="s">
        <v>60</v>
      </c>
      <c r="E156" t="s">
        <v>51</v>
      </c>
      <c r="F156">
        <v>131989585</v>
      </c>
      <c r="G156" t="s">
        <v>212</v>
      </c>
      <c r="H156">
        <v>1786</v>
      </c>
      <c r="I156">
        <v>412</v>
      </c>
      <c r="J156">
        <v>137</v>
      </c>
      <c r="K156">
        <v>5</v>
      </c>
      <c r="L156">
        <v>40.980590939999999</v>
      </c>
      <c r="M156">
        <v>-13.563108270000001</v>
      </c>
      <c r="N156" s="10">
        <v>86700</v>
      </c>
      <c r="O156" s="10">
        <v>-9310</v>
      </c>
      <c r="P156" s="10">
        <v>2510</v>
      </c>
      <c r="Q156">
        <v>0</v>
      </c>
      <c r="R156">
        <v>0</v>
      </c>
      <c r="S156" t="s">
        <v>975</v>
      </c>
      <c r="T156" t="s">
        <v>49</v>
      </c>
      <c r="U156" t="s">
        <v>976</v>
      </c>
      <c r="W156">
        <f t="shared" si="4"/>
        <v>13.563108270000001</v>
      </c>
      <c r="X156" s="10">
        <f t="shared" si="5"/>
        <v>9310</v>
      </c>
    </row>
    <row r="157" spans="1:24" x14ac:dyDescent="0.3">
      <c r="A157">
        <v>131989601</v>
      </c>
      <c r="B157">
        <v>14.35</v>
      </c>
      <c r="C157">
        <v>4</v>
      </c>
      <c r="D157" t="s">
        <v>60</v>
      </c>
      <c r="E157" t="s">
        <v>51</v>
      </c>
      <c r="F157">
        <v>131989601</v>
      </c>
      <c r="G157" t="s">
        <v>213</v>
      </c>
      <c r="H157">
        <v>4587</v>
      </c>
      <c r="I157">
        <v>1279</v>
      </c>
      <c r="J157">
        <v>320</v>
      </c>
      <c r="K157">
        <v>17</v>
      </c>
      <c r="L157">
        <v>118.6369347</v>
      </c>
      <c r="M157">
        <v>-39.425064399999997</v>
      </c>
      <c r="N157" s="10">
        <v>248000</v>
      </c>
      <c r="O157" s="10">
        <v>-27000</v>
      </c>
      <c r="P157" s="10">
        <v>7790</v>
      </c>
      <c r="Q157">
        <v>0</v>
      </c>
      <c r="R157">
        <v>0</v>
      </c>
      <c r="S157" t="s">
        <v>975</v>
      </c>
      <c r="T157" t="s">
        <v>49</v>
      </c>
      <c r="U157" t="s">
        <v>976</v>
      </c>
      <c r="W157">
        <f t="shared" si="4"/>
        <v>39.425064399999997</v>
      </c>
      <c r="X157" s="10">
        <f t="shared" si="5"/>
        <v>27000</v>
      </c>
    </row>
    <row r="158" spans="1:24" x14ac:dyDescent="0.3">
      <c r="A158">
        <v>131989649</v>
      </c>
      <c r="B158">
        <v>16.3</v>
      </c>
      <c r="C158">
        <v>4</v>
      </c>
      <c r="D158" t="s">
        <v>60</v>
      </c>
      <c r="E158" t="s">
        <v>58</v>
      </c>
      <c r="F158">
        <v>131989649</v>
      </c>
      <c r="G158" t="s">
        <v>214</v>
      </c>
      <c r="H158">
        <v>4518</v>
      </c>
      <c r="I158">
        <v>1109</v>
      </c>
      <c r="J158">
        <v>277</v>
      </c>
      <c r="K158">
        <v>14</v>
      </c>
      <c r="L158">
        <v>110.7366573</v>
      </c>
      <c r="M158">
        <v>-39.075332060000001</v>
      </c>
      <c r="N158" s="10">
        <v>230000</v>
      </c>
      <c r="O158" s="10">
        <v>-25300</v>
      </c>
      <c r="P158" s="10">
        <v>6760</v>
      </c>
      <c r="Q158">
        <v>0</v>
      </c>
      <c r="R158">
        <v>0</v>
      </c>
      <c r="S158" t="s">
        <v>975</v>
      </c>
      <c r="T158" t="s">
        <v>49</v>
      </c>
      <c r="U158" t="s">
        <v>976</v>
      </c>
      <c r="W158">
        <f t="shared" si="4"/>
        <v>39.075332060000001</v>
      </c>
      <c r="X158" s="10">
        <f t="shared" si="5"/>
        <v>25300</v>
      </c>
    </row>
    <row r="159" spans="1:24" x14ac:dyDescent="0.3">
      <c r="A159">
        <v>131989727</v>
      </c>
      <c r="B159">
        <v>11.55</v>
      </c>
      <c r="C159">
        <v>3</v>
      </c>
      <c r="D159" t="s">
        <v>60</v>
      </c>
      <c r="E159" t="s">
        <v>47</v>
      </c>
      <c r="F159">
        <v>131989727</v>
      </c>
      <c r="G159" t="s">
        <v>215</v>
      </c>
      <c r="H159">
        <v>3824</v>
      </c>
      <c r="I159">
        <v>993</v>
      </c>
      <c r="J159">
        <v>331</v>
      </c>
      <c r="K159">
        <v>13</v>
      </c>
      <c r="L159">
        <v>119.2599005</v>
      </c>
      <c r="M159">
        <v>-30.396543229999999</v>
      </c>
      <c r="N159" s="10">
        <v>248000</v>
      </c>
      <c r="O159" s="10">
        <v>-23400</v>
      </c>
      <c r="P159" s="10">
        <v>6050</v>
      </c>
      <c r="Q159">
        <v>0</v>
      </c>
      <c r="R159">
        <v>0</v>
      </c>
      <c r="S159" t="s">
        <v>975</v>
      </c>
      <c r="T159" t="s">
        <v>49</v>
      </c>
      <c r="U159" t="s">
        <v>976</v>
      </c>
      <c r="W159">
        <f t="shared" si="4"/>
        <v>30.396543229999999</v>
      </c>
      <c r="X159" s="10">
        <f t="shared" si="5"/>
        <v>23400</v>
      </c>
    </row>
    <row r="160" spans="1:24" x14ac:dyDescent="0.3">
      <c r="A160">
        <v>131989730</v>
      </c>
      <c r="B160">
        <v>8.9</v>
      </c>
      <c r="C160">
        <v>2</v>
      </c>
      <c r="D160" t="s">
        <v>60</v>
      </c>
      <c r="E160" t="s">
        <v>47</v>
      </c>
      <c r="F160">
        <v>131989730</v>
      </c>
      <c r="G160" t="s">
        <v>216</v>
      </c>
      <c r="H160">
        <v>1495</v>
      </c>
      <c r="I160">
        <v>336</v>
      </c>
      <c r="J160">
        <v>168</v>
      </c>
      <c r="K160">
        <v>4</v>
      </c>
      <c r="L160">
        <v>61.104074130000001</v>
      </c>
      <c r="M160">
        <v>-13.319962820000001</v>
      </c>
      <c r="N160" s="10">
        <v>118000</v>
      </c>
      <c r="O160" s="10">
        <v>-11000</v>
      </c>
      <c r="P160" s="10">
        <v>2050</v>
      </c>
      <c r="Q160">
        <v>0</v>
      </c>
      <c r="R160">
        <v>0</v>
      </c>
      <c r="S160" t="s">
        <v>975</v>
      </c>
      <c r="T160" t="s">
        <v>49</v>
      </c>
      <c r="U160" t="s">
        <v>976</v>
      </c>
      <c r="W160">
        <f t="shared" si="4"/>
        <v>13.319962820000001</v>
      </c>
      <c r="X160" s="10">
        <f t="shared" si="5"/>
        <v>11000</v>
      </c>
    </row>
    <row r="161" spans="1:24" x14ac:dyDescent="0.3">
      <c r="A161">
        <v>131989740</v>
      </c>
      <c r="B161">
        <v>5.1749999999999998</v>
      </c>
      <c r="C161">
        <v>1</v>
      </c>
      <c r="D161" t="s">
        <v>60</v>
      </c>
      <c r="E161" t="s">
        <v>47</v>
      </c>
      <c r="F161">
        <v>131989740</v>
      </c>
      <c r="G161" t="s">
        <v>217</v>
      </c>
      <c r="H161">
        <v>502</v>
      </c>
      <c r="I161">
        <v>97</v>
      </c>
      <c r="J161">
        <v>97</v>
      </c>
      <c r="K161">
        <v>1</v>
      </c>
      <c r="L161">
        <v>35.233170360000003</v>
      </c>
      <c r="M161">
        <v>-5.7041827749999996</v>
      </c>
      <c r="N161" s="10">
        <v>64800</v>
      </c>
      <c r="O161" s="10">
        <v>-5270</v>
      </c>
      <c r="P161" s="10">
        <v>591</v>
      </c>
      <c r="Q161">
        <v>0</v>
      </c>
      <c r="R161">
        <v>0</v>
      </c>
      <c r="S161" t="s">
        <v>975</v>
      </c>
      <c r="T161" t="s">
        <v>49</v>
      </c>
      <c r="U161" t="s">
        <v>976</v>
      </c>
      <c r="W161">
        <f t="shared" si="4"/>
        <v>5.7041827749999996</v>
      </c>
      <c r="X161" s="10">
        <f t="shared" si="5"/>
        <v>5270</v>
      </c>
    </row>
    <row r="162" spans="1:24" x14ac:dyDescent="0.3">
      <c r="A162">
        <v>131989772</v>
      </c>
      <c r="B162">
        <v>11.8</v>
      </c>
      <c r="C162">
        <v>3</v>
      </c>
      <c r="D162" t="s">
        <v>60</v>
      </c>
      <c r="E162" t="s">
        <v>51</v>
      </c>
      <c r="F162">
        <v>131989772</v>
      </c>
      <c r="G162" t="s">
        <v>218</v>
      </c>
      <c r="H162">
        <v>5560</v>
      </c>
      <c r="I162">
        <v>1413</v>
      </c>
      <c r="J162">
        <v>471</v>
      </c>
      <c r="K162">
        <v>18</v>
      </c>
      <c r="L162">
        <v>154.7505477</v>
      </c>
      <c r="M162">
        <v>-48.71108065</v>
      </c>
      <c r="N162" s="10">
        <v>314000</v>
      </c>
      <c r="O162" s="10">
        <v>-32800</v>
      </c>
      <c r="P162" s="10">
        <v>8620</v>
      </c>
      <c r="Q162">
        <v>0</v>
      </c>
      <c r="R162">
        <v>0</v>
      </c>
      <c r="S162" t="s">
        <v>975</v>
      </c>
      <c r="T162" t="s">
        <v>49</v>
      </c>
      <c r="U162" t="s">
        <v>976</v>
      </c>
      <c r="W162">
        <f t="shared" si="4"/>
        <v>48.71108065</v>
      </c>
      <c r="X162" s="10">
        <f t="shared" si="5"/>
        <v>32800</v>
      </c>
    </row>
    <row r="163" spans="1:24" x14ac:dyDescent="0.3">
      <c r="A163">
        <v>131989892</v>
      </c>
      <c r="B163">
        <v>10.9</v>
      </c>
      <c r="C163">
        <v>3</v>
      </c>
      <c r="D163" t="s">
        <v>60</v>
      </c>
      <c r="E163" t="s">
        <v>47</v>
      </c>
      <c r="F163">
        <v>131989892</v>
      </c>
      <c r="G163" t="s">
        <v>219</v>
      </c>
      <c r="H163">
        <v>1518</v>
      </c>
      <c r="I163">
        <v>418</v>
      </c>
      <c r="J163">
        <v>139</v>
      </c>
      <c r="K163">
        <v>5</v>
      </c>
      <c r="L163">
        <v>48.191405369999998</v>
      </c>
      <c r="M163">
        <v>-12.357870610000001</v>
      </c>
      <c r="N163" s="10">
        <v>100000</v>
      </c>
      <c r="O163" s="10">
        <v>-9420</v>
      </c>
      <c r="P163" s="10">
        <v>2550</v>
      </c>
      <c r="Q163">
        <v>0</v>
      </c>
      <c r="R163">
        <v>0</v>
      </c>
      <c r="S163" t="s">
        <v>975</v>
      </c>
      <c r="T163" t="s">
        <v>49</v>
      </c>
      <c r="U163" t="s">
        <v>976</v>
      </c>
      <c r="W163">
        <f t="shared" si="4"/>
        <v>12.357870610000001</v>
      </c>
      <c r="X163" s="10">
        <f t="shared" si="5"/>
        <v>9420</v>
      </c>
    </row>
    <row r="164" spans="1:24" x14ac:dyDescent="0.3">
      <c r="A164">
        <v>131989958</v>
      </c>
      <c r="B164">
        <v>10.5</v>
      </c>
      <c r="C164">
        <v>3</v>
      </c>
      <c r="D164" t="s">
        <v>104</v>
      </c>
      <c r="E164" t="s">
        <v>47</v>
      </c>
      <c r="F164">
        <v>131989958</v>
      </c>
      <c r="G164" t="s">
        <v>220</v>
      </c>
      <c r="H164">
        <v>1440</v>
      </c>
      <c r="I164">
        <v>412</v>
      </c>
      <c r="J164">
        <v>137</v>
      </c>
      <c r="K164">
        <v>5</v>
      </c>
      <c r="L164">
        <v>45.263501589999997</v>
      </c>
      <c r="M164">
        <v>-35.72207057</v>
      </c>
      <c r="N164" s="10">
        <v>438000</v>
      </c>
      <c r="O164" s="10">
        <v>-125000</v>
      </c>
      <c r="P164" s="10">
        <v>15000</v>
      </c>
      <c r="Q164">
        <v>0</v>
      </c>
      <c r="R164">
        <v>0</v>
      </c>
      <c r="S164" t="s">
        <v>975</v>
      </c>
      <c r="T164" t="s">
        <v>49</v>
      </c>
      <c r="U164" t="s">
        <v>976</v>
      </c>
      <c r="W164">
        <f t="shared" si="4"/>
        <v>35.72207057</v>
      </c>
      <c r="X164" s="10">
        <f t="shared" si="5"/>
        <v>125000</v>
      </c>
    </row>
    <row r="165" spans="1:24" x14ac:dyDescent="0.3">
      <c r="A165">
        <v>131989976</v>
      </c>
      <c r="B165">
        <v>3.7</v>
      </c>
      <c r="C165">
        <v>1</v>
      </c>
      <c r="D165" t="s">
        <v>60</v>
      </c>
      <c r="E165" t="s">
        <v>55</v>
      </c>
      <c r="F165">
        <v>131989976</v>
      </c>
      <c r="G165" t="s">
        <v>221</v>
      </c>
      <c r="H165">
        <v>492</v>
      </c>
      <c r="I165">
        <v>133</v>
      </c>
      <c r="J165">
        <v>133</v>
      </c>
      <c r="K165">
        <v>2</v>
      </c>
      <c r="L165">
        <v>22.86751748</v>
      </c>
      <c r="M165">
        <v>-5.198914952</v>
      </c>
      <c r="N165" s="10">
        <v>44200</v>
      </c>
      <c r="O165" s="10">
        <v>-3910</v>
      </c>
      <c r="P165" s="10">
        <v>810</v>
      </c>
      <c r="Q165">
        <v>0</v>
      </c>
      <c r="R165">
        <v>0</v>
      </c>
      <c r="S165" t="s">
        <v>975</v>
      </c>
      <c r="T165" t="s">
        <v>49</v>
      </c>
      <c r="U165" t="s">
        <v>976</v>
      </c>
      <c r="W165">
        <f t="shared" si="4"/>
        <v>5.198914952</v>
      </c>
      <c r="X165" s="10">
        <f t="shared" si="5"/>
        <v>3910</v>
      </c>
    </row>
    <row r="166" spans="1:24" x14ac:dyDescent="0.3">
      <c r="A166">
        <v>131989995</v>
      </c>
      <c r="B166">
        <v>5.5666666669999998</v>
      </c>
      <c r="C166">
        <v>1</v>
      </c>
      <c r="D166" t="s">
        <v>46</v>
      </c>
      <c r="E166" t="s">
        <v>47</v>
      </c>
      <c r="F166">
        <v>131989995</v>
      </c>
      <c r="G166" t="s">
        <v>222</v>
      </c>
      <c r="H166">
        <v>862</v>
      </c>
      <c r="I166">
        <v>155</v>
      </c>
      <c r="J166">
        <v>155</v>
      </c>
      <c r="K166">
        <v>2</v>
      </c>
      <c r="L166">
        <v>41.1380348</v>
      </c>
      <c r="M166">
        <v>-5.8345091480000004</v>
      </c>
      <c r="N166" s="10">
        <v>85700</v>
      </c>
      <c r="O166" s="10">
        <v>-7840</v>
      </c>
      <c r="P166" s="10">
        <v>737</v>
      </c>
      <c r="Q166">
        <v>0</v>
      </c>
      <c r="R166">
        <v>0</v>
      </c>
      <c r="S166" t="s">
        <v>975</v>
      </c>
      <c r="T166" t="s">
        <v>49</v>
      </c>
      <c r="U166" t="s">
        <v>976</v>
      </c>
      <c r="W166">
        <f t="shared" si="4"/>
        <v>5.8345091480000004</v>
      </c>
      <c r="X166" s="10">
        <f t="shared" si="5"/>
        <v>7840</v>
      </c>
    </row>
    <row r="167" spans="1:24" x14ac:dyDescent="0.3">
      <c r="A167">
        <v>131990015</v>
      </c>
      <c r="B167">
        <v>10.83333333</v>
      </c>
      <c r="C167">
        <v>3</v>
      </c>
      <c r="D167" t="s">
        <v>60</v>
      </c>
      <c r="E167" t="s">
        <v>55</v>
      </c>
      <c r="F167">
        <v>131990015</v>
      </c>
      <c r="G167" t="s">
        <v>223</v>
      </c>
      <c r="H167">
        <v>1984</v>
      </c>
      <c r="I167">
        <v>550</v>
      </c>
      <c r="J167">
        <v>183</v>
      </c>
      <c r="K167">
        <v>7</v>
      </c>
      <c r="L167">
        <v>46.554847580000001</v>
      </c>
      <c r="M167">
        <v>-16.344278389999999</v>
      </c>
      <c r="N167" s="10">
        <v>101000</v>
      </c>
      <c r="O167" s="10">
        <v>-10800</v>
      </c>
      <c r="P167" s="10">
        <v>3350</v>
      </c>
      <c r="Q167">
        <v>0</v>
      </c>
      <c r="R167">
        <v>0</v>
      </c>
      <c r="S167" t="s">
        <v>975</v>
      </c>
      <c r="T167" t="s">
        <v>49</v>
      </c>
      <c r="U167" t="s">
        <v>976</v>
      </c>
      <c r="W167">
        <f t="shared" si="4"/>
        <v>16.344278389999999</v>
      </c>
      <c r="X167" s="10">
        <f t="shared" si="5"/>
        <v>10800</v>
      </c>
    </row>
    <row r="168" spans="1:24" x14ac:dyDescent="0.3">
      <c r="A168">
        <v>131990019</v>
      </c>
      <c r="B168">
        <v>7.6875</v>
      </c>
      <c r="C168">
        <v>2</v>
      </c>
      <c r="D168" t="s">
        <v>102</v>
      </c>
      <c r="E168" t="s">
        <v>47</v>
      </c>
      <c r="F168">
        <v>131990019</v>
      </c>
      <c r="G168" t="s">
        <v>224</v>
      </c>
      <c r="H168">
        <v>2476</v>
      </c>
      <c r="I168">
        <v>644</v>
      </c>
      <c r="J168">
        <v>322</v>
      </c>
      <c r="K168">
        <v>8</v>
      </c>
      <c r="L168">
        <v>76.40091511</v>
      </c>
      <c r="M168">
        <v>-15.799177269999999</v>
      </c>
      <c r="N168" s="10">
        <v>198000</v>
      </c>
      <c r="O168" s="10">
        <v>-23400</v>
      </c>
      <c r="P168" s="10">
        <v>3070</v>
      </c>
      <c r="Q168">
        <v>0</v>
      </c>
      <c r="R168">
        <v>0</v>
      </c>
      <c r="S168" t="s">
        <v>975</v>
      </c>
      <c r="T168" t="s">
        <v>49</v>
      </c>
      <c r="U168" t="s">
        <v>976</v>
      </c>
      <c r="W168">
        <f t="shared" si="4"/>
        <v>15.799177269999999</v>
      </c>
      <c r="X168" s="10">
        <f t="shared" si="5"/>
        <v>23400</v>
      </c>
    </row>
    <row r="169" spans="1:24" x14ac:dyDescent="0.3">
      <c r="A169">
        <v>131990025</v>
      </c>
      <c r="B169">
        <v>7.6</v>
      </c>
      <c r="C169">
        <v>2</v>
      </c>
      <c r="D169" t="s">
        <v>60</v>
      </c>
      <c r="E169" t="s">
        <v>47</v>
      </c>
      <c r="F169">
        <v>131990025</v>
      </c>
      <c r="G169" t="s">
        <v>225</v>
      </c>
      <c r="H169">
        <v>1789</v>
      </c>
      <c r="I169">
        <v>471</v>
      </c>
      <c r="J169">
        <v>236</v>
      </c>
      <c r="K169">
        <v>6</v>
      </c>
      <c r="L169">
        <v>89.997141040000002</v>
      </c>
      <c r="M169">
        <v>-17.701158979999999</v>
      </c>
      <c r="N169" s="10">
        <v>171000</v>
      </c>
      <c r="O169" s="10">
        <v>-15100</v>
      </c>
      <c r="P169" s="10">
        <v>2870</v>
      </c>
      <c r="Q169">
        <v>0</v>
      </c>
      <c r="R169">
        <v>0</v>
      </c>
      <c r="S169" t="s">
        <v>975</v>
      </c>
      <c r="T169" t="s">
        <v>49</v>
      </c>
      <c r="U169" t="s">
        <v>976</v>
      </c>
      <c r="W169">
        <f t="shared" si="4"/>
        <v>17.701158979999999</v>
      </c>
      <c r="X169" s="10">
        <f t="shared" si="5"/>
        <v>15100</v>
      </c>
    </row>
    <row r="170" spans="1:24" x14ac:dyDescent="0.3">
      <c r="A170">
        <v>131990045</v>
      </c>
      <c r="B170">
        <v>7.2</v>
      </c>
      <c r="C170">
        <v>2</v>
      </c>
      <c r="D170" t="s">
        <v>60</v>
      </c>
      <c r="E170" t="s">
        <v>51</v>
      </c>
      <c r="F170">
        <v>131990045</v>
      </c>
      <c r="G170" t="s">
        <v>226</v>
      </c>
      <c r="H170">
        <v>765</v>
      </c>
      <c r="I170">
        <v>212</v>
      </c>
      <c r="J170">
        <v>106</v>
      </c>
      <c r="K170">
        <v>3</v>
      </c>
      <c r="L170">
        <v>24.90088737</v>
      </c>
      <c r="M170">
        <v>-7.1770131670000001</v>
      </c>
      <c r="N170" s="10">
        <v>50600</v>
      </c>
      <c r="O170" s="10">
        <v>-5090</v>
      </c>
      <c r="P170" s="10">
        <v>1290</v>
      </c>
      <c r="Q170">
        <v>0</v>
      </c>
      <c r="R170">
        <v>0</v>
      </c>
      <c r="S170" t="s">
        <v>975</v>
      </c>
      <c r="T170" t="s">
        <v>49</v>
      </c>
      <c r="U170" t="s">
        <v>976</v>
      </c>
      <c r="W170">
        <f t="shared" si="4"/>
        <v>7.1770131670000001</v>
      </c>
      <c r="X170" s="10">
        <f t="shared" si="5"/>
        <v>5090</v>
      </c>
    </row>
    <row r="171" spans="1:24" x14ac:dyDescent="0.3">
      <c r="A171">
        <v>131990052</v>
      </c>
      <c r="B171">
        <v>8.1999999999999993</v>
      </c>
      <c r="C171">
        <v>2</v>
      </c>
      <c r="D171" t="s">
        <v>54</v>
      </c>
      <c r="E171" t="s">
        <v>47</v>
      </c>
      <c r="F171">
        <v>131990052</v>
      </c>
      <c r="G171" t="s">
        <v>227</v>
      </c>
      <c r="H171">
        <v>935</v>
      </c>
      <c r="I171">
        <v>228</v>
      </c>
      <c r="J171">
        <v>114</v>
      </c>
      <c r="K171">
        <v>3</v>
      </c>
      <c r="L171">
        <v>37.317068419999998</v>
      </c>
      <c r="M171">
        <v>-6.4747869089999996</v>
      </c>
      <c r="N171" s="10">
        <v>87000</v>
      </c>
      <c r="O171" s="10">
        <v>-9020</v>
      </c>
      <c r="P171" s="10">
        <v>1090</v>
      </c>
      <c r="Q171">
        <v>0</v>
      </c>
      <c r="R171">
        <v>0</v>
      </c>
      <c r="S171" t="s">
        <v>975</v>
      </c>
      <c r="T171" t="s">
        <v>49</v>
      </c>
      <c r="U171" t="s">
        <v>976</v>
      </c>
      <c r="W171">
        <f t="shared" si="4"/>
        <v>6.4747869089999996</v>
      </c>
      <c r="X171" s="10">
        <f t="shared" si="5"/>
        <v>9020</v>
      </c>
    </row>
    <row r="172" spans="1:24" x14ac:dyDescent="0.3">
      <c r="A172">
        <v>131990055</v>
      </c>
      <c r="B172">
        <v>5.8</v>
      </c>
      <c r="C172">
        <v>1</v>
      </c>
      <c r="D172" t="s">
        <v>54</v>
      </c>
      <c r="E172" t="s">
        <v>47</v>
      </c>
      <c r="F172">
        <v>131990055</v>
      </c>
      <c r="G172" t="s">
        <v>228</v>
      </c>
      <c r="H172">
        <v>814</v>
      </c>
      <c r="I172">
        <v>140</v>
      </c>
      <c r="J172">
        <v>140</v>
      </c>
      <c r="K172">
        <v>2</v>
      </c>
      <c r="L172">
        <v>47.398719980000003</v>
      </c>
      <c r="M172">
        <v>-6.7049104870000003</v>
      </c>
      <c r="N172" s="10">
        <v>94200</v>
      </c>
      <c r="O172" s="10">
        <v>-8510</v>
      </c>
      <c r="P172" s="10">
        <v>668</v>
      </c>
      <c r="Q172">
        <v>0</v>
      </c>
      <c r="R172">
        <v>0</v>
      </c>
      <c r="S172" t="s">
        <v>975</v>
      </c>
      <c r="T172" t="s">
        <v>49</v>
      </c>
      <c r="U172" t="s">
        <v>976</v>
      </c>
      <c r="W172">
        <f t="shared" si="4"/>
        <v>6.7049104870000003</v>
      </c>
      <c r="X172" s="10">
        <f t="shared" si="5"/>
        <v>8510</v>
      </c>
    </row>
    <row r="173" spans="1:24" x14ac:dyDescent="0.3">
      <c r="A173">
        <v>131990083</v>
      </c>
      <c r="B173">
        <v>5.75</v>
      </c>
      <c r="C173">
        <v>1</v>
      </c>
      <c r="D173" t="s">
        <v>54</v>
      </c>
      <c r="E173" t="s">
        <v>51</v>
      </c>
      <c r="F173">
        <v>131990083</v>
      </c>
      <c r="G173" t="s">
        <v>229</v>
      </c>
      <c r="H173">
        <v>580</v>
      </c>
      <c r="I173">
        <v>101</v>
      </c>
      <c r="J173">
        <v>101</v>
      </c>
      <c r="K173">
        <v>1</v>
      </c>
      <c r="L173">
        <v>22.66687413</v>
      </c>
      <c r="M173">
        <v>-4.7793043659999999</v>
      </c>
      <c r="N173" s="10">
        <v>48400</v>
      </c>
      <c r="O173" s="10">
        <v>-5460</v>
      </c>
      <c r="P173" s="10">
        <v>480</v>
      </c>
      <c r="Q173">
        <v>0</v>
      </c>
      <c r="R173">
        <v>0</v>
      </c>
      <c r="S173" t="s">
        <v>975</v>
      </c>
      <c r="T173" t="s">
        <v>49</v>
      </c>
      <c r="U173" t="s">
        <v>976</v>
      </c>
      <c r="W173">
        <f t="shared" si="4"/>
        <v>4.7793043659999999</v>
      </c>
      <c r="X173" s="10">
        <f t="shared" si="5"/>
        <v>5460</v>
      </c>
    </row>
    <row r="174" spans="1:24" x14ac:dyDescent="0.3">
      <c r="A174">
        <v>131990105</v>
      </c>
      <c r="B174">
        <v>10.4</v>
      </c>
      <c r="C174">
        <v>2</v>
      </c>
      <c r="D174" t="s">
        <v>60</v>
      </c>
      <c r="E174" t="s">
        <v>47</v>
      </c>
      <c r="F174">
        <v>131990105</v>
      </c>
      <c r="G174" t="s">
        <v>230</v>
      </c>
      <c r="H174">
        <v>1404</v>
      </c>
      <c r="I174">
        <v>270</v>
      </c>
      <c r="J174">
        <v>135</v>
      </c>
      <c r="K174">
        <v>4</v>
      </c>
      <c r="L174">
        <v>44.679634440000001</v>
      </c>
      <c r="M174">
        <v>-10.26154247</v>
      </c>
      <c r="N174" s="10">
        <v>90700</v>
      </c>
      <c r="O174" s="10">
        <v>-8670</v>
      </c>
      <c r="P174" s="10">
        <v>1650</v>
      </c>
      <c r="Q174">
        <v>0</v>
      </c>
      <c r="R174">
        <v>0</v>
      </c>
      <c r="S174" t="s">
        <v>975</v>
      </c>
      <c r="T174" t="s">
        <v>49</v>
      </c>
      <c r="U174" t="s">
        <v>976</v>
      </c>
      <c r="W174">
        <f t="shared" si="4"/>
        <v>10.26154247</v>
      </c>
      <c r="X174" s="10">
        <f t="shared" si="5"/>
        <v>8670</v>
      </c>
    </row>
    <row r="175" spans="1:24" x14ac:dyDescent="0.3">
      <c r="A175">
        <v>131990111</v>
      </c>
      <c r="B175">
        <v>8.7750000000000004</v>
      </c>
      <c r="C175">
        <v>2</v>
      </c>
      <c r="D175" t="s">
        <v>60</v>
      </c>
      <c r="E175" t="s">
        <v>47</v>
      </c>
      <c r="F175">
        <v>131990111</v>
      </c>
      <c r="G175" t="s">
        <v>231</v>
      </c>
      <c r="H175">
        <v>1921</v>
      </c>
      <c r="I175">
        <v>438</v>
      </c>
      <c r="J175">
        <v>219</v>
      </c>
      <c r="K175">
        <v>6</v>
      </c>
      <c r="L175">
        <v>67.676511730000001</v>
      </c>
      <c r="M175">
        <v>-14.979189590000001</v>
      </c>
      <c r="N175" s="10">
        <v>136000</v>
      </c>
      <c r="O175" s="10">
        <v>-12700</v>
      </c>
      <c r="P175" s="10">
        <v>2670</v>
      </c>
      <c r="Q175">
        <v>0</v>
      </c>
      <c r="R175">
        <v>0</v>
      </c>
      <c r="S175" t="s">
        <v>975</v>
      </c>
      <c r="T175" t="s">
        <v>49</v>
      </c>
      <c r="U175" t="s">
        <v>976</v>
      </c>
      <c r="W175">
        <f t="shared" si="4"/>
        <v>14.979189590000001</v>
      </c>
      <c r="X175" s="10">
        <f t="shared" si="5"/>
        <v>12700</v>
      </c>
    </row>
    <row r="176" spans="1:24" x14ac:dyDescent="0.3">
      <c r="A176">
        <v>131990138</v>
      </c>
      <c r="B176">
        <v>7.233333333</v>
      </c>
      <c r="C176">
        <v>2</v>
      </c>
      <c r="D176" t="s">
        <v>54</v>
      </c>
      <c r="E176" t="s">
        <v>80</v>
      </c>
      <c r="F176">
        <v>131990138</v>
      </c>
      <c r="G176" t="s">
        <v>232</v>
      </c>
      <c r="H176">
        <v>691</v>
      </c>
      <c r="I176">
        <v>191</v>
      </c>
      <c r="J176">
        <v>96</v>
      </c>
      <c r="K176">
        <v>2</v>
      </c>
      <c r="L176">
        <v>19.043304119999998</v>
      </c>
      <c r="M176">
        <v>-4.5362351900000002</v>
      </c>
      <c r="N176" s="10">
        <v>52500</v>
      </c>
      <c r="O176" s="10">
        <v>-6390</v>
      </c>
      <c r="P176" s="10">
        <v>910</v>
      </c>
      <c r="Q176">
        <v>0</v>
      </c>
      <c r="R176">
        <v>0</v>
      </c>
      <c r="S176" t="s">
        <v>975</v>
      </c>
      <c r="T176" t="s">
        <v>49</v>
      </c>
      <c r="U176" t="s">
        <v>976</v>
      </c>
      <c r="W176">
        <f t="shared" si="4"/>
        <v>4.5362351900000002</v>
      </c>
      <c r="X176" s="10">
        <f t="shared" si="5"/>
        <v>6390</v>
      </c>
    </row>
    <row r="177" spans="1:24" x14ac:dyDescent="0.3">
      <c r="A177">
        <v>131990155</v>
      </c>
      <c r="B177">
        <v>4.2</v>
      </c>
      <c r="C177">
        <v>1</v>
      </c>
      <c r="D177" t="s">
        <v>46</v>
      </c>
      <c r="E177" t="s">
        <v>51</v>
      </c>
      <c r="F177">
        <v>131990155</v>
      </c>
      <c r="G177" t="s">
        <v>233</v>
      </c>
      <c r="H177">
        <v>712</v>
      </c>
      <c r="I177">
        <v>169</v>
      </c>
      <c r="J177">
        <v>169</v>
      </c>
      <c r="K177">
        <v>2</v>
      </c>
      <c r="L177">
        <v>28.111631190000001</v>
      </c>
      <c r="M177">
        <v>-5.7400073320000002</v>
      </c>
      <c r="N177" s="10">
        <v>64400</v>
      </c>
      <c r="O177" s="10">
        <v>-6990</v>
      </c>
      <c r="P177" s="10">
        <v>806</v>
      </c>
      <c r="Q177">
        <v>0</v>
      </c>
      <c r="R177">
        <v>0</v>
      </c>
      <c r="S177" t="s">
        <v>975</v>
      </c>
      <c r="T177" t="s">
        <v>49</v>
      </c>
      <c r="U177" t="s">
        <v>976</v>
      </c>
      <c r="W177">
        <f t="shared" si="4"/>
        <v>5.7400073320000002</v>
      </c>
      <c r="X177" s="10">
        <f t="shared" si="5"/>
        <v>6990</v>
      </c>
    </row>
    <row r="178" spans="1:24" x14ac:dyDescent="0.3">
      <c r="A178">
        <v>131990157</v>
      </c>
      <c r="B178">
        <v>10.45</v>
      </c>
      <c r="C178">
        <v>2</v>
      </c>
      <c r="D178" t="s">
        <v>60</v>
      </c>
      <c r="E178" t="s">
        <v>47</v>
      </c>
      <c r="F178">
        <v>131990157</v>
      </c>
      <c r="G178" t="s">
        <v>234</v>
      </c>
      <c r="H178">
        <v>1126</v>
      </c>
      <c r="I178">
        <v>216</v>
      </c>
      <c r="J178">
        <v>108</v>
      </c>
      <c r="K178">
        <v>3</v>
      </c>
      <c r="L178">
        <v>58.84834721</v>
      </c>
      <c r="M178">
        <v>-11.055184840000001</v>
      </c>
      <c r="N178" s="10">
        <v>108000</v>
      </c>
      <c r="O178" s="10">
        <v>-9550</v>
      </c>
      <c r="P178" s="10">
        <v>1310</v>
      </c>
      <c r="Q178">
        <v>0</v>
      </c>
      <c r="R178">
        <v>0</v>
      </c>
      <c r="S178" t="s">
        <v>975</v>
      </c>
      <c r="T178" t="s">
        <v>49</v>
      </c>
      <c r="U178" t="s">
        <v>976</v>
      </c>
      <c r="W178">
        <f t="shared" si="4"/>
        <v>11.055184840000001</v>
      </c>
      <c r="X178" s="10">
        <f t="shared" si="5"/>
        <v>9550</v>
      </c>
    </row>
    <row r="179" spans="1:24" x14ac:dyDescent="0.3">
      <c r="A179">
        <v>131990166</v>
      </c>
      <c r="B179">
        <v>5.3</v>
      </c>
      <c r="C179">
        <v>1</v>
      </c>
      <c r="D179" t="s">
        <v>60</v>
      </c>
      <c r="E179" t="s">
        <v>51</v>
      </c>
      <c r="F179">
        <v>131990166</v>
      </c>
      <c r="G179" t="s">
        <v>235</v>
      </c>
      <c r="H179">
        <v>1031</v>
      </c>
      <c r="I179">
        <v>194</v>
      </c>
      <c r="J179">
        <v>194</v>
      </c>
      <c r="K179">
        <v>3</v>
      </c>
      <c r="L179">
        <v>47.039683170000004</v>
      </c>
      <c r="M179">
        <v>-10.6734563</v>
      </c>
      <c r="N179" s="10">
        <v>88700</v>
      </c>
      <c r="O179" s="10">
        <v>-8230</v>
      </c>
      <c r="P179" s="10">
        <v>1190</v>
      </c>
      <c r="Q179">
        <v>0</v>
      </c>
      <c r="R179">
        <v>0</v>
      </c>
      <c r="S179" t="s">
        <v>975</v>
      </c>
      <c r="T179" t="s">
        <v>49</v>
      </c>
      <c r="U179" t="s">
        <v>976</v>
      </c>
      <c r="W179">
        <f t="shared" si="4"/>
        <v>10.6734563</v>
      </c>
      <c r="X179" s="10">
        <f t="shared" si="5"/>
        <v>8230</v>
      </c>
    </row>
    <row r="180" spans="1:24" x14ac:dyDescent="0.3">
      <c r="A180">
        <v>131990202</v>
      </c>
      <c r="B180">
        <v>5.35</v>
      </c>
      <c r="C180">
        <v>1</v>
      </c>
      <c r="D180" t="s">
        <v>60</v>
      </c>
      <c r="E180" t="s">
        <v>47</v>
      </c>
      <c r="F180">
        <v>131990202</v>
      </c>
      <c r="G180" t="s">
        <v>236</v>
      </c>
      <c r="H180">
        <v>613</v>
      </c>
      <c r="I180">
        <v>115</v>
      </c>
      <c r="J180">
        <v>115</v>
      </c>
      <c r="K180">
        <v>1</v>
      </c>
      <c r="L180">
        <v>35.829866260000003</v>
      </c>
      <c r="M180">
        <v>-5.757807187</v>
      </c>
      <c r="N180" s="10">
        <v>66100</v>
      </c>
      <c r="O180" s="10">
        <v>-5470</v>
      </c>
      <c r="P180" s="10">
        <v>698</v>
      </c>
      <c r="Q180">
        <v>0</v>
      </c>
      <c r="R180">
        <v>0</v>
      </c>
      <c r="S180" t="s">
        <v>975</v>
      </c>
      <c r="T180" t="s">
        <v>49</v>
      </c>
      <c r="U180" t="s">
        <v>976</v>
      </c>
      <c r="W180">
        <f t="shared" si="4"/>
        <v>5.757807187</v>
      </c>
      <c r="X180" s="10">
        <f t="shared" si="5"/>
        <v>5470</v>
      </c>
    </row>
    <row r="181" spans="1:24" x14ac:dyDescent="0.3">
      <c r="A181">
        <v>131990245</v>
      </c>
      <c r="B181">
        <v>8.4666666670000001</v>
      </c>
      <c r="C181">
        <v>2</v>
      </c>
      <c r="D181" t="s">
        <v>60</v>
      </c>
      <c r="E181" t="s">
        <v>55</v>
      </c>
      <c r="F181">
        <v>131990245</v>
      </c>
      <c r="G181" t="s">
        <v>237</v>
      </c>
      <c r="H181">
        <v>1477</v>
      </c>
      <c r="I181">
        <v>349</v>
      </c>
      <c r="J181">
        <v>175</v>
      </c>
      <c r="K181">
        <v>5</v>
      </c>
      <c r="L181">
        <v>44.991448560000002</v>
      </c>
      <c r="M181">
        <v>-13.564392590000001</v>
      </c>
      <c r="N181" s="10">
        <v>90500</v>
      </c>
      <c r="O181" s="10">
        <v>-9550</v>
      </c>
      <c r="P181" s="10">
        <v>2130</v>
      </c>
      <c r="Q181">
        <v>0</v>
      </c>
      <c r="R181">
        <v>0</v>
      </c>
      <c r="S181" t="s">
        <v>975</v>
      </c>
      <c r="T181" t="s">
        <v>49</v>
      </c>
      <c r="U181" t="s">
        <v>976</v>
      </c>
      <c r="W181">
        <f t="shared" si="4"/>
        <v>13.564392590000001</v>
      </c>
      <c r="X181" s="10">
        <f t="shared" si="5"/>
        <v>9550</v>
      </c>
    </row>
    <row r="182" spans="1:24" x14ac:dyDescent="0.3">
      <c r="A182">
        <v>131990249</v>
      </c>
      <c r="B182">
        <v>10.266666669999999</v>
      </c>
      <c r="C182">
        <v>2</v>
      </c>
      <c r="D182" t="s">
        <v>60</v>
      </c>
      <c r="E182" t="s">
        <v>51</v>
      </c>
      <c r="F182">
        <v>131990249</v>
      </c>
      <c r="G182" t="s">
        <v>238</v>
      </c>
      <c r="H182">
        <v>2826</v>
      </c>
      <c r="I182">
        <v>550</v>
      </c>
      <c r="J182">
        <v>275</v>
      </c>
      <c r="K182">
        <v>7</v>
      </c>
      <c r="L182">
        <v>71.751808819999994</v>
      </c>
      <c r="M182">
        <v>-20.651690890000001</v>
      </c>
      <c r="N182" s="10">
        <v>150000</v>
      </c>
      <c r="O182" s="10">
        <v>-15600</v>
      </c>
      <c r="P182" s="10">
        <v>3360</v>
      </c>
      <c r="Q182">
        <v>0</v>
      </c>
      <c r="R182">
        <v>0</v>
      </c>
      <c r="S182" t="s">
        <v>975</v>
      </c>
      <c r="T182" t="s">
        <v>49</v>
      </c>
      <c r="U182" t="s">
        <v>976</v>
      </c>
      <c r="W182">
        <f t="shared" si="4"/>
        <v>20.651690890000001</v>
      </c>
      <c r="X182" s="10">
        <f t="shared" si="5"/>
        <v>15600</v>
      </c>
    </row>
    <row r="183" spans="1:24" x14ac:dyDescent="0.3">
      <c r="A183">
        <v>131990267</v>
      </c>
      <c r="B183">
        <v>10.4</v>
      </c>
      <c r="C183">
        <v>2</v>
      </c>
      <c r="D183" t="s">
        <v>54</v>
      </c>
      <c r="E183" t="s">
        <v>47</v>
      </c>
      <c r="F183">
        <v>131990267</v>
      </c>
      <c r="G183" t="s">
        <v>239</v>
      </c>
      <c r="H183">
        <v>3556</v>
      </c>
      <c r="I183">
        <v>684</v>
      </c>
      <c r="J183">
        <v>342</v>
      </c>
      <c r="K183">
        <v>9</v>
      </c>
      <c r="L183">
        <v>96.58556892</v>
      </c>
      <c r="M183">
        <v>-19.76795663</v>
      </c>
      <c r="N183" s="10">
        <v>236000</v>
      </c>
      <c r="O183" s="10">
        <v>-26200</v>
      </c>
      <c r="P183" s="10">
        <v>3250</v>
      </c>
      <c r="Q183">
        <v>0</v>
      </c>
      <c r="R183">
        <v>0</v>
      </c>
      <c r="S183" t="s">
        <v>975</v>
      </c>
      <c r="T183" t="s">
        <v>49</v>
      </c>
      <c r="U183" t="s">
        <v>976</v>
      </c>
      <c r="W183">
        <f t="shared" si="4"/>
        <v>19.76795663</v>
      </c>
      <c r="X183" s="10">
        <f t="shared" si="5"/>
        <v>26200</v>
      </c>
    </row>
    <row r="184" spans="1:24" x14ac:dyDescent="0.3">
      <c r="A184">
        <v>131990285</v>
      </c>
      <c r="B184">
        <v>4.733333333</v>
      </c>
      <c r="C184">
        <v>1</v>
      </c>
      <c r="D184" t="s">
        <v>60</v>
      </c>
      <c r="E184" t="s">
        <v>80</v>
      </c>
      <c r="F184">
        <v>131990285</v>
      </c>
      <c r="G184" t="s">
        <v>240</v>
      </c>
      <c r="H184">
        <v>368</v>
      </c>
      <c r="I184">
        <v>78</v>
      </c>
      <c r="J184">
        <v>78</v>
      </c>
      <c r="K184">
        <v>1</v>
      </c>
      <c r="L184">
        <v>21.13603724</v>
      </c>
      <c r="M184">
        <v>-4.033541788</v>
      </c>
      <c r="N184" s="10">
        <v>39400</v>
      </c>
      <c r="O184" s="10">
        <v>-3670</v>
      </c>
      <c r="P184" s="10">
        <v>474</v>
      </c>
      <c r="Q184">
        <v>0</v>
      </c>
      <c r="R184">
        <v>0</v>
      </c>
      <c r="S184" t="s">
        <v>975</v>
      </c>
      <c r="T184" t="s">
        <v>49</v>
      </c>
      <c r="U184" t="s">
        <v>976</v>
      </c>
      <c r="W184">
        <f t="shared" si="4"/>
        <v>4.033541788</v>
      </c>
      <c r="X184" s="10">
        <f t="shared" si="5"/>
        <v>3670</v>
      </c>
    </row>
    <row r="185" spans="1:24" x14ac:dyDescent="0.3">
      <c r="A185">
        <v>131990289</v>
      </c>
      <c r="B185">
        <v>16.45</v>
      </c>
      <c r="C185">
        <v>4</v>
      </c>
      <c r="D185" t="s">
        <v>60</v>
      </c>
      <c r="E185" t="s">
        <v>51</v>
      </c>
      <c r="F185">
        <v>131990289</v>
      </c>
      <c r="G185" t="s">
        <v>241</v>
      </c>
      <c r="H185">
        <v>6576</v>
      </c>
      <c r="I185">
        <v>1599</v>
      </c>
      <c r="J185">
        <v>400</v>
      </c>
      <c r="K185">
        <v>21</v>
      </c>
      <c r="L185">
        <v>156.2604044</v>
      </c>
      <c r="M185">
        <v>-54.524657410000003</v>
      </c>
      <c r="N185" s="10">
        <v>329000</v>
      </c>
      <c r="O185" s="10">
        <v>-37900</v>
      </c>
      <c r="P185" s="10">
        <v>9750</v>
      </c>
      <c r="Q185">
        <v>0</v>
      </c>
      <c r="R185">
        <v>0</v>
      </c>
      <c r="S185" t="s">
        <v>975</v>
      </c>
      <c r="T185" t="s">
        <v>49</v>
      </c>
      <c r="U185" t="s">
        <v>976</v>
      </c>
      <c r="W185">
        <f t="shared" si="4"/>
        <v>54.524657410000003</v>
      </c>
      <c r="X185" s="10">
        <f t="shared" si="5"/>
        <v>37900</v>
      </c>
    </row>
    <row r="186" spans="1:24" x14ac:dyDescent="0.3">
      <c r="A186">
        <v>131990299</v>
      </c>
      <c r="B186">
        <v>9.65</v>
      </c>
      <c r="C186">
        <v>2</v>
      </c>
      <c r="D186" t="s">
        <v>60</v>
      </c>
      <c r="E186" t="s">
        <v>47</v>
      </c>
      <c r="F186">
        <v>131990299</v>
      </c>
      <c r="G186" t="s">
        <v>242</v>
      </c>
      <c r="H186">
        <v>1588</v>
      </c>
      <c r="I186">
        <v>329</v>
      </c>
      <c r="J186">
        <v>165</v>
      </c>
      <c r="K186">
        <v>4</v>
      </c>
      <c r="L186">
        <v>63.834946309999999</v>
      </c>
      <c r="M186">
        <v>-13.327700589999999</v>
      </c>
      <c r="N186" s="10">
        <v>123000</v>
      </c>
      <c r="O186" s="10">
        <v>-11000</v>
      </c>
      <c r="P186" s="10">
        <v>2010</v>
      </c>
      <c r="Q186">
        <v>0</v>
      </c>
      <c r="R186">
        <v>0</v>
      </c>
      <c r="S186" t="s">
        <v>975</v>
      </c>
      <c r="T186" t="s">
        <v>49</v>
      </c>
      <c r="U186" t="s">
        <v>976</v>
      </c>
      <c r="W186">
        <f t="shared" si="4"/>
        <v>13.327700589999999</v>
      </c>
      <c r="X186" s="10">
        <f t="shared" si="5"/>
        <v>11000</v>
      </c>
    </row>
    <row r="187" spans="1:24" x14ac:dyDescent="0.3">
      <c r="A187">
        <v>131990303</v>
      </c>
      <c r="B187">
        <v>11.4</v>
      </c>
      <c r="C187">
        <v>3</v>
      </c>
      <c r="D187" t="s">
        <v>60</v>
      </c>
      <c r="E187" t="s">
        <v>51</v>
      </c>
      <c r="F187">
        <v>131990303</v>
      </c>
      <c r="G187" t="s">
        <v>243</v>
      </c>
      <c r="H187">
        <v>1966</v>
      </c>
      <c r="I187">
        <v>517</v>
      </c>
      <c r="J187">
        <v>172</v>
      </c>
      <c r="K187">
        <v>7</v>
      </c>
      <c r="L187">
        <v>53.789048100000002</v>
      </c>
      <c r="M187">
        <v>-16.963617469999999</v>
      </c>
      <c r="N187" s="10">
        <v>110000</v>
      </c>
      <c r="O187" s="10">
        <v>-12100</v>
      </c>
      <c r="P187" s="10">
        <v>3150</v>
      </c>
      <c r="Q187">
        <v>0</v>
      </c>
      <c r="R187">
        <v>0</v>
      </c>
      <c r="S187" t="s">
        <v>975</v>
      </c>
      <c r="T187" t="s">
        <v>49</v>
      </c>
      <c r="U187" t="s">
        <v>976</v>
      </c>
      <c r="W187">
        <f t="shared" si="4"/>
        <v>16.963617469999999</v>
      </c>
      <c r="X187" s="10">
        <f t="shared" si="5"/>
        <v>12100</v>
      </c>
    </row>
    <row r="188" spans="1:24" x14ac:dyDescent="0.3">
      <c r="A188">
        <v>131990305</v>
      </c>
      <c r="B188">
        <v>9.1</v>
      </c>
      <c r="C188">
        <v>2</v>
      </c>
      <c r="D188" t="s">
        <v>46</v>
      </c>
      <c r="E188" t="s">
        <v>51</v>
      </c>
      <c r="F188">
        <v>131990305</v>
      </c>
      <c r="G188" t="s">
        <v>244</v>
      </c>
      <c r="H188">
        <v>1045</v>
      </c>
      <c r="I188">
        <v>230</v>
      </c>
      <c r="J188">
        <v>115</v>
      </c>
      <c r="K188">
        <v>3</v>
      </c>
      <c r="L188">
        <v>22.14816909</v>
      </c>
      <c r="M188">
        <v>-6.3045839450000001</v>
      </c>
      <c r="N188" s="10">
        <v>61100</v>
      </c>
      <c r="O188" s="10">
        <v>-7750</v>
      </c>
      <c r="P188" s="10">
        <v>1090</v>
      </c>
      <c r="Q188">
        <v>0</v>
      </c>
      <c r="R188">
        <v>0</v>
      </c>
      <c r="S188" t="s">
        <v>975</v>
      </c>
      <c r="T188" t="s">
        <v>49</v>
      </c>
      <c r="U188" t="s">
        <v>976</v>
      </c>
      <c r="W188">
        <f t="shared" si="4"/>
        <v>6.3045839450000001</v>
      </c>
      <c r="X188" s="10">
        <f t="shared" si="5"/>
        <v>7750</v>
      </c>
    </row>
    <row r="189" spans="1:24" x14ac:dyDescent="0.3">
      <c r="A189">
        <v>131990313</v>
      </c>
      <c r="B189">
        <v>7.04</v>
      </c>
      <c r="C189">
        <v>2</v>
      </c>
      <c r="D189" t="s">
        <v>102</v>
      </c>
      <c r="E189" t="s">
        <v>47</v>
      </c>
      <c r="F189">
        <v>131990313</v>
      </c>
      <c r="G189" t="s">
        <v>245</v>
      </c>
      <c r="H189">
        <v>881</v>
      </c>
      <c r="I189">
        <v>250</v>
      </c>
      <c r="J189">
        <v>125</v>
      </c>
      <c r="K189">
        <v>3</v>
      </c>
      <c r="L189">
        <v>24.563766820000001</v>
      </c>
      <c r="M189">
        <v>-5.3884755650000002</v>
      </c>
      <c r="N189" s="10">
        <v>68800</v>
      </c>
      <c r="O189" s="10">
        <v>-8420</v>
      </c>
      <c r="P189" s="10">
        <v>1190</v>
      </c>
      <c r="Q189">
        <v>0</v>
      </c>
      <c r="R189">
        <v>0</v>
      </c>
      <c r="S189" t="s">
        <v>975</v>
      </c>
      <c r="T189" t="s">
        <v>49</v>
      </c>
      <c r="U189" t="s">
        <v>976</v>
      </c>
      <c r="W189">
        <f t="shared" si="4"/>
        <v>5.3884755650000002</v>
      </c>
      <c r="X189" s="10">
        <f t="shared" si="5"/>
        <v>8420</v>
      </c>
    </row>
    <row r="190" spans="1:24" x14ac:dyDescent="0.3">
      <c r="A190">
        <v>131990331</v>
      </c>
      <c r="B190">
        <v>5.4</v>
      </c>
      <c r="C190">
        <v>1</v>
      </c>
      <c r="D190" t="s">
        <v>60</v>
      </c>
      <c r="E190" t="s">
        <v>47</v>
      </c>
      <c r="F190">
        <v>131990331</v>
      </c>
      <c r="G190" t="s">
        <v>246</v>
      </c>
      <c r="H190">
        <v>1108</v>
      </c>
      <c r="I190">
        <v>205</v>
      </c>
      <c r="J190">
        <v>205</v>
      </c>
      <c r="K190">
        <v>3</v>
      </c>
      <c r="L190">
        <v>59.17361442</v>
      </c>
      <c r="M190">
        <v>-10.135316059999999</v>
      </c>
      <c r="N190" s="10">
        <v>110000</v>
      </c>
      <c r="O190" s="10">
        <v>-9630</v>
      </c>
      <c r="P190" s="10">
        <v>1250</v>
      </c>
      <c r="Q190">
        <v>0</v>
      </c>
      <c r="R190">
        <v>0</v>
      </c>
      <c r="S190" t="s">
        <v>975</v>
      </c>
      <c r="T190" t="s">
        <v>49</v>
      </c>
      <c r="U190" t="s">
        <v>976</v>
      </c>
      <c r="W190">
        <f t="shared" si="4"/>
        <v>10.135316059999999</v>
      </c>
      <c r="X190" s="10">
        <f t="shared" si="5"/>
        <v>9630</v>
      </c>
    </row>
    <row r="191" spans="1:24" x14ac:dyDescent="0.3">
      <c r="A191">
        <v>131990350</v>
      </c>
      <c r="B191">
        <v>5.0333333329999999</v>
      </c>
      <c r="C191">
        <v>1</v>
      </c>
      <c r="D191" t="s">
        <v>60</v>
      </c>
      <c r="E191" t="s">
        <v>47</v>
      </c>
      <c r="F191">
        <v>131990350</v>
      </c>
      <c r="G191" t="s">
        <v>247</v>
      </c>
      <c r="H191">
        <v>2571</v>
      </c>
      <c r="I191">
        <v>511</v>
      </c>
      <c r="J191">
        <v>511</v>
      </c>
      <c r="K191">
        <v>7</v>
      </c>
      <c r="L191">
        <v>109.5296209</v>
      </c>
      <c r="M191">
        <v>-20.71684595</v>
      </c>
      <c r="N191" s="10">
        <v>212000</v>
      </c>
      <c r="O191" s="10">
        <v>-19000</v>
      </c>
      <c r="P191" s="10">
        <v>3110</v>
      </c>
      <c r="Q191">
        <v>0</v>
      </c>
      <c r="R191">
        <v>0</v>
      </c>
      <c r="S191" t="s">
        <v>975</v>
      </c>
      <c r="T191" t="s">
        <v>49</v>
      </c>
      <c r="U191" t="s">
        <v>976</v>
      </c>
      <c r="W191">
        <f t="shared" si="4"/>
        <v>20.71684595</v>
      </c>
      <c r="X191" s="10">
        <f t="shared" si="5"/>
        <v>19000</v>
      </c>
    </row>
    <row r="192" spans="1:24" x14ac:dyDescent="0.3">
      <c r="A192">
        <v>131990365</v>
      </c>
      <c r="B192">
        <v>4.3499999999999996</v>
      </c>
      <c r="C192">
        <v>1</v>
      </c>
      <c r="D192" t="s">
        <v>60</v>
      </c>
      <c r="E192" t="s">
        <v>47</v>
      </c>
      <c r="F192">
        <v>131990365</v>
      </c>
      <c r="G192" t="s">
        <v>248</v>
      </c>
      <c r="H192">
        <v>362</v>
      </c>
      <c r="I192">
        <v>83</v>
      </c>
      <c r="J192">
        <v>83</v>
      </c>
      <c r="K192">
        <v>1</v>
      </c>
      <c r="L192">
        <v>30.319785849999999</v>
      </c>
      <c r="M192">
        <v>-4.5388165440000003</v>
      </c>
      <c r="N192" s="10">
        <v>55000</v>
      </c>
      <c r="O192" s="10">
        <v>-4290</v>
      </c>
      <c r="P192" s="10">
        <v>508</v>
      </c>
      <c r="Q192">
        <v>0</v>
      </c>
      <c r="R192">
        <v>0</v>
      </c>
      <c r="S192" t="s">
        <v>975</v>
      </c>
      <c r="T192" t="s">
        <v>49</v>
      </c>
      <c r="U192" t="s">
        <v>976</v>
      </c>
      <c r="W192">
        <f t="shared" si="4"/>
        <v>4.5388165440000003</v>
      </c>
      <c r="X192" s="10">
        <f t="shared" si="5"/>
        <v>4290</v>
      </c>
    </row>
    <row r="193" spans="1:24" x14ac:dyDescent="0.3">
      <c r="A193">
        <v>131990380</v>
      </c>
      <c r="B193">
        <v>14.4</v>
      </c>
      <c r="C193">
        <v>4</v>
      </c>
      <c r="D193" t="s">
        <v>60</v>
      </c>
      <c r="E193" t="s">
        <v>51</v>
      </c>
      <c r="F193">
        <v>131990380</v>
      </c>
      <c r="G193" t="s">
        <v>249</v>
      </c>
      <c r="H193">
        <v>3022</v>
      </c>
      <c r="I193">
        <v>839</v>
      </c>
      <c r="J193">
        <v>210</v>
      </c>
      <c r="K193">
        <v>11</v>
      </c>
      <c r="L193">
        <v>75.271870919999998</v>
      </c>
      <c r="M193">
        <v>-25.988260140000001</v>
      </c>
      <c r="N193" s="10">
        <v>160000</v>
      </c>
      <c r="O193" s="10">
        <v>-16800</v>
      </c>
      <c r="P193" s="10">
        <v>5120</v>
      </c>
      <c r="Q193">
        <v>0</v>
      </c>
      <c r="R193">
        <v>0</v>
      </c>
      <c r="S193" t="s">
        <v>975</v>
      </c>
      <c r="T193" t="s">
        <v>49</v>
      </c>
      <c r="U193" t="s">
        <v>976</v>
      </c>
      <c r="W193">
        <f t="shared" si="4"/>
        <v>25.988260140000001</v>
      </c>
      <c r="X193" s="10">
        <f t="shared" si="5"/>
        <v>16800</v>
      </c>
    </row>
    <row r="194" spans="1:24" x14ac:dyDescent="0.3">
      <c r="A194">
        <v>131990480</v>
      </c>
      <c r="B194">
        <v>3.5</v>
      </c>
      <c r="C194">
        <v>1</v>
      </c>
      <c r="D194" t="s">
        <v>46</v>
      </c>
      <c r="E194" t="s">
        <v>51</v>
      </c>
      <c r="F194">
        <v>131990480</v>
      </c>
      <c r="G194" t="s">
        <v>250</v>
      </c>
      <c r="H194">
        <v>2071</v>
      </c>
      <c r="I194">
        <v>592</v>
      </c>
      <c r="J194">
        <v>592</v>
      </c>
      <c r="K194">
        <v>8</v>
      </c>
      <c r="L194">
        <v>75.608330089999995</v>
      </c>
      <c r="M194">
        <v>-14.751807299999999</v>
      </c>
      <c r="N194" s="10">
        <v>189000</v>
      </c>
      <c r="O194" s="10">
        <v>-20200</v>
      </c>
      <c r="P194" s="10">
        <v>2820</v>
      </c>
      <c r="Q194">
        <v>0</v>
      </c>
      <c r="R194">
        <v>0</v>
      </c>
      <c r="S194" t="s">
        <v>975</v>
      </c>
      <c r="T194" t="s">
        <v>49</v>
      </c>
      <c r="U194" t="s">
        <v>976</v>
      </c>
      <c r="W194">
        <f t="shared" si="4"/>
        <v>14.751807299999999</v>
      </c>
      <c r="X194" s="10">
        <f t="shared" si="5"/>
        <v>20200</v>
      </c>
    </row>
    <row r="195" spans="1:24" x14ac:dyDescent="0.3">
      <c r="A195">
        <v>131990483</v>
      </c>
      <c r="B195">
        <v>10.95</v>
      </c>
      <c r="C195">
        <v>3</v>
      </c>
      <c r="D195" t="s">
        <v>60</v>
      </c>
      <c r="E195" t="s">
        <v>80</v>
      </c>
      <c r="F195">
        <v>131990483</v>
      </c>
      <c r="G195" t="s">
        <v>251</v>
      </c>
      <c r="H195">
        <v>4005</v>
      </c>
      <c r="I195">
        <v>1097</v>
      </c>
      <c r="J195">
        <v>366</v>
      </c>
      <c r="K195">
        <v>14</v>
      </c>
      <c r="L195">
        <v>127.3167191</v>
      </c>
      <c r="M195">
        <v>-34.906880889999996</v>
      </c>
      <c r="N195" s="10">
        <v>261000</v>
      </c>
      <c r="O195" s="10">
        <v>-27300</v>
      </c>
      <c r="P195" s="10">
        <v>6690</v>
      </c>
      <c r="Q195">
        <v>0</v>
      </c>
      <c r="R195">
        <v>0</v>
      </c>
      <c r="S195" t="s">
        <v>975</v>
      </c>
      <c r="T195" t="s">
        <v>49</v>
      </c>
      <c r="U195" t="s">
        <v>976</v>
      </c>
      <c r="W195">
        <f t="shared" ref="W195:W258" si="6">-M195</f>
        <v>34.906880889999996</v>
      </c>
      <c r="X195" s="10">
        <f t="shared" ref="X195:X258" si="7">-O195</f>
        <v>27300</v>
      </c>
    </row>
    <row r="196" spans="1:24" x14ac:dyDescent="0.3">
      <c r="A196">
        <v>131990503</v>
      </c>
      <c r="B196">
        <v>10.733333330000001</v>
      </c>
      <c r="C196">
        <v>3</v>
      </c>
      <c r="D196" t="s">
        <v>60</v>
      </c>
      <c r="E196" t="s">
        <v>51</v>
      </c>
      <c r="F196">
        <v>131990503</v>
      </c>
      <c r="G196" t="s">
        <v>252</v>
      </c>
      <c r="H196">
        <v>899</v>
      </c>
      <c r="I196">
        <v>251</v>
      </c>
      <c r="J196">
        <v>84</v>
      </c>
      <c r="K196">
        <v>3</v>
      </c>
      <c r="L196">
        <v>20.64022954</v>
      </c>
      <c r="M196">
        <v>-7.0274069389999996</v>
      </c>
      <c r="N196" s="10">
        <v>44800</v>
      </c>
      <c r="O196" s="10">
        <v>-4650</v>
      </c>
      <c r="P196" s="10">
        <v>1530</v>
      </c>
      <c r="Q196">
        <v>0</v>
      </c>
      <c r="R196">
        <v>0</v>
      </c>
      <c r="S196" t="s">
        <v>975</v>
      </c>
      <c r="T196" t="s">
        <v>49</v>
      </c>
      <c r="U196" t="s">
        <v>976</v>
      </c>
      <c r="W196">
        <f t="shared" si="6"/>
        <v>7.0274069389999996</v>
      </c>
      <c r="X196" s="10">
        <f t="shared" si="7"/>
        <v>4650</v>
      </c>
    </row>
    <row r="197" spans="1:24" x14ac:dyDescent="0.3">
      <c r="A197">
        <v>131990508</v>
      </c>
      <c r="B197">
        <v>7.75</v>
      </c>
      <c r="C197">
        <v>2</v>
      </c>
      <c r="D197" t="s">
        <v>54</v>
      </c>
      <c r="E197" t="s">
        <v>47</v>
      </c>
      <c r="F197">
        <v>131990508</v>
      </c>
      <c r="G197" t="s">
        <v>253</v>
      </c>
      <c r="H197">
        <v>781</v>
      </c>
      <c r="I197">
        <v>202</v>
      </c>
      <c r="J197">
        <v>101</v>
      </c>
      <c r="K197">
        <v>3</v>
      </c>
      <c r="L197">
        <v>39.188643120000002</v>
      </c>
      <c r="M197">
        <v>-7.0497982309999996</v>
      </c>
      <c r="N197" s="10">
        <v>83900</v>
      </c>
      <c r="O197" s="10">
        <v>-9450</v>
      </c>
      <c r="P197" s="10">
        <v>959</v>
      </c>
      <c r="Q197">
        <v>0</v>
      </c>
      <c r="R197">
        <v>0</v>
      </c>
      <c r="S197" t="s">
        <v>975</v>
      </c>
      <c r="T197" t="s">
        <v>49</v>
      </c>
      <c r="U197" t="s">
        <v>976</v>
      </c>
      <c r="W197">
        <f t="shared" si="6"/>
        <v>7.0497982309999996</v>
      </c>
      <c r="X197" s="10">
        <f t="shared" si="7"/>
        <v>9450</v>
      </c>
    </row>
    <row r="198" spans="1:24" x14ac:dyDescent="0.3">
      <c r="A198">
        <v>131990555</v>
      </c>
      <c r="B198">
        <v>7.4</v>
      </c>
      <c r="C198">
        <v>2</v>
      </c>
      <c r="D198" t="s">
        <v>60</v>
      </c>
      <c r="E198" t="s">
        <v>51</v>
      </c>
      <c r="F198">
        <v>131990555</v>
      </c>
      <c r="G198" t="s">
        <v>254</v>
      </c>
      <c r="H198">
        <v>715</v>
      </c>
      <c r="I198">
        <v>193</v>
      </c>
      <c r="J198">
        <v>97</v>
      </c>
      <c r="K198">
        <v>3</v>
      </c>
      <c r="L198">
        <v>31.452316570000001</v>
      </c>
      <c r="M198">
        <v>-8.3860076190000008</v>
      </c>
      <c r="N198" s="10">
        <v>59000</v>
      </c>
      <c r="O198" s="10">
        <v>-6860</v>
      </c>
      <c r="P198" s="10">
        <v>1180</v>
      </c>
      <c r="Q198">
        <v>0</v>
      </c>
      <c r="R198">
        <v>0</v>
      </c>
      <c r="S198" t="s">
        <v>975</v>
      </c>
      <c r="T198" t="s">
        <v>49</v>
      </c>
      <c r="U198" t="s">
        <v>976</v>
      </c>
      <c r="W198">
        <f t="shared" si="6"/>
        <v>8.3860076190000008</v>
      </c>
      <c r="X198" s="10">
        <f t="shared" si="7"/>
        <v>6860</v>
      </c>
    </row>
    <row r="199" spans="1:24" x14ac:dyDescent="0.3">
      <c r="A199">
        <v>131990599</v>
      </c>
      <c r="B199">
        <v>3.72</v>
      </c>
      <c r="C199">
        <v>1</v>
      </c>
      <c r="D199" t="s">
        <v>60</v>
      </c>
      <c r="E199" t="s">
        <v>47</v>
      </c>
      <c r="F199">
        <v>131990599</v>
      </c>
      <c r="G199" t="s">
        <v>255</v>
      </c>
      <c r="H199">
        <v>496</v>
      </c>
      <c r="I199">
        <v>133</v>
      </c>
      <c r="J199">
        <v>133</v>
      </c>
      <c r="K199">
        <v>2</v>
      </c>
      <c r="L199">
        <v>34.002564020000001</v>
      </c>
      <c r="M199">
        <v>-5.384773268</v>
      </c>
      <c r="N199" s="10">
        <v>62700</v>
      </c>
      <c r="O199" s="10">
        <v>-5100</v>
      </c>
      <c r="P199" s="10">
        <v>813</v>
      </c>
      <c r="Q199">
        <v>0</v>
      </c>
      <c r="R199">
        <v>0</v>
      </c>
      <c r="S199" t="s">
        <v>975</v>
      </c>
      <c r="T199" t="s">
        <v>49</v>
      </c>
      <c r="U199" t="s">
        <v>976</v>
      </c>
      <c r="W199">
        <f t="shared" si="6"/>
        <v>5.384773268</v>
      </c>
      <c r="X199" s="10">
        <f t="shared" si="7"/>
        <v>5100</v>
      </c>
    </row>
    <row r="200" spans="1:24" x14ac:dyDescent="0.3">
      <c r="A200">
        <v>131990600</v>
      </c>
      <c r="B200">
        <v>16.75</v>
      </c>
      <c r="C200">
        <v>4</v>
      </c>
      <c r="D200" t="s">
        <v>60</v>
      </c>
      <c r="E200" t="s">
        <v>55</v>
      </c>
      <c r="F200">
        <v>131990600</v>
      </c>
      <c r="G200" t="s">
        <v>256</v>
      </c>
      <c r="H200">
        <v>4989</v>
      </c>
      <c r="I200">
        <v>1191</v>
      </c>
      <c r="J200">
        <v>298</v>
      </c>
      <c r="K200">
        <v>15</v>
      </c>
      <c r="L200">
        <v>117.44557589999999</v>
      </c>
      <c r="M200">
        <v>-42.217864400000003</v>
      </c>
      <c r="N200" s="10">
        <v>245000</v>
      </c>
      <c r="O200" s="10">
        <v>-29200</v>
      </c>
      <c r="P200" s="10">
        <v>7260</v>
      </c>
      <c r="Q200">
        <v>0</v>
      </c>
      <c r="R200">
        <v>0</v>
      </c>
      <c r="S200" t="s">
        <v>975</v>
      </c>
      <c r="T200" t="s">
        <v>49</v>
      </c>
      <c r="U200" t="s">
        <v>976</v>
      </c>
      <c r="W200">
        <f t="shared" si="6"/>
        <v>42.217864400000003</v>
      </c>
      <c r="X200" s="10">
        <f t="shared" si="7"/>
        <v>29200</v>
      </c>
    </row>
    <row r="201" spans="1:24" x14ac:dyDescent="0.3">
      <c r="A201">
        <v>131990612</v>
      </c>
      <c r="B201">
        <v>8.5</v>
      </c>
      <c r="C201">
        <v>2</v>
      </c>
      <c r="D201" t="s">
        <v>60</v>
      </c>
      <c r="E201" t="s">
        <v>47</v>
      </c>
      <c r="F201">
        <v>131990612</v>
      </c>
      <c r="G201" t="s">
        <v>257</v>
      </c>
      <c r="H201">
        <v>864</v>
      </c>
      <c r="I201">
        <v>203</v>
      </c>
      <c r="J201">
        <v>102</v>
      </c>
      <c r="K201">
        <v>3</v>
      </c>
      <c r="L201">
        <v>44.901605279999998</v>
      </c>
      <c r="M201">
        <v>-8.7570891159999995</v>
      </c>
      <c r="N201" s="10">
        <v>83100</v>
      </c>
      <c r="O201" s="10">
        <v>-7870</v>
      </c>
      <c r="P201" s="10">
        <v>1240</v>
      </c>
      <c r="Q201">
        <v>0</v>
      </c>
      <c r="R201">
        <v>0</v>
      </c>
      <c r="S201" t="s">
        <v>975</v>
      </c>
      <c r="T201" t="s">
        <v>49</v>
      </c>
      <c r="U201" t="s">
        <v>976</v>
      </c>
      <c r="W201">
        <f t="shared" si="6"/>
        <v>8.7570891159999995</v>
      </c>
      <c r="X201" s="10">
        <f t="shared" si="7"/>
        <v>7870</v>
      </c>
    </row>
    <row r="202" spans="1:24" x14ac:dyDescent="0.3">
      <c r="A202">
        <v>131990626</v>
      </c>
      <c r="B202">
        <v>10.46666667</v>
      </c>
      <c r="C202">
        <v>2</v>
      </c>
      <c r="D202" t="s">
        <v>60</v>
      </c>
      <c r="E202" t="s">
        <v>47</v>
      </c>
      <c r="F202">
        <v>131990626</v>
      </c>
      <c r="G202" t="s">
        <v>258</v>
      </c>
      <c r="H202">
        <v>764</v>
      </c>
      <c r="I202">
        <v>146</v>
      </c>
      <c r="J202">
        <v>73</v>
      </c>
      <c r="K202">
        <v>2</v>
      </c>
      <c r="L202">
        <v>24.866331349999999</v>
      </c>
      <c r="M202">
        <v>-5.5608782840000002</v>
      </c>
      <c r="N202" s="10">
        <v>50100</v>
      </c>
      <c r="O202" s="10">
        <v>-4730</v>
      </c>
      <c r="P202" s="10">
        <v>890</v>
      </c>
      <c r="Q202">
        <v>0</v>
      </c>
      <c r="R202">
        <v>0</v>
      </c>
      <c r="S202" t="s">
        <v>975</v>
      </c>
      <c r="T202" t="s">
        <v>49</v>
      </c>
      <c r="U202" t="s">
        <v>976</v>
      </c>
      <c r="W202">
        <f t="shared" si="6"/>
        <v>5.5608782840000002</v>
      </c>
      <c r="X202" s="10">
        <f t="shared" si="7"/>
        <v>4730</v>
      </c>
    </row>
    <row r="203" spans="1:24" x14ac:dyDescent="0.3">
      <c r="A203">
        <v>131990685</v>
      </c>
      <c r="B203">
        <v>8.9499999999999993</v>
      </c>
      <c r="C203">
        <v>2</v>
      </c>
      <c r="D203" t="s">
        <v>60</v>
      </c>
      <c r="E203" t="s">
        <v>47</v>
      </c>
      <c r="F203">
        <v>131990685</v>
      </c>
      <c r="G203" t="s">
        <v>259</v>
      </c>
      <c r="H203">
        <v>3231</v>
      </c>
      <c r="I203">
        <v>722</v>
      </c>
      <c r="J203">
        <v>361</v>
      </c>
      <c r="K203">
        <v>9</v>
      </c>
      <c r="L203">
        <v>96.165509499999999</v>
      </c>
      <c r="M203">
        <v>-22.970477559999999</v>
      </c>
      <c r="N203" s="10">
        <v>202000</v>
      </c>
      <c r="O203" s="10">
        <v>-19400</v>
      </c>
      <c r="P203" s="10">
        <v>4400</v>
      </c>
      <c r="Q203">
        <v>0</v>
      </c>
      <c r="R203">
        <v>0</v>
      </c>
      <c r="S203" t="s">
        <v>975</v>
      </c>
      <c r="T203" t="s">
        <v>49</v>
      </c>
      <c r="U203" t="s">
        <v>976</v>
      </c>
      <c r="W203">
        <f t="shared" si="6"/>
        <v>22.970477559999999</v>
      </c>
      <c r="X203" s="10">
        <f t="shared" si="7"/>
        <v>19400</v>
      </c>
    </row>
    <row r="204" spans="1:24" x14ac:dyDescent="0.3">
      <c r="A204">
        <v>131990688</v>
      </c>
      <c r="B204">
        <v>4.5</v>
      </c>
      <c r="C204">
        <v>1</v>
      </c>
      <c r="D204" t="s">
        <v>54</v>
      </c>
      <c r="E204" t="s">
        <v>47</v>
      </c>
      <c r="F204">
        <v>131990688</v>
      </c>
      <c r="G204" t="s">
        <v>260</v>
      </c>
      <c r="H204">
        <v>372</v>
      </c>
      <c r="I204">
        <v>83</v>
      </c>
      <c r="J204">
        <v>83</v>
      </c>
      <c r="K204">
        <v>1</v>
      </c>
      <c r="L204">
        <v>27.766059930000001</v>
      </c>
      <c r="M204">
        <v>-3.785003289</v>
      </c>
      <c r="N204" s="10">
        <v>55100</v>
      </c>
      <c r="O204" s="10">
        <v>-5000</v>
      </c>
      <c r="P204" s="10">
        <v>393</v>
      </c>
      <c r="Q204">
        <v>0</v>
      </c>
      <c r="R204">
        <v>0</v>
      </c>
      <c r="S204" t="s">
        <v>975</v>
      </c>
      <c r="T204" t="s">
        <v>49</v>
      </c>
      <c r="U204" t="s">
        <v>976</v>
      </c>
      <c r="W204">
        <f t="shared" si="6"/>
        <v>3.785003289</v>
      </c>
      <c r="X204" s="10">
        <f t="shared" si="7"/>
        <v>5000</v>
      </c>
    </row>
    <row r="205" spans="1:24" x14ac:dyDescent="0.3">
      <c r="A205">
        <v>131990717</v>
      </c>
      <c r="B205">
        <v>9.7799999999999994</v>
      </c>
      <c r="C205">
        <v>2</v>
      </c>
      <c r="D205" t="s">
        <v>60</v>
      </c>
      <c r="E205" t="s">
        <v>47</v>
      </c>
      <c r="F205">
        <v>131990717</v>
      </c>
      <c r="G205" t="s">
        <v>261</v>
      </c>
      <c r="H205">
        <v>3803</v>
      </c>
      <c r="I205">
        <v>778</v>
      </c>
      <c r="J205">
        <v>389</v>
      </c>
      <c r="K205">
        <v>10</v>
      </c>
      <c r="L205">
        <v>139.73793670000001</v>
      </c>
      <c r="M205">
        <v>-30.354239759999999</v>
      </c>
      <c r="N205" s="10">
        <v>274000</v>
      </c>
      <c r="O205" s="10">
        <v>-26100</v>
      </c>
      <c r="P205" s="10">
        <v>4740</v>
      </c>
      <c r="Q205">
        <v>0</v>
      </c>
      <c r="R205">
        <v>0</v>
      </c>
      <c r="S205" t="s">
        <v>975</v>
      </c>
      <c r="T205" t="s">
        <v>49</v>
      </c>
      <c r="U205" t="s">
        <v>976</v>
      </c>
      <c r="W205">
        <f t="shared" si="6"/>
        <v>30.354239759999999</v>
      </c>
      <c r="X205" s="10">
        <f t="shared" si="7"/>
        <v>26100</v>
      </c>
    </row>
    <row r="206" spans="1:24" x14ac:dyDescent="0.3">
      <c r="A206">
        <v>131990719</v>
      </c>
      <c r="B206">
        <v>9.3000000000000007</v>
      </c>
      <c r="C206">
        <v>2</v>
      </c>
      <c r="D206" t="s">
        <v>60</v>
      </c>
      <c r="E206" t="s">
        <v>55</v>
      </c>
      <c r="F206">
        <v>131990719</v>
      </c>
      <c r="G206" t="s">
        <v>262</v>
      </c>
      <c r="H206">
        <v>1187</v>
      </c>
      <c r="I206">
        <v>255</v>
      </c>
      <c r="J206">
        <v>128</v>
      </c>
      <c r="K206">
        <v>3</v>
      </c>
      <c r="L206">
        <v>41.742200330000003</v>
      </c>
      <c r="M206">
        <v>-12.0418238</v>
      </c>
      <c r="N206" s="10">
        <v>79500</v>
      </c>
      <c r="O206" s="10">
        <v>-8970</v>
      </c>
      <c r="P206" s="10">
        <v>1560</v>
      </c>
      <c r="Q206">
        <v>0</v>
      </c>
      <c r="R206">
        <v>0</v>
      </c>
      <c r="S206" t="s">
        <v>975</v>
      </c>
      <c r="T206" t="s">
        <v>49</v>
      </c>
      <c r="U206" t="s">
        <v>976</v>
      </c>
      <c r="W206">
        <f t="shared" si="6"/>
        <v>12.0418238</v>
      </c>
      <c r="X206" s="10">
        <f t="shared" si="7"/>
        <v>8970</v>
      </c>
    </row>
    <row r="207" spans="1:24" x14ac:dyDescent="0.3">
      <c r="A207">
        <v>131990741</v>
      </c>
      <c r="B207">
        <v>4.9000000000000004</v>
      </c>
      <c r="C207">
        <v>1</v>
      </c>
      <c r="D207" t="s">
        <v>60</v>
      </c>
      <c r="E207" t="s">
        <v>51</v>
      </c>
      <c r="F207">
        <v>131990741</v>
      </c>
      <c r="G207" t="s">
        <v>263</v>
      </c>
      <c r="H207">
        <v>495</v>
      </c>
      <c r="I207">
        <v>101</v>
      </c>
      <c r="J207">
        <v>101</v>
      </c>
      <c r="K207">
        <v>1</v>
      </c>
      <c r="L207">
        <v>24.189605329999999</v>
      </c>
      <c r="M207">
        <v>-5.3665733470000001</v>
      </c>
      <c r="N207" s="10">
        <v>45200</v>
      </c>
      <c r="O207" s="10">
        <v>-4250</v>
      </c>
      <c r="P207" s="10">
        <v>616</v>
      </c>
      <c r="Q207">
        <v>0</v>
      </c>
      <c r="R207">
        <v>0</v>
      </c>
      <c r="S207" t="s">
        <v>975</v>
      </c>
      <c r="T207" t="s">
        <v>49</v>
      </c>
      <c r="U207" t="s">
        <v>976</v>
      </c>
      <c r="W207">
        <f t="shared" si="6"/>
        <v>5.3665733470000001</v>
      </c>
      <c r="X207" s="10">
        <f t="shared" si="7"/>
        <v>4250</v>
      </c>
    </row>
    <row r="208" spans="1:24" x14ac:dyDescent="0.3">
      <c r="A208">
        <v>131990766</v>
      </c>
      <c r="B208">
        <v>8.9</v>
      </c>
      <c r="C208">
        <v>2</v>
      </c>
      <c r="D208" t="s">
        <v>60</v>
      </c>
      <c r="E208" t="s">
        <v>47</v>
      </c>
      <c r="F208">
        <v>131990766</v>
      </c>
      <c r="G208" t="s">
        <v>264</v>
      </c>
      <c r="H208">
        <v>728</v>
      </c>
      <c r="I208">
        <v>164</v>
      </c>
      <c r="J208">
        <v>82</v>
      </c>
      <c r="K208">
        <v>2</v>
      </c>
      <c r="L208">
        <v>39.901305260000001</v>
      </c>
      <c r="M208">
        <v>-7.2330147560000002</v>
      </c>
      <c r="N208" s="10">
        <v>73200</v>
      </c>
      <c r="O208" s="10">
        <v>-6460</v>
      </c>
      <c r="P208" s="10">
        <v>998</v>
      </c>
      <c r="Q208">
        <v>0</v>
      </c>
      <c r="R208">
        <v>0</v>
      </c>
      <c r="S208" t="s">
        <v>975</v>
      </c>
      <c r="T208" t="s">
        <v>49</v>
      </c>
      <c r="U208" t="s">
        <v>976</v>
      </c>
      <c r="W208">
        <f t="shared" si="6"/>
        <v>7.2330147560000002</v>
      </c>
      <c r="X208" s="10">
        <f t="shared" si="7"/>
        <v>6460</v>
      </c>
    </row>
    <row r="209" spans="1:24" x14ac:dyDescent="0.3">
      <c r="A209">
        <v>131990779</v>
      </c>
      <c r="B209">
        <v>9.3249999999999993</v>
      </c>
      <c r="C209">
        <v>2</v>
      </c>
      <c r="D209" t="s">
        <v>60</v>
      </c>
      <c r="E209" t="s">
        <v>51</v>
      </c>
      <c r="F209">
        <v>131990779</v>
      </c>
      <c r="G209" t="s">
        <v>265</v>
      </c>
      <c r="H209">
        <v>1884</v>
      </c>
      <c r="I209">
        <v>404</v>
      </c>
      <c r="J209">
        <v>202</v>
      </c>
      <c r="K209">
        <v>5</v>
      </c>
      <c r="L209">
        <v>54.0357749</v>
      </c>
      <c r="M209">
        <v>-15.362917339999999</v>
      </c>
      <c r="N209" s="10">
        <v>110000</v>
      </c>
      <c r="O209" s="10">
        <v>-11300</v>
      </c>
      <c r="P209" s="10">
        <v>2460</v>
      </c>
      <c r="Q209">
        <v>0</v>
      </c>
      <c r="R209">
        <v>0</v>
      </c>
      <c r="S209" t="s">
        <v>975</v>
      </c>
      <c r="T209" t="s">
        <v>49</v>
      </c>
      <c r="U209" t="s">
        <v>976</v>
      </c>
      <c r="W209">
        <f t="shared" si="6"/>
        <v>15.362917339999999</v>
      </c>
      <c r="X209" s="10">
        <f t="shared" si="7"/>
        <v>11300</v>
      </c>
    </row>
    <row r="210" spans="1:24" x14ac:dyDescent="0.3">
      <c r="A210">
        <v>131990781</v>
      </c>
      <c r="B210">
        <v>11.5</v>
      </c>
      <c r="C210">
        <v>3</v>
      </c>
      <c r="D210" t="s">
        <v>54</v>
      </c>
      <c r="E210" t="s">
        <v>55</v>
      </c>
      <c r="F210">
        <v>131990781</v>
      </c>
      <c r="G210" t="s">
        <v>266</v>
      </c>
      <c r="H210">
        <v>3612</v>
      </c>
      <c r="I210">
        <v>942</v>
      </c>
      <c r="J210">
        <v>314</v>
      </c>
      <c r="K210">
        <v>12</v>
      </c>
      <c r="L210">
        <v>74.43778958</v>
      </c>
      <c r="M210">
        <v>-24.60677849</v>
      </c>
      <c r="N210" s="10">
        <v>220000</v>
      </c>
      <c r="O210" s="10">
        <v>-31100</v>
      </c>
      <c r="P210" s="10">
        <v>4480</v>
      </c>
      <c r="Q210">
        <v>0</v>
      </c>
      <c r="R210">
        <v>0</v>
      </c>
      <c r="S210" t="s">
        <v>975</v>
      </c>
      <c r="T210" t="s">
        <v>49</v>
      </c>
      <c r="U210" t="s">
        <v>976</v>
      </c>
      <c r="W210">
        <f t="shared" si="6"/>
        <v>24.60677849</v>
      </c>
      <c r="X210" s="10">
        <f t="shared" si="7"/>
        <v>31100</v>
      </c>
    </row>
    <row r="211" spans="1:24" x14ac:dyDescent="0.3">
      <c r="A211">
        <v>131990791</v>
      </c>
      <c r="B211">
        <v>9.4250000000000007</v>
      </c>
      <c r="C211">
        <v>2</v>
      </c>
      <c r="D211" t="s">
        <v>60</v>
      </c>
      <c r="E211" t="s">
        <v>80</v>
      </c>
      <c r="F211">
        <v>131990791</v>
      </c>
      <c r="G211" t="s">
        <v>267</v>
      </c>
      <c r="H211">
        <v>1389</v>
      </c>
      <c r="I211">
        <v>295</v>
      </c>
      <c r="J211">
        <v>148</v>
      </c>
      <c r="K211">
        <v>4</v>
      </c>
      <c r="L211">
        <v>46.46159797</v>
      </c>
      <c r="M211">
        <v>-11.63934549</v>
      </c>
      <c r="N211" s="10">
        <v>92900</v>
      </c>
      <c r="O211" s="10">
        <v>-9440</v>
      </c>
      <c r="P211" s="10">
        <v>1800</v>
      </c>
      <c r="Q211">
        <v>0</v>
      </c>
      <c r="R211">
        <v>0</v>
      </c>
      <c r="S211" t="s">
        <v>975</v>
      </c>
      <c r="T211" t="s">
        <v>49</v>
      </c>
      <c r="U211" t="s">
        <v>976</v>
      </c>
      <c r="W211">
        <f t="shared" si="6"/>
        <v>11.63934549</v>
      </c>
      <c r="X211" s="10">
        <f t="shared" si="7"/>
        <v>9440</v>
      </c>
    </row>
    <row r="212" spans="1:24" x14ac:dyDescent="0.3">
      <c r="A212">
        <v>131990793</v>
      </c>
      <c r="B212">
        <v>8.6999999999999993</v>
      </c>
      <c r="C212">
        <v>2</v>
      </c>
      <c r="D212" t="s">
        <v>60</v>
      </c>
      <c r="E212" t="s">
        <v>51</v>
      </c>
      <c r="F212">
        <v>131990793</v>
      </c>
      <c r="G212" t="s">
        <v>268</v>
      </c>
      <c r="H212">
        <v>4351</v>
      </c>
      <c r="I212">
        <v>1000</v>
      </c>
      <c r="J212">
        <v>500</v>
      </c>
      <c r="K212">
        <v>13</v>
      </c>
      <c r="L212">
        <v>112.82408340000001</v>
      </c>
      <c r="M212">
        <v>-34.003833589999999</v>
      </c>
      <c r="N212" s="10">
        <v>237000</v>
      </c>
      <c r="O212" s="10">
        <v>-24700</v>
      </c>
      <c r="P212" s="10">
        <v>6100</v>
      </c>
      <c r="Q212">
        <v>0</v>
      </c>
      <c r="R212">
        <v>0</v>
      </c>
      <c r="S212" t="s">
        <v>975</v>
      </c>
      <c r="T212" t="s">
        <v>49</v>
      </c>
      <c r="U212" t="s">
        <v>976</v>
      </c>
      <c r="W212">
        <f t="shared" si="6"/>
        <v>34.003833589999999</v>
      </c>
      <c r="X212" s="10">
        <f t="shared" si="7"/>
        <v>24700</v>
      </c>
    </row>
    <row r="213" spans="1:24" x14ac:dyDescent="0.3">
      <c r="A213">
        <v>131990809</v>
      </c>
      <c r="B213">
        <v>11.266666669999999</v>
      </c>
      <c r="C213">
        <v>3</v>
      </c>
      <c r="D213" t="s">
        <v>54</v>
      </c>
      <c r="E213" t="s">
        <v>47</v>
      </c>
      <c r="F213">
        <v>131990809</v>
      </c>
      <c r="G213" t="s">
        <v>269</v>
      </c>
      <c r="H213">
        <v>3337</v>
      </c>
      <c r="I213">
        <v>889</v>
      </c>
      <c r="J213">
        <v>296</v>
      </c>
      <c r="K213">
        <v>12</v>
      </c>
      <c r="L213">
        <v>120.7454036</v>
      </c>
      <c r="M213">
        <v>-24.71813762</v>
      </c>
      <c r="N213" s="10">
        <v>295000</v>
      </c>
      <c r="O213" s="10">
        <v>-34400</v>
      </c>
      <c r="P213" s="10">
        <v>4230</v>
      </c>
      <c r="Q213">
        <v>0</v>
      </c>
      <c r="R213">
        <v>0</v>
      </c>
      <c r="S213" t="s">
        <v>975</v>
      </c>
      <c r="T213" t="s">
        <v>49</v>
      </c>
      <c r="U213" t="s">
        <v>976</v>
      </c>
      <c r="W213">
        <f t="shared" si="6"/>
        <v>24.71813762</v>
      </c>
      <c r="X213" s="10">
        <f t="shared" si="7"/>
        <v>34400</v>
      </c>
    </row>
    <row r="214" spans="1:24" x14ac:dyDescent="0.3">
      <c r="A214">
        <v>131990830</v>
      </c>
      <c r="B214">
        <v>4.8499999999999996</v>
      </c>
      <c r="C214">
        <v>1</v>
      </c>
      <c r="D214" t="s">
        <v>60</v>
      </c>
      <c r="E214" t="s">
        <v>47</v>
      </c>
      <c r="F214">
        <v>131990830</v>
      </c>
      <c r="G214" t="s">
        <v>270</v>
      </c>
      <c r="H214">
        <v>838</v>
      </c>
      <c r="I214">
        <v>173</v>
      </c>
      <c r="J214">
        <v>173</v>
      </c>
      <c r="K214">
        <v>2</v>
      </c>
      <c r="L214">
        <v>61.275441409999999</v>
      </c>
      <c r="M214">
        <v>-9.458713865</v>
      </c>
      <c r="N214" s="10">
        <v>112000</v>
      </c>
      <c r="O214" s="10">
        <v>-9110</v>
      </c>
      <c r="P214" s="10">
        <v>1050</v>
      </c>
      <c r="Q214">
        <v>0</v>
      </c>
      <c r="R214">
        <v>0</v>
      </c>
      <c r="S214" t="s">
        <v>975</v>
      </c>
      <c r="T214" t="s">
        <v>49</v>
      </c>
      <c r="U214" t="s">
        <v>976</v>
      </c>
      <c r="W214">
        <f t="shared" si="6"/>
        <v>9.458713865</v>
      </c>
      <c r="X214" s="10">
        <f t="shared" si="7"/>
        <v>9110</v>
      </c>
    </row>
    <row r="215" spans="1:24" x14ac:dyDescent="0.3">
      <c r="A215">
        <v>131990866</v>
      </c>
      <c r="B215">
        <v>16.75</v>
      </c>
      <c r="C215">
        <v>4</v>
      </c>
      <c r="D215" t="s">
        <v>54</v>
      </c>
      <c r="E215" t="s">
        <v>51</v>
      </c>
      <c r="F215">
        <v>131990866</v>
      </c>
      <c r="G215" t="s">
        <v>271</v>
      </c>
      <c r="H215">
        <v>3496</v>
      </c>
      <c r="I215">
        <v>835</v>
      </c>
      <c r="J215">
        <v>209</v>
      </c>
      <c r="K215">
        <v>11</v>
      </c>
      <c r="L215">
        <v>53.570631659999997</v>
      </c>
      <c r="M215">
        <v>-19.495975919999999</v>
      </c>
      <c r="N215" s="10">
        <v>177000</v>
      </c>
      <c r="O215" s="10">
        <v>-25100</v>
      </c>
      <c r="P215" s="10">
        <v>3970</v>
      </c>
      <c r="Q215">
        <v>0</v>
      </c>
      <c r="R215">
        <v>0</v>
      </c>
      <c r="S215" t="s">
        <v>975</v>
      </c>
      <c r="T215" t="s">
        <v>49</v>
      </c>
      <c r="U215" t="s">
        <v>976</v>
      </c>
      <c r="W215">
        <f t="shared" si="6"/>
        <v>19.495975919999999</v>
      </c>
      <c r="X215" s="10">
        <f t="shared" si="7"/>
        <v>25100</v>
      </c>
    </row>
    <row r="216" spans="1:24" x14ac:dyDescent="0.3">
      <c r="A216">
        <v>131990869</v>
      </c>
      <c r="B216">
        <v>4.6500000000000004</v>
      </c>
      <c r="C216">
        <v>1</v>
      </c>
      <c r="D216" t="s">
        <v>60</v>
      </c>
      <c r="E216" t="s">
        <v>58</v>
      </c>
      <c r="F216">
        <v>131990869</v>
      </c>
      <c r="G216" t="s">
        <v>272</v>
      </c>
      <c r="H216">
        <v>538</v>
      </c>
      <c r="I216">
        <v>116</v>
      </c>
      <c r="J216">
        <v>116</v>
      </c>
      <c r="K216">
        <v>2</v>
      </c>
      <c r="L216">
        <v>24.052419969999999</v>
      </c>
      <c r="M216">
        <v>-5.6804921979999996</v>
      </c>
      <c r="N216" s="10">
        <v>46500</v>
      </c>
      <c r="O216" s="10">
        <v>-4330</v>
      </c>
      <c r="P216" s="10">
        <v>705</v>
      </c>
      <c r="Q216">
        <v>0</v>
      </c>
      <c r="R216">
        <v>0</v>
      </c>
      <c r="S216" t="s">
        <v>975</v>
      </c>
      <c r="T216" t="s">
        <v>49</v>
      </c>
      <c r="U216" t="s">
        <v>976</v>
      </c>
      <c r="W216">
        <f t="shared" si="6"/>
        <v>5.6804921979999996</v>
      </c>
      <c r="X216" s="10">
        <f t="shared" si="7"/>
        <v>4330</v>
      </c>
    </row>
    <row r="217" spans="1:24" x14ac:dyDescent="0.3">
      <c r="A217">
        <v>131990872</v>
      </c>
      <c r="B217">
        <v>21.7</v>
      </c>
      <c r="C217">
        <v>6</v>
      </c>
      <c r="D217" t="s">
        <v>54</v>
      </c>
      <c r="E217" t="s">
        <v>55</v>
      </c>
      <c r="F217">
        <v>131990872</v>
      </c>
      <c r="G217" t="s">
        <v>273</v>
      </c>
      <c r="H217">
        <v>4383</v>
      </c>
      <c r="I217">
        <v>1212</v>
      </c>
      <c r="J217">
        <v>202</v>
      </c>
      <c r="K217">
        <v>16</v>
      </c>
      <c r="L217">
        <v>81.274295210000005</v>
      </c>
      <c r="M217">
        <v>-32.236991379999999</v>
      </c>
      <c r="N217" s="10">
        <v>256000</v>
      </c>
      <c r="O217" s="10">
        <v>-38100</v>
      </c>
      <c r="P217" s="10">
        <v>5770</v>
      </c>
      <c r="Q217">
        <v>0</v>
      </c>
      <c r="R217">
        <v>0</v>
      </c>
      <c r="S217" t="s">
        <v>975</v>
      </c>
      <c r="T217" t="s">
        <v>49</v>
      </c>
      <c r="U217" t="s">
        <v>976</v>
      </c>
      <c r="W217">
        <f t="shared" si="6"/>
        <v>32.236991379999999</v>
      </c>
      <c r="X217" s="10">
        <f t="shared" si="7"/>
        <v>38100</v>
      </c>
    </row>
    <row r="218" spans="1:24" x14ac:dyDescent="0.3">
      <c r="A218">
        <v>131990881</v>
      </c>
      <c r="B218">
        <v>3.65</v>
      </c>
      <c r="C218">
        <v>1</v>
      </c>
      <c r="D218" t="s">
        <v>46</v>
      </c>
      <c r="E218" t="s">
        <v>51</v>
      </c>
      <c r="F218">
        <v>131990881</v>
      </c>
      <c r="G218" t="s">
        <v>274</v>
      </c>
      <c r="H218">
        <v>2186</v>
      </c>
      <c r="I218">
        <v>599</v>
      </c>
      <c r="J218">
        <v>599</v>
      </c>
      <c r="K218">
        <v>8</v>
      </c>
      <c r="L218">
        <v>77.43899012</v>
      </c>
      <c r="M218">
        <v>-15.19491966</v>
      </c>
      <c r="N218" s="10">
        <v>193000</v>
      </c>
      <c r="O218" s="10">
        <v>-20700</v>
      </c>
      <c r="P218" s="10">
        <v>2850</v>
      </c>
      <c r="Q218">
        <v>0</v>
      </c>
      <c r="R218">
        <v>0</v>
      </c>
      <c r="S218" t="s">
        <v>975</v>
      </c>
      <c r="T218" t="s">
        <v>49</v>
      </c>
      <c r="U218" t="s">
        <v>976</v>
      </c>
      <c r="W218">
        <f t="shared" si="6"/>
        <v>15.19491966</v>
      </c>
      <c r="X218" s="10">
        <f t="shared" si="7"/>
        <v>20700</v>
      </c>
    </row>
    <row r="219" spans="1:24" x14ac:dyDescent="0.3">
      <c r="A219">
        <v>131990898</v>
      </c>
      <c r="B219">
        <v>9.6</v>
      </c>
      <c r="C219">
        <v>2</v>
      </c>
      <c r="D219" t="s">
        <v>60</v>
      </c>
      <c r="E219" t="s">
        <v>80</v>
      </c>
      <c r="F219">
        <v>131990898</v>
      </c>
      <c r="G219" t="s">
        <v>275</v>
      </c>
      <c r="H219">
        <v>763</v>
      </c>
      <c r="I219">
        <v>159</v>
      </c>
      <c r="J219">
        <v>80</v>
      </c>
      <c r="K219">
        <v>2</v>
      </c>
      <c r="L219">
        <v>32.760570610000002</v>
      </c>
      <c r="M219">
        <v>-7.7219292099999999</v>
      </c>
      <c r="N219" s="10">
        <v>61500</v>
      </c>
      <c r="O219" s="10">
        <v>-6220</v>
      </c>
      <c r="P219" s="10">
        <v>969</v>
      </c>
      <c r="Q219">
        <v>0</v>
      </c>
      <c r="R219">
        <v>0</v>
      </c>
      <c r="S219" t="s">
        <v>975</v>
      </c>
      <c r="T219" t="s">
        <v>49</v>
      </c>
      <c r="U219" t="s">
        <v>976</v>
      </c>
      <c r="W219">
        <f t="shared" si="6"/>
        <v>7.7219292099999999</v>
      </c>
      <c r="X219" s="10">
        <f t="shared" si="7"/>
        <v>6220</v>
      </c>
    </row>
    <row r="220" spans="1:24" x14ac:dyDescent="0.3">
      <c r="A220">
        <v>131990902</v>
      </c>
      <c r="B220">
        <v>12.1</v>
      </c>
      <c r="C220">
        <v>3</v>
      </c>
      <c r="D220" t="s">
        <v>60</v>
      </c>
      <c r="E220" t="s">
        <v>55</v>
      </c>
      <c r="F220">
        <v>131990902</v>
      </c>
      <c r="G220" t="s">
        <v>276</v>
      </c>
      <c r="H220">
        <v>1444</v>
      </c>
      <c r="I220">
        <v>358</v>
      </c>
      <c r="J220">
        <v>119</v>
      </c>
      <c r="K220">
        <v>5</v>
      </c>
      <c r="L220">
        <v>48.268597399999997</v>
      </c>
      <c r="M220">
        <v>-15.14570428</v>
      </c>
      <c r="N220" s="10">
        <v>93600</v>
      </c>
      <c r="O220" s="10">
        <v>-11000</v>
      </c>
      <c r="P220" s="10">
        <v>2180</v>
      </c>
      <c r="Q220">
        <v>0</v>
      </c>
      <c r="R220">
        <v>0</v>
      </c>
      <c r="S220" t="s">
        <v>975</v>
      </c>
      <c r="T220" t="s">
        <v>49</v>
      </c>
      <c r="U220" t="s">
        <v>976</v>
      </c>
      <c r="W220">
        <f t="shared" si="6"/>
        <v>15.14570428</v>
      </c>
      <c r="X220" s="10">
        <f t="shared" si="7"/>
        <v>11000</v>
      </c>
    </row>
    <row r="221" spans="1:24" x14ac:dyDescent="0.3">
      <c r="A221">
        <v>131990910</v>
      </c>
      <c r="B221">
        <v>7.7</v>
      </c>
      <c r="C221">
        <v>2</v>
      </c>
      <c r="D221" t="s">
        <v>60</v>
      </c>
      <c r="E221" t="s">
        <v>55</v>
      </c>
      <c r="F221">
        <v>131990910</v>
      </c>
      <c r="G221" t="s">
        <v>277</v>
      </c>
      <c r="H221">
        <v>4691</v>
      </c>
      <c r="I221">
        <v>1218</v>
      </c>
      <c r="J221">
        <v>609</v>
      </c>
      <c r="K221">
        <v>16</v>
      </c>
      <c r="L221">
        <v>145.31168310000001</v>
      </c>
      <c r="M221">
        <v>-42.893082530000001</v>
      </c>
      <c r="N221" s="10">
        <v>292000</v>
      </c>
      <c r="O221" s="10">
        <v>-29300</v>
      </c>
      <c r="P221" s="10">
        <v>7430</v>
      </c>
      <c r="Q221">
        <v>0</v>
      </c>
      <c r="R221">
        <v>0</v>
      </c>
      <c r="S221" t="s">
        <v>975</v>
      </c>
      <c r="T221" t="s">
        <v>49</v>
      </c>
      <c r="U221" t="s">
        <v>976</v>
      </c>
      <c r="W221">
        <f t="shared" si="6"/>
        <v>42.893082530000001</v>
      </c>
      <c r="X221" s="10">
        <f t="shared" si="7"/>
        <v>29300</v>
      </c>
    </row>
    <row r="222" spans="1:24" x14ac:dyDescent="0.3">
      <c r="A222">
        <v>131990911</v>
      </c>
      <c r="B222">
        <v>10.65</v>
      </c>
      <c r="C222">
        <v>3</v>
      </c>
      <c r="D222" t="s">
        <v>60</v>
      </c>
      <c r="E222" t="s">
        <v>47</v>
      </c>
      <c r="F222">
        <v>131990911</v>
      </c>
      <c r="G222" t="s">
        <v>278</v>
      </c>
      <c r="H222">
        <v>1653</v>
      </c>
      <c r="I222">
        <v>466</v>
      </c>
      <c r="J222">
        <v>155</v>
      </c>
      <c r="K222">
        <v>6</v>
      </c>
      <c r="L222">
        <v>76.17652932</v>
      </c>
      <c r="M222">
        <v>-16.576451070000001</v>
      </c>
      <c r="N222" s="10">
        <v>147000</v>
      </c>
      <c r="O222" s="10">
        <v>-12700</v>
      </c>
      <c r="P222" s="10">
        <v>2840</v>
      </c>
      <c r="Q222">
        <v>0</v>
      </c>
      <c r="R222">
        <v>0</v>
      </c>
      <c r="S222" t="s">
        <v>975</v>
      </c>
      <c r="T222" t="s">
        <v>49</v>
      </c>
      <c r="U222" t="s">
        <v>976</v>
      </c>
      <c r="W222">
        <f t="shared" si="6"/>
        <v>16.576451070000001</v>
      </c>
      <c r="X222" s="10">
        <f t="shared" si="7"/>
        <v>12700</v>
      </c>
    </row>
    <row r="223" spans="1:24" x14ac:dyDescent="0.3">
      <c r="A223">
        <v>131990912</v>
      </c>
      <c r="B223">
        <v>9.3333333330000006</v>
      </c>
      <c r="C223">
        <v>2</v>
      </c>
      <c r="D223" t="s">
        <v>60</v>
      </c>
      <c r="E223" t="s">
        <v>47</v>
      </c>
      <c r="F223">
        <v>131990912</v>
      </c>
      <c r="G223" t="s">
        <v>279</v>
      </c>
      <c r="H223">
        <v>1179</v>
      </c>
      <c r="I223">
        <v>253</v>
      </c>
      <c r="J223">
        <v>127</v>
      </c>
      <c r="K223">
        <v>3</v>
      </c>
      <c r="L223">
        <v>69.461654240000001</v>
      </c>
      <c r="M223">
        <v>-12.510671479999999</v>
      </c>
      <c r="N223" s="10">
        <v>126000</v>
      </c>
      <c r="O223" s="10">
        <v>-11500</v>
      </c>
      <c r="P223" s="10">
        <v>1540</v>
      </c>
      <c r="Q223">
        <v>0</v>
      </c>
      <c r="R223">
        <v>0</v>
      </c>
      <c r="S223" t="s">
        <v>975</v>
      </c>
      <c r="T223" t="s">
        <v>49</v>
      </c>
      <c r="U223" t="s">
        <v>976</v>
      </c>
      <c r="W223">
        <f t="shared" si="6"/>
        <v>12.510671479999999</v>
      </c>
      <c r="X223" s="10">
        <f t="shared" si="7"/>
        <v>11500</v>
      </c>
    </row>
    <row r="224" spans="1:24" x14ac:dyDescent="0.3">
      <c r="A224">
        <v>131990930</v>
      </c>
      <c r="B224">
        <v>10.9</v>
      </c>
      <c r="C224">
        <v>3</v>
      </c>
      <c r="D224" t="s">
        <v>60</v>
      </c>
      <c r="E224" t="s">
        <v>47</v>
      </c>
      <c r="F224">
        <v>131990930</v>
      </c>
      <c r="G224" t="s">
        <v>280</v>
      </c>
      <c r="H224">
        <v>3071</v>
      </c>
      <c r="I224">
        <v>845</v>
      </c>
      <c r="J224">
        <v>282</v>
      </c>
      <c r="K224">
        <v>11</v>
      </c>
      <c r="L224">
        <v>95.599777939999996</v>
      </c>
      <c r="M224">
        <v>-24.767173669999998</v>
      </c>
      <c r="N224" s="10">
        <v>200000</v>
      </c>
      <c r="O224" s="10">
        <v>-18900</v>
      </c>
      <c r="P224" s="10">
        <v>5150</v>
      </c>
      <c r="Q224">
        <v>0</v>
      </c>
      <c r="R224">
        <v>0</v>
      </c>
      <c r="S224" t="s">
        <v>975</v>
      </c>
      <c r="T224" t="s">
        <v>49</v>
      </c>
      <c r="U224" t="s">
        <v>976</v>
      </c>
      <c r="W224">
        <f t="shared" si="6"/>
        <v>24.767173669999998</v>
      </c>
      <c r="X224" s="10">
        <f t="shared" si="7"/>
        <v>18900</v>
      </c>
    </row>
    <row r="225" spans="1:24" x14ac:dyDescent="0.3">
      <c r="A225">
        <v>131990956</v>
      </c>
      <c r="B225">
        <v>13.5</v>
      </c>
      <c r="C225">
        <v>3</v>
      </c>
      <c r="D225" t="s">
        <v>60</v>
      </c>
      <c r="E225" t="s">
        <v>80</v>
      </c>
      <c r="F225">
        <v>131990956</v>
      </c>
      <c r="G225" t="s">
        <v>281</v>
      </c>
      <c r="H225">
        <v>2739</v>
      </c>
      <c r="I225">
        <v>609</v>
      </c>
      <c r="J225">
        <v>203</v>
      </c>
      <c r="K225">
        <v>8</v>
      </c>
      <c r="L225">
        <v>96.956707140000006</v>
      </c>
      <c r="M225">
        <v>-25.018661940000001</v>
      </c>
      <c r="N225" s="10">
        <v>190000</v>
      </c>
      <c r="O225" s="10">
        <v>-20100</v>
      </c>
      <c r="P225" s="10">
        <v>3710</v>
      </c>
      <c r="Q225">
        <v>0</v>
      </c>
      <c r="R225">
        <v>0</v>
      </c>
      <c r="S225" t="s">
        <v>975</v>
      </c>
      <c r="T225" t="s">
        <v>49</v>
      </c>
      <c r="U225" t="s">
        <v>976</v>
      </c>
      <c r="W225">
        <f t="shared" si="6"/>
        <v>25.018661940000001</v>
      </c>
      <c r="X225" s="10">
        <f t="shared" si="7"/>
        <v>20100</v>
      </c>
    </row>
    <row r="226" spans="1:24" x14ac:dyDescent="0.3">
      <c r="A226">
        <v>131990957</v>
      </c>
      <c r="B226">
        <v>8.1999999999999993</v>
      </c>
      <c r="C226">
        <v>2</v>
      </c>
      <c r="D226" t="s">
        <v>60</v>
      </c>
      <c r="E226" t="s">
        <v>47</v>
      </c>
      <c r="F226">
        <v>131990957</v>
      </c>
      <c r="G226" t="s">
        <v>282</v>
      </c>
      <c r="H226">
        <v>1000</v>
      </c>
      <c r="I226">
        <v>244</v>
      </c>
      <c r="J226">
        <v>122</v>
      </c>
      <c r="K226">
        <v>3</v>
      </c>
      <c r="L226">
        <v>51.000939520000003</v>
      </c>
      <c r="M226">
        <v>-10.023829559999999</v>
      </c>
      <c r="N226" s="10">
        <v>95800</v>
      </c>
      <c r="O226" s="10">
        <v>-8240</v>
      </c>
      <c r="P226" s="10">
        <v>1490</v>
      </c>
      <c r="Q226">
        <v>0</v>
      </c>
      <c r="R226">
        <v>0</v>
      </c>
      <c r="S226" t="s">
        <v>975</v>
      </c>
      <c r="T226" t="s">
        <v>49</v>
      </c>
      <c r="U226" t="s">
        <v>976</v>
      </c>
      <c r="W226">
        <f t="shared" si="6"/>
        <v>10.023829559999999</v>
      </c>
      <c r="X226" s="10">
        <f t="shared" si="7"/>
        <v>8240</v>
      </c>
    </row>
    <row r="227" spans="1:24" x14ac:dyDescent="0.3">
      <c r="A227">
        <v>131990975</v>
      </c>
      <c r="B227">
        <v>5.7249999999999996</v>
      </c>
      <c r="C227">
        <v>1</v>
      </c>
      <c r="D227" t="s">
        <v>54</v>
      </c>
      <c r="E227" t="s">
        <v>47</v>
      </c>
      <c r="F227">
        <v>131990975</v>
      </c>
      <c r="G227" t="s">
        <v>283</v>
      </c>
      <c r="H227">
        <v>651</v>
      </c>
      <c r="I227">
        <v>114</v>
      </c>
      <c r="J227">
        <v>114</v>
      </c>
      <c r="K227">
        <v>1</v>
      </c>
      <c r="L227">
        <v>34.722915229999998</v>
      </c>
      <c r="M227">
        <v>-5.1365660159999997</v>
      </c>
      <c r="N227" s="10">
        <v>69700</v>
      </c>
      <c r="O227" s="10">
        <v>-6520</v>
      </c>
      <c r="P227" s="10">
        <v>541</v>
      </c>
      <c r="Q227">
        <v>0</v>
      </c>
      <c r="R227">
        <v>0</v>
      </c>
      <c r="S227" t="s">
        <v>975</v>
      </c>
      <c r="T227" t="s">
        <v>49</v>
      </c>
      <c r="U227" t="s">
        <v>976</v>
      </c>
      <c r="W227">
        <f t="shared" si="6"/>
        <v>5.1365660159999997</v>
      </c>
      <c r="X227" s="10">
        <f t="shared" si="7"/>
        <v>6520</v>
      </c>
    </row>
    <row r="228" spans="1:24" x14ac:dyDescent="0.3">
      <c r="A228">
        <v>131990980</v>
      </c>
      <c r="B228">
        <v>7.55</v>
      </c>
      <c r="C228">
        <v>2</v>
      </c>
      <c r="D228" t="s">
        <v>102</v>
      </c>
      <c r="E228" t="s">
        <v>47</v>
      </c>
      <c r="F228">
        <v>131990980</v>
      </c>
      <c r="G228" t="s">
        <v>284</v>
      </c>
      <c r="H228">
        <v>1887</v>
      </c>
      <c r="I228">
        <v>500</v>
      </c>
      <c r="J228">
        <v>250</v>
      </c>
      <c r="K228">
        <v>6</v>
      </c>
      <c r="L228">
        <v>72.663562830000004</v>
      </c>
      <c r="M228">
        <v>-13.87943361</v>
      </c>
      <c r="N228" s="10">
        <v>174000</v>
      </c>
      <c r="O228" s="10">
        <v>-19500</v>
      </c>
      <c r="P228" s="10">
        <v>2380</v>
      </c>
      <c r="Q228">
        <v>0</v>
      </c>
      <c r="R228">
        <v>0</v>
      </c>
      <c r="S228" t="s">
        <v>975</v>
      </c>
      <c r="T228" t="s">
        <v>49</v>
      </c>
      <c r="U228" t="s">
        <v>976</v>
      </c>
      <c r="W228">
        <f t="shared" si="6"/>
        <v>13.87943361</v>
      </c>
      <c r="X228" s="10">
        <f t="shared" si="7"/>
        <v>19500</v>
      </c>
    </row>
    <row r="229" spans="1:24" x14ac:dyDescent="0.3">
      <c r="A229">
        <v>131991007</v>
      </c>
      <c r="B229">
        <v>11.7</v>
      </c>
      <c r="C229">
        <v>3</v>
      </c>
      <c r="D229" t="s">
        <v>46</v>
      </c>
      <c r="E229" t="s">
        <v>51</v>
      </c>
      <c r="F229">
        <v>131991007</v>
      </c>
      <c r="G229" t="s">
        <v>285</v>
      </c>
      <c r="H229">
        <v>838</v>
      </c>
      <c r="I229">
        <v>215</v>
      </c>
      <c r="J229">
        <v>72</v>
      </c>
      <c r="K229">
        <v>3</v>
      </c>
      <c r="L229">
        <v>25.389910149999999</v>
      </c>
      <c r="M229">
        <v>-7.4114803560000002</v>
      </c>
      <c r="N229" s="10">
        <v>62400</v>
      </c>
      <c r="O229" s="10">
        <v>-9190</v>
      </c>
      <c r="P229" s="10">
        <v>1020</v>
      </c>
      <c r="Q229">
        <v>0</v>
      </c>
      <c r="R229">
        <v>0</v>
      </c>
      <c r="S229" t="s">
        <v>975</v>
      </c>
      <c r="T229" t="s">
        <v>49</v>
      </c>
      <c r="U229" t="s">
        <v>976</v>
      </c>
      <c r="W229">
        <f t="shared" si="6"/>
        <v>7.4114803560000002</v>
      </c>
      <c r="X229" s="10">
        <f t="shared" si="7"/>
        <v>9190</v>
      </c>
    </row>
    <row r="230" spans="1:24" x14ac:dyDescent="0.3">
      <c r="A230">
        <v>131991019</v>
      </c>
      <c r="B230">
        <v>8</v>
      </c>
      <c r="C230">
        <v>2</v>
      </c>
      <c r="D230" t="s">
        <v>60</v>
      </c>
      <c r="E230" t="s">
        <v>47</v>
      </c>
      <c r="F230">
        <v>131991019</v>
      </c>
      <c r="G230" t="s">
        <v>286</v>
      </c>
      <c r="H230">
        <v>2689</v>
      </c>
      <c r="I230">
        <v>672</v>
      </c>
      <c r="J230">
        <v>336</v>
      </c>
      <c r="K230">
        <v>9</v>
      </c>
      <c r="L230">
        <v>129.4550739</v>
      </c>
      <c r="M230">
        <v>-25.11944566</v>
      </c>
      <c r="N230" s="10">
        <v>247000</v>
      </c>
      <c r="O230" s="10">
        <v>-22500</v>
      </c>
      <c r="P230" s="10">
        <v>4100</v>
      </c>
      <c r="Q230">
        <v>0</v>
      </c>
      <c r="R230">
        <v>0</v>
      </c>
      <c r="S230" t="s">
        <v>975</v>
      </c>
      <c r="T230" t="s">
        <v>49</v>
      </c>
      <c r="U230" t="s">
        <v>976</v>
      </c>
      <c r="W230">
        <f t="shared" si="6"/>
        <v>25.11944566</v>
      </c>
      <c r="X230" s="10">
        <f t="shared" si="7"/>
        <v>22500</v>
      </c>
    </row>
    <row r="231" spans="1:24" x14ac:dyDescent="0.3">
      <c r="A231">
        <v>131991039</v>
      </c>
      <c r="B231">
        <v>12.75</v>
      </c>
      <c r="C231">
        <v>3</v>
      </c>
      <c r="D231" t="s">
        <v>102</v>
      </c>
      <c r="E231" t="s">
        <v>55</v>
      </c>
      <c r="F231">
        <v>131991039</v>
      </c>
      <c r="G231" t="s">
        <v>287</v>
      </c>
      <c r="H231">
        <v>1401</v>
      </c>
      <c r="I231">
        <v>330</v>
      </c>
      <c r="J231">
        <v>110</v>
      </c>
      <c r="K231">
        <v>4</v>
      </c>
      <c r="L231">
        <v>30.278477460000001</v>
      </c>
      <c r="M231">
        <v>-10.920950680000001</v>
      </c>
      <c r="N231" s="10">
        <v>81600</v>
      </c>
      <c r="O231" s="10">
        <v>-12500</v>
      </c>
      <c r="P231" s="10">
        <v>1570</v>
      </c>
      <c r="Q231">
        <v>0</v>
      </c>
      <c r="R231">
        <v>0</v>
      </c>
      <c r="S231" t="s">
        <v>975</v>
      </c>
      <c r="T231" t="s">
        <v>49</v>
      </c>
      <c r="U231" t="s">
        <v>976</v>
      </c>
      <c r="W231">
        <f t="shared" si="6"/>
        <v>10.920950680000001</v>
      </c>
      <c r="X231" s="10">
        <f t="shared" si="7"/>
        <v>12500</v>
      </c>
    </row>
    <row r="232" spans="1:24" x14ac:dyDescent="0.3">
      <c r="A232">
        <v>131991078</v>
      </c>
      <c r="B232">
        <v>5.24</v>
      </c>
      <c r="C232">
        <v>1</v>
      </c>
      <c r="D232" t="s">
        <v>60</v>
      </c>
      <c r="E232" t="s">
        <v>47</v>
      </c>
      <c r="F232">
        <v>131991078</v>
      </c>
      <c r="G232" t="s">
        <v>288</v>
      </c>
      <c r="H232">
        <v>1696</v>
      </c>
      <c r="I232">
        <v>324</v>
      </c>
      <c r="J232">
        <v>324</v>
      </c>
      <c r="K232">
        <v>4</v>
      </c>
      <c r="L232">
        <v>99.307629120000001</v>
      </c>
      <c r="M232">
        <v>-16.26528017</v>
      </c>
      <c r="N232" s="10">
        <v>184000</v>
      </c>
      <c r="O232" s="10">
        <v>-15400</v>
      </c>
      <c r="P232" s="10">
        <v>1970</v>
      </c>
      <c r="Q232">
        <v>0</v>
      </c>
      <c r="R232">
        <v>0</v>
      </c>
      <c r="S232" t="s">
        <v>975</v>
      </c>
      <c r="T232" t="s">
        <v>49</v>
      </c>
      <c r="U232" t="s">
        <v>976</v>
      </c>
      <c r="W232">
        <f t="shared" si="6"/>
        <v>16.26528017</v>
      </c>
      <c r="X232" s="10">
        <f t="shared" si="7"/>
        <v>15400</v>
      </c>
    </row>
    <row r="233" spans="1:24" x14ac:dyDescent="0.3">
      <c r="A233">
        <v>131991115</v>
      </c>
      <c r="B233">
        <v>6.65</v>
      </c>
      <c r="C233">
        <v>1</v>
      </c>
      <c r="D233" t="s">
        <v>60</v>
      </c>
      <c r="E233" t="s">
        <v>47</v>
      </c>
      <c r="F233">
        <v>131991115</v>
      </c>
      <c r="G233" t="s">
        <v>289</v>
      </c>
      <c r="H233">
        <v>640</v>
      </c>
      <c r="I233">
        <v>96</v>
      </c>
      <c r="J233">
        <v>96</v>
      </c>
      <c r="K233">
        <v>1</v>
      </c>
      <c r="L233">
        <v>43.051638390000001</v>
      </c>
      <c r="M233">
        <v>-6.6072287279999999</v>
      </c>
      <c r="N233" s="10">
        <v>79900</v>
      </c>
      <c r="O233" s="10">
        <v>-6240</v>
      </c>
      <c r="P233" s="10">
        <v>586</v>
      </c>
      <c r="Q233">
        <v>0</v>
      </c>
      <c r="R233">
        <v>0</v>
      </c>
      <c r="S233" t="s">
        <v>975</v>
      </c>
      <c r="T233" t="s">
        <v>49</v>
      </c>
      <c r="U233" t="s">
        <v>976</v>
      </c>
      <c r="W233">
        <f t="shared" si="6"/>
        <v>6.6072287279999999</v>
      </c>
      <c r="X233" s="10">
        <f t="shared" si="7"/>
        <v>6240</v>
      </c>
    </row>
    <row r="234" spans="1:24" x14ac:dyDescent="0.3">
      <c r="A234">
        <v>131991162</v>
      </c>
      <c r="B234">
        <v>8.0666666669999998</v>
      </c>
      <c r="C234">
        <v>2</v>
      </c>
      <c r="D234" t="s">
        <v>60</v>
      </c>
      <c r="E234" t="s">
        <v>47</v>
      </c>
      <c r="F234">
        <v>131991162</v>
      </c>
      <c r="G234" t="s">
        <v>290</v>
      </c>
      <c r="H234">
        <v>1455</v>
      </c>
      <c r="I234">
        <v>361</v>
      </c>
      <c r="J234">
        <v>181</v>
      </c>
      <c r="K234">
        <v>5</v>
      </c>
      <c r="L234">
        <v>70.473036669999999</v>
      </c>
      <c r="M234">
        <v>-14.05557106</v>
      </c>
      <c r="N234" s="10">
        <v>134000</v>
      </c>
      <c r="O234" s="10">
        <v>-11800</v>
      </c>
      <c r="P234" s="10">
        <v>2200</v>
      </c>
      <c r="Q234">
        <v>0</v>
      </c>
      <c r="R234">
        <v>0</v>
      </c>
      <c r="S234" t="s">
        <v>975</v>
      </c>
      <c r="T234" t="s">
        <v>49</v>
      </c>
      <c r="U234" t="s">
        <v>976</v>
      </c>
      <c r="W234">
        <f t="shared" si="6"/>
        <v>14.05557106</v>
      </c>
      <c r="X234" s="10">
        <f t="shared" si="7"/>
        <v>11800</v>
      </c>
    </row>
    <row r="235" spans="1:24" x14ac:dyDescent="0.3">
      <c r="A235">
        <v>131991177</v>
      </c>
      <c r="B235">
        <v>8.1</v>
      </c>
      <c r="C235">
        <v>2</v>
      </c>
      <c r="D235" t="s">
        <v>54</v>
      </c>
      <c r="E235" t="s">
        <v>47</v>
      </c>
      <c r="F235">
        <v>131991177</v>
      </c>
      <c r="G235" t="s">
        <v>291</v>
      </c>
      <c r="H235">
        <v>2743</v>
      </c>
      <c r="I235">
        <v>677</v>
      </c>
      <c r="J235">
        <v>339</v>
      </c>
      <c r="K235">
        <v>9</v>
      </c>
      <c r="L235">
        <v>93.568396879999995</v>
      </c>
      <c r="M235">
        <v>-18.27119789</v>
      </c>
      <c r="N235" s="10">
        <v>229000</v>
      </c>
      <c r="O235" s="10">
        <v>-25800</v>
      </c>
      <c r="P235" s="10">
        <v>3220</v>
      </c>
      <c r="Q235">
        <v>0</v>
      </c>
      <c r="R235">
        <v>0</v>
      </c>
      <c r="S235" t="s">
        <v>975</v>
      </c>
      <c r="T235" t="s">
        <v>49</v>
      </c>
      <c r="U235" t="s">
        <v>976</v>
      </c>
      <c r="W235">
        <f t="shared" si="6"/>
        <v>18.27119789</v>
      </c>
      <c r="X235" s="10">
        <f t="shared" si="7"/>
        <v>25800</v>
      </c>
    </row>
    <row r="236" spans="1:24" x14ac:dyDescent="0.3">
      <c r="A236">
        <v>131991194</v>
      </c>
      <c r="B236">
        <v>8.02</v>
      </c>
      <c r="C236">
        <v>2</v>
      </c>
      <c r="D236" t="s">
        <v>60</v>
      </c>
      <c r="E236" t="s">
        <v>47</v>
      </c>
      <c r="F236">
        <v>131991194</v>
      </c>
      <c r="G236" t="s">
        <v>292</v>
      </c>
      <c r="H236">
        <v>1025</v>
      </c>
      <c r="I236">
        <v>256</v>
      </c>
      <c r="J236">
        <v>128</v>
      </c>
      <c r="K236">
        <v>3</v>
      </c>
      <c r="L236">
        <v>43.770956300000002</v>
      </c>
      <c r="M236">
        <v>-9.1595448699999995</v>
      </c>
      <c r="N236" s="10">
        <v>85200</v>
      </c>
      <c r="O236" s="10">
        <v>-7670</v>
      </c>
      <c r="P236" s="10">
        <v>1560</v>
      </c>
      <c r="Q236">
        <v>0</v>
      </c>
      <c r="R236">
        <v>0</v>
      </c>
      <c r="S236" t="s">
        <v>975</v>
      </c>
      <c r="T236" t="s">
        <v>49</v>
      </c>
      <c r="U236" t="s">
        <v>976</v>
      </c>
      <c r="W236">
        <f t="shared" si="6"/>
        <v>9.1595448699999995</v>
      </c>
      <c r="X236" s="10">
        <f t="shared" si="7"/>
        <v>7670</v>
      </c>
    </row>
    <row r="237" spans="1:24" x14ac:dyDescent="0.3">
      <c r="A237">
        <v>131991196</v>
      </c>
      <c r="B237">
        <v>6</v>
      </c>
      <c r="C237">
        <v>1</v>
      </c>
      <c r="D237" t="s">
        <v>60</v>
      </c>
      <c r="E237" t="s">
        <v>47</v>
      </c>
      <c r="F237">
        <v>131991196</v>
      </c>
      <c r="G237" t="s">
        <v>293</v>
      </c>
      <c r="H237">
        <v>598</v>
      </c>
      <c r="I237">
        <v>100</v>
      </c>
      <c r="J237">
        <v>100</v>
      </c>
      <c r="K237">
        <v>1</v>
      </c>
      <c r="L237">
        <v>35.527797679999999</v>
      </c>
      <c r="M237">
        <v>-5.5406040440000002</v>
      </c>
      <c r="N237" s="10">
        <v>66400</v>
      </c>
      <c r="O237" s="10">
        <v>-5130</v>
      </c>
      <c r="P237" s="10">
        <v>607</v>
      </c>
      <c r="Q237">
        <v>0</v>
      </c>
      <c r="R237">
        <v>0</v>
      </c>
      <c r="S237" t="s">
        <v>975</v>
      </c>
      <c r="T237" t="s">
        <v>49</v>
      </c>
      <c r="U237" t="s">
        <v>976</v>
      </c>
      <c r="W237">
        <f t="shared" si="6"/>
        <v>5.5406040440000002</v>
      </c>
      <c r="X237" s="10">
        <f t="shared" si="7"/>
        <v>5130</v>
      </c>
    </row>
    <row r="238" spans="1:24" x14ac:dyDescent="0.3">
      <c r="A238">
        <v>131991205</v>
      </c>
      <c r="B238">
        <v>4.3499999999999996</v>
      </c>
      <c r="C238">
        <v>1</v>
      </c>
      <c r="D238" t="s">
        <v>54</v>
      </c>
      <c r="E238" t="s">
        <v>47</v>
      </c>
      <c r="F238">
        <v>131991205</v>
      </c>
      <c r="G238" t="s">
        <v>294</v>
      </c>
      <c r="H238">
        <v>1630</v>
      </c>
      <c r="I238">
        <v>375</v>
      </c>
      <c r="J238">
        <v>375</v>
      </c>
      <c r="K238">
        <v>5</v>
      </c>
      <c r="L238">
        <v>88.33804773</v>
      </c>
      <c r="M238">
        <v>-12.963498059999999</v>
      </c>
      <c r="N238" s="10">
        <v>186000</v>
      </c>
      <c r="O238" s="10">
        <v>-18100</v>
      </c>
      <c r="P238" s="10">
        <v>1780</v>
      </c>
      <c r="Q238">
        <v>0</v>
      </c>
      <c r="R238">
        <v>0</v>
      </c>
      <c r="S238" t="s">
        <v>975</v>
      </c>
      <c r="T238" t="s">
        <v>49</v>
      </c>
      <c r="U238" t="s">
        <v>976</v>
      </c>
      <c r="W238">
        <f t="shared" si="6"/>
        <v>12.963498059999999</v>
      </c>
      <c r="X238" s="10">
        <f t="shared" si="7"/>
        <v>18100</v>
      </c>
    </row>
    <row r="239" spans="1:24" x14ac:dyDescent="0.3">
      <c r="A239">
        <v>131991227</v>
      </c>
      <c r="B239">
        <v>8.68</v>
      </c>
      <c r="C239">
        <v>2</v>
      </c>
      <c r="D239" t="s">
        <v>60</v>
      </c>
      <c r="E239" t="s">
        <v>47</v>
      </c>
      <c r="F239">
        <v>131991227</v>
      </c>
      <c r="G239" t="s">
        <v>295</v>
      </c>
      <c r="H239">
        <v>2550</v>
      </c>
      <c r="I239">
        <v>588</v>
      </c>
      <c r="J239">
        <v>294</v>
      </c>
      <c r="K239">
        <v>8</v>
      </c>
      <c r="L239">
        <v>114.2831329</v>
      </c>
      <c r="M239">
        <v>-22.600325160000001</v>
      </c>
      <c r="N239" s="10">
        <v>220000</v>
      </c>
      <c r="O239" s="10">
        <v>-18900</v>
      </c>
      <c r="P239" s="10">
        <v>3580</v>
      </c>
      <c r="Q239">
        <v>0</v>
      </c>
      <c r="R239">
        <v>0</v>
      </c>
      <c r="S239" t="s">
        <v>975</v>
      </c>
      <c r="T239" t="s">
        <v>49</v>
      </c>
      <c r="U239" t="s">
        <v>976</v>
      </c>
      <c r="W239">
        <f t="shared" si="6"/>
        <v>22.600325160000001</v>
      </c>
      <c r="X239" s="10">
        <f t="shared" si="7"/>
        <v>18900</v>
      </c>
    </row>
    <row r="240" spans="1:24" x14ac:dyDescent="0.3">
      <c r="A240">
        <v>131991234</v>
      </c>
      <c r="B240">
        <v>6.7</v>
      </c>
      <c r="C240">
        <v>1</v>
      </c>
      <c r="D240" t="s">
        <v>60</v>
      </c>
      <c r="E240" t="s">
        <v>47</v>
      </c>
      <c r="F240">
        <v>131991234</v>
      </c>
      <c r="G240" t="s">
        <v>296</v>
      </c>
      <c r="H240">
        <v>586</v>
      </c>
      <c r="I240">
        <v>87</v>
      </c>
      <c r="J240">
        <v>87</v>
      </c>
      <c r="K240">
        <v>1</v>
      </c>
      <c r="L240">
        <v>29.742579070000001</v>
      </c>
      <c r="M240">
        <v>-5.0368584939999996</v>
      </c>
      <c r="N240" s="10">
        <v>55900</v>
      </c>
      <c r="O240" s="10">
        <v>-4760</v>
      </c>
      <c r="P240" s="10">
        <v>533</v>
      </c>
      <c r="Q240">
        <v>0</v>
      </c>
      <c r="R240">
        <v>0</v>
      </c>
      <c r="S240" t="s">
        <v>975</v>
      </c>
      <c r="T240" t="s">
        <v>49</v>
      </c>
      <c r="U240" t="s">
        <v>976</v>
      </c>
      <c r="W240">
        <f t="shared" si="6"/>
        <v>5.0368584939999996</v>
      </c>
      <c r="X240" s="10">
        <f t="shared" si="7"/>
        <v>4760</v>
      </c>
    </row>
    <row r="241" spans="1:24" x14ac:dyDescent="0.3">
      <c r="A241">
        <v>131991248</v>
      </c>
      <c r="B241">
        <v>4.75</v>
      </c>
      <c r="C241">
        <v>1</v>
      </c>
      <c r="D241" t="s">
        <v>54</v>
      </c>
      <c r="E241" t="s">
        <v>51</v>
      </c>
      <c r="F241">
        <v>131991248</v>
      </c>
      <c r="G241" t="s">
        <v>297</v>
      </c>
      <c r="H241">
        <v>868</v>
      </c>
      <c r="I241">
        <v>183</v>
      </c>
      <c r="J241">
        <v>183</v>
      </c>
      <c r="K241">
        <v>2</v>
      </c>
      <c r="L241">
        <v>24.850213239999999</v>
      </c>
      <c r="M241">
        <v>-5.1561143769999997</v>
      </c>
      <c r="N241" s="10">
        <v>61000</v>
      </c>
      <c r="O241" s="10">
        <v>-6700</v>
      </c>
      <c r="P241" s="10">
        <v>870</v>
      </c>
      <c r="Q241">
        <v>0</v>
      </c>
      <c r="R241">
        <v>0</v>
      </c>
      <c r="S241" t="s">
        <v>975</v>
      </c>
      <c r="T241" t="s">
        <v>49</v>
      </c>
      <c r="U241" t="s">
        <v>976</v>
      </c>
      <c r="W241">
        <f t="shared" si="6"/>
        <v>5.1561143769999997</v>
      </c>
      <c r="X241" s="10">
        <f t="shared" si="7"/>
        <v>6700</v>
      </c>
    </row>
    <row r="242" spans="1:24" x14ac:dyDescent="0.3">
      <c r="A242">
        <v>131991277</v>
      </c>
      <c r="B242">
        <v>11.475</v>
      </c>
      <c r="C242">
        <v>3</v>
      </c>
      <c r="D242" t="s">
        <v>60</v>
      </c>
      <c r="E242" t="s">
        <v>51</v>
      </c>
      <c r="F242">
        <v>131991277</v>
      </c>
      <c r="G242" t="s">
        <v>298</v>
      </c>
      <c r="H242">
        <v>1956</v>
      </c>
      <c r="I242">
        <v>511</v>
      </c>
      <c r="J242">
        <v>170</v>
      </c>
      <c r="K242">
        <v>7</v>
      </c>
      <c r="L242">
        <v>49.242938549999998</v>
      </c>
      <c r="M242">
        <v>-15.53124523</v>
      </c>
      <c r="N242" s="10">
        <v>104000</v>
      </c>
      <c r="O242" s="10">
        <v>-11100</v>
      </c>
      <c r="P242" s="10">
        <v>3120</v>
      </c>
      <c r="Q242">
        <v>0</v>
      </c>
      <c r="R242">
        <v>0</v>
      </c>
      <c r="S242" t="s">
        <v>975</v>
      </c>
      <c r="T242" t="s">
        <v>49</v>
      </c>
      <c r="U242" t="s">
        <v>976</v>
      </c>
      <c r="W242">
        <f t="shared" si="6"/>
        <v>15.53124523</v>
      </c>
      <c r="X242" s="10">
        <f t="shared" si="7"/>
        <v>11100</v>
      </c>
    </row>
    <row r="243" spans="1:24" x14ac:dyDescent="0.3">
      <c r="A243">
        <v>131991281</v>
      </c>
      <c r="B243">
        <v>9</v>
      </c>
      <c r="C243">
        <v>2</v>
      </c>
      <c r="D243" t="s">
        <v>46</v>
      </c>
      <c r="E243" t="s">
        <v>47</v>
      </c>
      <c r="F243">
        <v>131991281</v>
      </c>
      <c r="G243" t="s">
        <v>299</v>
      </c>
      <c r="H243">
        <v>791</v>
      </c>
      <c r="I243">
        <v>176</v>
      </c>
      <c r="J243">
        <v>88</v>
      </c>
      <c r="K243">
        <v>2</v>
      </c>
      <c r="L243">
        <v>33.481804820000001</v>
      </c>
      <c r="M243">
        <v>-5.8715192470000002</v>
      </c>
      <c r="N243" s="10">
        <v>73500</v>
      </c>
      <c r="O243" s="10">
        <v>-7860</v>
      </c>
      <c r="P243" s="10">
        <v>837</v>
      </c>
      <c r="Q243">
        <v>0</v>
      </c>
      <c r="R243">
        <v>0</v>
      </c>
      <c r="S243" t="s">
        <v>975</v>
      </c>
      <c r="T243" t="s">
        <v>49</v>
      </c>
      <c r="U243" t="s">
        <v>976</v>
      </c>
      <c r="W243">
        <f t="shared" si="6"/>
        <v>5.8715192470000002</v>
      </c>
      <c r="X243" s="10">
        <f t="shared" si="7"/>
        <v>7860</v>
      </c>
    </row>
    <row r="244" spans="1:24" x14ac:dyDescent="0.3">
      <c r="A244">
        <v>131991284</v>
      </c>
      <c r="B244">
        <v>7.1</v>
      </c>
      <c r="C244">
        <v>2</v>
      </c>
      <c r="D244" t="s">
        <v>60</v>
      </c>
      <c r="E244" t="s">
        <v>51</v>
      </c>
      <c r="F244">
        <v>131991284</v>
      </c>
      <c r="G244" t="s">
        <v>300</v>
      </c>
      <c r="H244">
        <v>837</v>
      </c>
      <c r="I244">
        <v>236</v>
      </c>
      <c r="J244">
        <v>118</v>
      </c>
      <c r="K244">
        <v>3</v>
      </c>
      <c r="L244">
        <v>38.80296912</v>
      </c>
      <c r="M244">
        <v>-10.15254084</v>
      </c>
      <c r="N244" s="10">
        <v>72100</v>
      </c>
      <c r="O244" s="10">
        <v>-8170</v>
      </c>
      <c r="P244" s="10">
        <v>1440</v>
      </c>
      <c r="Q244">
        <v>0</v>
      </c>
      <c r="R244">
        <v>0</v>
      </c>
      <c r="S244" t="s">
        <v>975</v>
      </c>
      <c r="T244" t="s">
        <v>49</v>
      </c>
      <c r="U244" t="s">
        <v>976</v>
      </c>
      <c r="W244">
        <f t="shared" si="6"/>
        <v>10.15254084</v>
      </c>
      <c r="X244" s="10">
        <f t="shared" si="7"/>
        <v>8170</v>
      </c>
    </row>
    <row r="245" spans="1:24" x14ac:dyDescent="0.3">
      <c r="A245">
        <v>131991309</v>
      </c>
      <c r="B245">
        <v>5.85</v>
      </c>
      <c r="C245">
        <v>1</v>
      </c>
      <c r="D245" t="s">
        <v>60</v>
      </c>
      <c r="E245" t="s">
        <v>47</v>
      </c>
      <c r="F245">
        <v>131991309</v>
      </c>
      <c r="G245" t="s">
        <v>301</v>
      </c>
      <c r="H245">
        <v>1611</v>
      </c>
      <c r="I245">
        <v>275</v>
      </c>
      <c r="J245">
        <v>275</v>
      </c>
      <c r="K245">
        <v>4</v>
      </c>
      <c r="L245">
        <v>93.929102880000002</v>
      </c>
      <c r="M245">
        <v>-15.24308225</v>
      </c>
      <c r="N245" s="10">
        <v>174000</v>
      </c>
      <c r="O245" s="10">
        <v>-14300</v>
      </c>
      <c r="P245" s="10">
        <v>1680</v>
      </c>
      <c r="Q245">
        <v>0</v>
      </c>
      <c r="R245">
        <v>0</v>
      </c>
      <c r="S245" t="s">
        <v>975</v>
      </c>
      <c r="T245" t="s">
        <v>49</v>
      </c>
      <c r="U245" t="s">
        <v>976</v>
      </c>
      <c r="W245">
        <f t="shared" si="6"/>
        <v>15.24308225</v>
      </c>
      <c r="X245" s="10">
        <f t="shared" si="7"/>
        <v>14300</v>
      </c>
    </row>
    <row r="246" spans="1:24" x14ac:dyDescent="0.3">
      <c r="A246">
        <v>131991318</v>
      </c>
      <c r="B246">
        <v>5.35</v>
      </c>
      <c r="C246">
        <v>1</v>
      </c>
      <c r="D246" t="s">
        <v>60</v>
      </c>
      <c r="E246" t="s">
        <v>51</v>
      </c>
      <c r="F246">
        <v>131991318</v>
      </c>
      <c r="G246" t="s">
        <v>302</v>
      </c>
      <c r="H246">
        <v>607</v>
      </c>
      <c r="I246">
        <v>113</v>
      </c>
      <c r="J246">
        <v>113</v>
      </c>
      <c r="K246">
        <v>1</v>
      </c>
      <c r="L246">
        <v>25.105375819999999</v>
      </c>
      <c r="M246">
        <v>-5.5340880610000003</v>
      </c>
      <c r="N246" s="10">
        <v>48100</v>
      </c>
      <c r="O246" s="10">
        <v>-4620</v>
      </c>
      <c r="P246" s="10">
        <v>691</v>
      </c>
      <c r="Q246">
        <v>0</v>
      </c>
      <c r="R246">
        <v>0</v>
      </c>
      <c r="S246" t="s">
        <v>975</v>
      </c>
      <c r="T246" t="s">
        <v>49</v>
      </c>
      <c r="U246" t="s">
        <v>976</v>
      </c>
      <c r="W246">
        <f t="shared" si="6"/>
        <v>5.5340880610000003</v>
      </c>
      <c r="X246" s="10">
        <f t="shared" si="7"/>
        <v>4620</v>
      </c>
    </row>
    <row r="247" spans="1:24" x14ac:dyDescent="0.3">
      <c r="A247">
        <v>131991345</v>
      </c>
      <c r="B247">
        <v>10.66666667</v>
      </c>
      <c r="C247">
        <v>3</v>
      </c>
      <c r="D247" t="s">
        <v>60</v>
      </c>
      <c r="E247" t="s">
        <v>80</v>
      </c>
      <c r="F247">
        <v>131991345</v>
      </c>
      <c r="G247" t="s">
        <v>303</v>
      </c>
      <c r="H247">
        <v>1514</v>
      </c>
      <c r="I247">
        <v>426</v>
      </c>
      <c r="J247">
        <v>142</v>
      </c>
      <c r="K247">
        <v>6</v>
      </c>
      <c r="L247">
        <v>49.819074919999998</v>
      </c>
      <c r="M247">
        <v>-13.723715070000001</v>
      </c>
      <c r="N247" s="10">
        <v>102000</v>
      </c>
      <c r="O247" s="10">
        <v>-10300</v>
      </c>
      <c r="P247" s="10">
        <v>2600</v>
      </c>
      <c r="Q247">
        <v>0</v>
      </c>
      <c r="R247">
        <v>0</v>
      </c>
      <c r="S247" t="s">
        <v>975</v>
      </c>
      <c r="T247" t="s">
        <v>49</v>
      </c>
      <c r="U247" t="s">
        <v>976</v>
      </c>
      <c r="W247">
        <f t="shared" si="6"/>
        <v>13.723715070000001</v>
      </c>
      <c r="X247" s="10">
        <f t="shared" si="7"/>
        <v>10300</v>
      </c>
    </row>
    <row r="248" spans="1:24" x14ac:dyDescent="0.3">
      <c r="A248">
        <v>131991349</v>
      </c>
      <c r="B248">
        <v>7.9</v>
      </c>
      <c r="C248">
        <v>2</v>
      </c>
      <c r="D248" t="s">
        <v>60</v>
      </c>
      <c r="E248" t="s">
        <v>55</v>
      </c>
      <c r="F248">
        <v>131991349</v>
      </c>
      <c r="G248" t="s">
        <v>304</v>
      </c>
      <c r="H248">
        <v>1572</v>
      </c>
      <c r="I248">
        <v>398</v>
      </c>
      <c r="J248">
        <v>199</v>
      </c>
      <c r="K248">
        <v>5</v>
      </c>
      <c r="L248">
        <v>43.798652939999997</v>
      </c>
      <c r="M248">
        <v>-13.22809007</v>
      </c>
      <c r="N248" s="10">
        <v>90500</v>
      </c>
      <c r="O248" s="10">
        <v>-9100</v>
      </c>
      <c r="P248" s="10">
        <v>2430</v>
      </c>
      <c r="Q248">
        <v>0</v>
      </c>
      <c r="R248">
        <v>0</v>
      </c>
      <c r="S248" t="s">
        <v>975</v>
      </c>
      <c r="T248" t="s">
        <v>49</v>
      </c>
      <c r="U248" t="s">
        <v>976</v>
      </c>
      <c r="W248">
        <f t="shared" si="6"/>
        <v>13.22809007</v>
      </c>
      <c r="X248" s="10">
        <f t="shared" si="7"/>
        <v>9100</v>
      </c>
    </row>
    <row r="249" spans="1:24" x14ac:dyDescent="0.3">
      <c r="A249">
        <v>131991469</v>
      </c>
      <c r="B249">
        <v>8.08</v>
      </c>
      <c r="C249">
        <v>2</v>
      </c>
      <c r="D249" t="s">
        <v>54</v>
      </c>
      <c r="E249" t="s">
        <v>47</v>
      </c>
      <c r="F249">
        <v>131991469</v>
      </c>
      <c r="G249" t="s">
        <v>305</v>
      </c>
      <c r="H249">
        <v>2086</v>
      </c>
      <c r="I249">
        <v>516</v>
      </c>
      <c r="J249">
        <v>258</v>
      </c>
      <c r="K249">
        <v>7</v>
      </c>
      <c r="L249">
        <v>64.313571069999995</v>
      </c>
      <c r="M249">
        <v>-12.95218193</v>
      </c>
      <c r="N249" s="10">
        <v>164000</v>
      </c>
      <c r="O249" s="10">
        <v>-19100</v>
      </c>
      <c r="P249" s="10">
        <v>2460</v>
      </c>
      <c r="Q249">
        <v>0</v>
      </c>
      <c r="R249">
        <v>0</v>
      </c>
      <c r="S249" t="s">
        <v>975</v>
      </c>
      <c r="T249" t="s">
        <v>49</v>
      </c>
      <c r="U249" t="s">
        <v>976</v>
      </c>
      <c r="W249">
        <f t="shared" si="6"/>
        <v>12.95218193</v>
      </c>
      <c r="X249" s="10">
        <f t="shared" si="7"/>
        <v>19100</v>
      </c>
    </row>
    <row r="250" spans="1:24" x14ac:dyDescent="0.3">
      <c r="A250">
        <v>131991499</v>
      </c>
      <c r="B250">
        <v>4.75</v>
      </c>
      <c r="C250">
        <v>1</v>
      </c>
      <c r="D250" t="s">
        <v>60</v>
      </c>
      <c r="E250" t="s">
        <v>51</v>
      </c>
      <c r="F250">
        <v>131991499</v>
      </c>
      <c r="G250" t="s">
        <v>306</v>
      </c>
      <c r="H250">
        <v>644</v>
      </c>
      <c r="I250">
        <v>136</v>
      </c>
      <c r="J250">
        <v>136</v>
      </c>
      <c r="K250">
        <v>2</v>
      </c>
      <c r="L250">
        <v>28.580889039999999</v>
      </c>
      <c r="M250">
        <v>-6.3563701369999999</v>
      </c>
      <c r="N250" s="10">
        <v>54500</v>
      </c>
      <c r="O250" s="10">
        <v>-5010</v>
      </c>
      <c r="P250" s="10">
        <v>827</v>
      </c>
      <c r="Q250">
        <v>0</v>
      </c>
      <c r="R250">
        <v>0</v>
      </c>
      <c r="S250" t="s">
        <v>975</v>
      </c>
      <c r="T250" t="s">
        <v>49</v>
      </c>
      <c r="U250" t="s">
        <v>976</v>
      </c>
      <c r="W250">
        <f t="shared" si="6"/>
        <v>6.3563701369999999</v>
      </c>
      <c r="X250" s="10">
        <f t="shared" si="7"/>
        <v>5010</v>
      </c>
    </row>
    <row r="251" spans="1:24" x14ac:dyDescent="0.3">
      <c r="A251">
        <v>131991506</v>
      </c>
      <c r="B251">
        <v>4.9666666670000001</v>
      </c>
      <c r="C251">
        <v>1</v>
      </c>
      <c r="D251" t="s">
        <v>54</v>
      </c>
      <c r="E251" t="s">
        <v>47</v>
      </c>
      <c r="F251">
        <v>131991506</v>
      </c>
      <c r="G251" t="s">
        <v>307</v>
      </c>
      <c r="H251">
        <v>444</v>
      </c>
      <c r="I251">
        <v>89</v>
      </c>
      <c r="J251">
        <v>89</v>
      </c>
      <c r="K251">
        <v>1</v>
      </c>
      <c r="L251">
        <v>17.242752450000001</v>
      </c>
      <c r="M251">
        <v>-2.6335941890000001</v>
      </c>
      <c r="N251" s="10">
        <v>38600</v>
      </c>
      <c r="O251" s="10">
        <v>-3850</v>
      </c>
      <c r="P251" s="10">
        <v>425</v>
      </c>
      <c r="Q251">
        <v>0</v>
      </c>
      <c r="R251">
        <v>0</v>
      </c>
      <c r="S251" t="s">
        <v>975</v>
      </c>
      <c r="T251" t="s">
        <v>49</v>
      </c>
      <c r="U251" t="s">
        <v>976</v>
      </c>
      <c r="W251">
        <f t="shared" si="6"/>
        <v>2.6335941890000001</v>
      </c>
      <c r="X251" s="10">
        <f t="shared" si="7"/>
        <v>3850</v>
      </c>
    </row>
    <row r="252" spans="1:24" x14ac:dyDescent="0.3">
      <c r="A252">
        <v>131991518</v>
      </c>
      <c r="B252">
        <v>9.3666666670000005</v>
      </c>
      <c r="C252">
        <v>2</v>
      </c>
      <c r="D252" t="s">
        <v>54</v>
      </c>
      <c r="E252" t="s">
        <v>47</v>
      </c>
      <c r="F252">
        <v>131991518</v>
      </c>
      <c r="G252" t="s">
        <v>308</v>
      </c>
      <c r="H252">
        <v>1548</v>
      </c>
      <c r="I252">
        <v>331</v>
      </c>
      <c r="J252">
        <v>166</v>
      </c>
      <c r="K252">
        <v>4</v>
      </c>
      <c r="L252">
        <v>51.053646129999997</v>
      </c>
      <c r="M252">
        <v>-9.4148411559999996</v>
      </c>
      <c r="N252" s="10">
        <v>122000</v>
      </c>
      <c r="O252" s="10">
        <v>-13100</v>
      </c>
      <c r="P252" s="10">
        <v>1570</v>
      </c>
      <c r="Q252">
        <v>0</v>
      </c>
      <c r="R252">
        <v>0</v>
      </c>
      <c r="S252" t="s">
        <v>975</v>
      </c>
      <c r="T252" t="s">
        <v>49</v>
      </c>
      <c r="U252" t="s">
        <v>976</v>
      </c>
      <c r="W252">
        <f t="shared" si="6"/>
        <v>9.4148411559999996</v>
      </c>
      <c r="X252" s="10">
        <f t="shared" si="7"/>
        <v>13100</v>
      </c>
    </row>
    <row r="253" spans="1:24" x14ac:dyDescent="0.3">
      <c r="A253">
        <v>131991520</v>
      </c>
      <c r="B253">
        <v>14.766666669999999</v>
      </c>
      <c r="C253">
        <v>4</v>
      </c>
      <c r="D253" t="s">
        <v>60</v>
      </c>
      <c r="E253" t="s">
        <v>51</v>
      </c>
      <c r="F253">
        <v>131991520</v>
      </c>
      <c r="G253" t="s">
        <v>309</v>
      </c>
      <c r="H253">
        <v>9531</v>
      </c>
      <c r="I253">
        <v>2582</v>
      </c>
      <c r="J253">
        <v>646</v>
      </c>
      <c r="K253">
        <v>34</v>
      </c>
      <c r="L253">
        <v>233.93978379999999</v>
      </c>
      <c r="M253">
        <v>-80.406906710000001</v>
      </c>
      <c r="N253" s="10">
        <v>493000</v>
      </c>
      <c r="O253" s="10">
        <v>-53400</v>
      </c>
      <c r="P253" s="10">
        <v>15700</v>
      </c>
      <c r="Q253">
        <v>0</v>
      </c>
      <c r="R253">
        <v>0</v>
      </c>
      <c r="S253" t="s">
        <v>975</v>
      </c>
      <c r="T253" t="s">
        <v>49</v>
      </c>
      <c r="U253" t="s">
        <v>976</v>
      </c>
      <c r="W253">
        <f t="shared" si="6"/>
        <v>80.406906710000001</v>
      </c>
      <c r="X253" s="10">
        <f t="shared" si="7"/>
        <v>53400</v>
      </c>
    </row>
    <row r="254" spans="1:24" x14ac:dyDescent="0.3">
      <c r="A254">
        <v>131991523</v>
      </c>
      <c r="B254">
        <v>4.0999999999999996</v>
      </c>
      <c r="C254">
        <v>1</v>
      </c>
      <c r="D254" t="s">
        <v>310</v>
      </c>
      <c r="E254" t="s">
        <v>47</v>
      </c>
      <c r="F254">
        <v>131991523</v>
      </c>
      <c r="G254" t="s">
        <v>311</v>
      </c>
      <c r="H254">
        <v>3069</v>
      </c>
      <c r="I254">
        <v>748</v>
      </c>
      <c r="J254">
        <v>748</v>
      </c>
      <c r="K254">
        <v>10</v>
      </c>
      <c r="L254">
        <v>140.34570389999999</v>
      </c>
      <c r="M254">
        <v>-24.400330069999999</v>
      </c>
      <c r="N254" s="10">
        <v>299000</v>
      </c>
      <c r="O254" s="10">
        <v>-35500</v>
      </c>
      <c r="P254" s="10">
        <v>30900</v>
      </c>
      <c r="Q254">
        <v>0</v>
      </c>
      <c r="R254">
        <v>0</v>
      </c>
      <c r="S254" t="s">
        <v>975</v>
      </c>
      <c r="T254" t="s">
        <v>49</v>
      </c>
      <c r="U254" t="s">
        <v>976</v>
      </c>
      <c r="W254">
        <f t="shared" si="6"/>
        <v>24.400330069999999</v>
      </c>
      <c r="X254" s="10">
        <f t="shared" si="7"/>
        <v>35500</v>
      </c>
    </row>
    <row r="255" spans="1:24" x14ac:dyDescent="0.3">
      <c r="A255">
        <v>131991534</v>
      </c>
      <c r="B255">
        <v>12.1</v>
      </c>
      <c r="C255">
        <v>3</v>
      </c>
      <c r="D255" t="s">
        <v>104</v>
      </c>
      <c r="E255" t="s">
        <v>51</v>
      </c>
      <c r="F255">
        <v>131991534</v>
      </c>
      <c r="G255" t="s">
        <v>312</v>
      </c>
      <c r="H255">
        <v>2750</v>
      </c>
      <c r="I255">
        <v>682</v>
      </c>
      <c r="J255">
        <v>227</v>
      </c>
      <c r="K255">
        <v>9</v>
      </c>
      <c r="L255">
        <v>34.676203870000002</v>
      </c>
      <c r="M255">
        <v>-66.803081910000003</v>
      </c>
      <c r="N255" s="10">
        <v>651000</v>
      </c>
      <c r="O255" s="10">
        <v>-205000</v>
      </c>
      <c r="P255" s="10">
        <v>24900</v>
      </c>
      <c r="Q255">
        <v>0</v>
      </c>
      <c r="R255">
        <v>0</v>
      </c>
      <c r="S255" t="s">
        <v>975</v>
      </c>
      <c r="T255" t="s">
        <v>49</v>
      </c>
      <c r="U255" t="s">
        <v>976</v>
      </c>
      <c r="W255">
        <f t="shared" si="6"/>
        <v>66.803081910000003</v>
      </c>
      <c r="X255" s="10">
        <f t="shared" si="7"/>
        <v>205000</v>
      </c>
    </row>
    <row r="256" spans="1:24" x14ac:dyDescent="0.3">
      <c r="A256">
        <v>131991535</v>
      </c>
      <c r="B256">
        <v>16.600000000000001</v>
      </c>
      <c r="C256">
        <v>4</v>
      </c>
      <c r="D256" t="s">
        <v>60</v>
      </c>
      <c r="E256" t="s">
        <v>47</v>
      </c>
      <c r="F256">
        <v>131991535</v>
      </c>
      <c r="G256" t="s">
        <v>313</v>
      </c>
      <c r="H256">
        <v>4842</v>
      </c>
      <c r="I256">
        <v>1167</v>
      </c>
      <c r="J256">
        <v>292</v>
      </c>
      <c r="K256">
        <v>15</v>
      </c>
      <c r="L256">
        <v>198.33603389999999</v>
      </c>
      <c r="M256">
        <v>-43.911291499999997</v>
      </c>
      <c r="N256" s="10">
        <v>385000</v>
      </c>
      <c r="O256" s="10">
        <v>-35900</v>
      </c>
      <c r="P256" s="10">
        <v>7110</v>
      </c>
      <c r="Q256">
        <v>0</v>
      </c>
      <c r="R256">
        <v>0</v>
      </c>
      <c r="S256" t="s">
        <v>975</v>
      </c>
      <c r="T256" t="s">
        <v>49</v>
      </c>
      <c r="U256" t="s">
        <v>976</v>
      </c>
      <c r="W256">
        <f t="shared" si="6"/>
        <v>43.911291499999997</v>
      </c>
      <c r="X256" s="10">
        <f t="shared" si="7"/>
        <v>35900</v>
      </c>
    </row>
    <row r="257" spans="1:24" x14ac:dyDescent="0.3">
      <c r="A257">
        <v>131991539</v>
      </c>
      <c r="B257">
        <v>6.05</v>
      </c>
      <c r="C257">
        <v>1</v>
      </c>
      <c r="D257" t="s">
        <v>46</v>
      </c>
      <c r="E257" t="s">
        <v>51</v>
      </c>
      <c r="F257">
        <v>131991539</v>
      </c>
      <c r="G257" t="s">
        <v>314</v>
      </c>
      <c r="H257">
        <v>3740</v>
      </c>
      <c r="I257">
        <v>618</v>
      </c>
      <c r="J257">
        <v>618</v>
      </c>
      <c r="K257">
        <v>8</v>
      </c>
      <c r="L257">
        <v>104.4264622</v>
      </c>
      <c r="M257">
        <v>-22.442424079999999</v>
      </c>
      <c r="N257" s="10">
        <v>241000</v>
      </c>
      <c r="O257" s="10">
        <v>-25700</v>
      </c>
      <c r="P257" s="10">
        <v>2940</v>
      </c>
      <c r="Q257">
        <v>0</v>
      </c>
      <c r="R257">
        <v>0</v>
      </c>
      <c r="S257" t="s">
        <v>975</v>
      </c>
      <c r="T257" t="s">
        <v>49</v>
      </c>
      <c r="U257" t="s">
        <v>976</v>
      </c>
      <c r="W257">
        <f t="shared" si="6"/>
        <v>22.442424079999999</v>
      </c>
      <c r="X257" s="10">
        <f t="shared" si="7"/>
        <v>25700</v>
      </c>
    </row>
    <row r="258" spans="1:24" x14ac:dyDescent="0.3">
      <c r="A258">
        <v>131991546</v>
      </c>
      <c r="B258">
        <v>12.2</v>
      </c>
      <c r="C258">
        <v>3</v>
      </c>
      <c r="D258" t="s">
        <v>60</v>
      </c>
      <c r="E258" t="s">
        <v>51</v>
      </c>
      <c r="F258">
        <v>131991546</v>
      </c>
      <c r="G258" t="s">
        <v>315</v>
      </c>
      <c r="H258">
        <v>3175</v>
      </c>
      <c r="I258">
        <v>781</v>
      </c>
      <c r="J258">
        <v>260</v>
      </c>
      <c r="K258">
        <v>10</v>
      </c>
      <c r="L258">
        <v>89.404824469999994</v>
      </c>
      <c r="M258">
        <v>-27.900087639999999</v>
      </c>
      <c r="N258" s="10">
        <v>181000</v>
      </c>
      <c r="O258" s="10">
        <v>-19700</v>
      </c>
      <c r="P258" s="10">
        <v>4760</v>
      </c>
      <c r="Q258">
        <v>0</v>
      </c>
      <c r="R258">
        <v>0</v>
      </c>
      <c r="S258" t="s">
        <v>975</v>
      </c>
      <c r="T258" t="s">
        <v>49</v>
      </c>
      <c r="U258" t="s">
        <v>976</v>
      </c>
      <c r="W258">
        <f t="shared" si="6"/>
        <v>27.900087639999999</v>
      </c>
      <c r="X258" s="10">
        <f t="shared" si="7"/>
        <v>19700</v>
      </c>
    </row>
    <row r="259" spans="1:24" x14ac:dyDescent="0.3">
      <c r="A259">
        <v>131991596</v>
      </c>
      <c r="B259">
        <v>16.28</v>
      </c>
      <c r="C259">
        <v>4</v>
      </c>
      <c r="D259" t="s">
        <v>60</v>
      </c>
      <c r="E259" t="s">
        <v>51</v>
      </c>
      <c r="F259">
        <v>131991596</v>
      </c>
      <c r="G259" t="s">
        <v>316</v>
      </c>
      <c r="H259">
        <v>4367</v>
      </c>
      <c r="I259">
        <v>1073</v>
      </c>
      <c r="J259">
        <v>268</v>
      </c>
      <c r="K259">
        <v>14</v>
      </c>
      <c r="L259">
        <v>100.27829389999999</v>
      </c>
      <c r="M259">
        <v>-34.103270889999997</v>
      </c>
      <c r="N259" s="10">
        <v>215000</v>
      </c>
      <c r="O259" s="10">
        <v>-23500</v>
      </c>
      <c r="P259" s="10">
        <v>6540</v>
      </c>
      <c r="Q259">
        <v>0</v>
      </c>
      <c r="R259">
        <v>0</v>
      </c>
      <c r="S259" t="s">
        <v>975</v>
      </c>
      <c r="T259" t="s">
        <v>49</v>
      </c>
      <c r="U259" t="s">
        <v>976</v>
      </c>
      <c r="W259">
        <f t="shared" ref="W259:W301" si="8">-M259</f>
        <v>34.103270889999997</v>
      </c>
      <c r="X259" s="10">
        <f t="shared" ref="X259:X301" si="9">-O259</f>
        <v>23500</v>
      </c>
    </row>
    <row r="260" spans="1:24" x14ac:dyDescent="0.3">
      <c r="A260">
        <v>131991613</v>
      </c>
      <c r="B260">
        <v>13.525</v>
      </c>
      <c r="C260">
        <v>3</v>
      </c>
      <c r="D260" t="s">
        <v>60</v>
      </c>
      <c r="E260" t="s">
        <v>55</v>
      </c>
      <c r="F260">
        <v>131991613</v>
      </c>
      <c r="G260" t="s">
        <v>317</v>
      </c>
      <c r="H260">
        <v>9537</v>
      </c>
      <c r="I260">
        <v>2116</v>
      </c>
      <c r="J260">
        <v>705</v>
      </c>
      <c r="K260">
        <v>27</v>
      </c>
      <c r="L260">
        <v>198.35118919999999</v>
      </c>
      <c r="M260">
        <v>-69.721872689999998</v>
      </c>
      <c r="N260" s="10">
        <v>434000</v>
      </c>
      <c r="O260" s="10">
        <v>-49900</v>
      </c>
      <c r="P260" s="10">
        <v>12900</v>
      </c>
      <c r="Q260">
        <v>0</v>
      </c>
      <c r="R260">
        <v>0</v>
      </c>
      <c r="S260" t="s">
        <v>975</v>
      </c>
      <c r="T260" t="s">
        <v>49</v>
      </c>
      <c r="U260" t="s">
        <v>976</v>
      </c>
      <c r="W260">
        <f t="shared" si="8"/>
        <v>69.721872689999998</v>
      </c>
      <c r="X260" s="10">
        <f t="shared" si="9"/>
        <v>49900</v>
      </c>
    </row>
    <row r="261" spans="1:24" x14ac:dyDescent="0.3">
      <c r="A261">
        <v>131991619</v>
      </c>
      <c r="B261">
        <v>11.866666670000001</v>
      </c>
      <c r="C261">
        <v>3</v>
      </c>
      <c r="D261" t="s">
        <v>60</v>
      </c>
      <c r="E261" t="s">
        <v>47</v>
      </c>
      <c r="F261">
        <v>131991619</v>
      </c>
      <c r="G261" t="s">
        <v>318</v>
      </c>
      <c r="H261">
        <v>4204</v>
      </c>
      <c r="I261">
        <v>1063</v>
      </c>
      <c r="J261">
        <v>354</v>
      </c>
      <c r="K261">
        <v>14</v>
      </c>
      <c r="L261">
        <v>99.216075189999998</v>
      </c>
      <c r="M261">
        <v>-29.839516889999999</v>
      </c>
      <c r="N261" s="10">
        <v>219000</v>
      </c>
      <c r="O261" s="10">
        <v>-23200</v>
      </c>
      <c r="P261" s="10">
        <v>6480</v>
      </c>
      <c r="Q261">
        <v>0</v>
      </c>
      <c r="R261">
        <v>0</v>
      </c>
      <c r="S261" t="s">
        <v>975</v>
      </c>
      <c r="T261" t="s">
        <v>49</v>
      </c>
      <c r="U261" t="s">
        <v>976</v>
      </c>
      <c r="W261">
        <f t="shared" si="8"/>
        <v>29.839516889999999</v>
      </c>
      <c r="X261" s="10">
        <f t="shared" si="9"/>
        <v>23200</v>
      </c>
    </row>
    <row r="262" spans="1:24" x14ac:dyDescent="0.3">
      <c r="A262">
        <v>131991620</v>
      </c>
      <c r="B262">
        <v>4.4666666670000001</v>
      </c>
      <c r="C262">
        <v>1</v>
      </c>
      <c r="D262" t="s">
        <v>60</v>
      </c>
      <c r="E262" t="s">
        <v>55</v>
      </c>
      <c r="F262">
        <v>131991620</v>
      </c>
      <c r="G262" t="s">
        <v>319</v>
      </c>
      <c r="H262">
        <v>737</v>
      </c>
      <c r="I262">
        <v>165</v>
      </c>
      <c r="J262">
        <v>165</v>
      </c>
      <c r="K262">
        <v>2</v>
      </c>
      <c r="L262">
        <v>33.186365070000001</v>
      </c>
      <c r="M262">
        <v>-7.7260819920000001</v>
      </c>
      <c r="N262" s="10">
        <v>63100</v>
      </c>
      <c r="O262" s="10">
        <v>-6020</v>
      </c>
      <c r="P262" s="10">
        <v>1010</v>
      </c>
      <c r="Q262">
        <v>0</v>
      </c>
      <c r="R262">
        <v>0</v>
      </c>
      <c r="S262" t="s">
        <v>975</v>
      </c>
      <c r="T262" t="s">
        <v>49</v>
      </c>
      <c r="U262" t="s">
        <v>976</v>
      </c>
      <c r="W262">
        <f t="shared" si="8"/>
        <v>7.7260819920000001</v>
      </c>
      <c r="X262" s="10">
        <f t="shared" si="9"/>
        <v>6020</v>
      </c>
    </row>
    <row r="263" spans="1:24" x14ac:dyDescent="0.3">
      <c r="A263">
        <v>131991621</v>
      </c>
      <c r="B263">
        <v>5.3</v>
      </c>
      <c r="C263">
        <v>1</v>
      </c>
      <c r="D263" t="s">
        <v>60</v>
      </c>
      <c r="E263" t="s">
        <v>51</v>
      </c>
      <c r="F263">
        <v>131991621</v>
      </c>
      <c r="G263" t="s">
        <v>320</v>
      </c>
      <c r="H263">
        <v>683</v>
      </c>
      <c r="I263">
        <v>129</v>
      </c>
      <c r="J263">
        <v>129</v>
      </c>
      <c r="K263">
        <v>2</v>
      </c>
      <c r="L263">
        <v>32.986500890000002</v>
      </c>
      <c r="M263">
        <v>-7.1964918649999996</v>
      </c>
      <c r="N263" s="10">
        <v>62300</v>
      </c>
      <c r="O263" s="10">
        <v>-6280</v>
      </c>
      <c r="P263" s="10">
        <v>785</v>
      </c>
      <c r="Q263">
        <v>0</v>
      </c>
      <c r="R263">
        <v>0</v>
      </c>
      <c r="S263" t="s">
        <v>975</v>
      </c>
      <c r="T263" t="s">
        <v>49</v>
      </c>
      <c r="U263" t="s">
        <v>976</v>
      </c>
      <c r="W263">
        <f t="shared" si="8"/>
        <v>7.1964918649999996</v>
      </c>
      <c r="X263" s="10">
        <f t="shared" si="9"/>
        <v>6280</v>
      </c>
    </row>
    <row r="264" spans="1:24" x14ac:dyDescent="0.3">
      <c r="A264">
        <v>131991628</v>
      </c>
      <c r="B264">
        <v>5.75</v>
      </c>
      <c r="C264">
        <v>1</v>
      </c>
      <c r="D264" t="s">
        <v>60</v>
      </c>
      <c r="E264" t="s">
        <v>47</v>
      </c>
      <c r="F264">
        <v>131991628</v>
      </c>
      <c r="G264" t="s">
        <v>321</v>
      </c>
      <c r="H264">
        <v>462</v>
      </c>
      <c r="I264">
        <v>80</v>
      </c>
      <c r="J264">
        <v>80</v>
      </c>
      <c r="K264">
        <v>1</v>
      </c>
      <c r="L264">
        <v>31.680071779999999</v>
      </c>
      <c r="M264">
        <v>-4.7902745800000002</v>
      </c>
      <c r="N264" s="10">
        <v>58300</v>
      </c>
      <c r="O264" s="10">
        <v>-4640</v>
      </c>
      <c r="P264" s="10">
        <v>490</v>
      </c>
      <c r="Q264">
        <v>0</v>
      </c>
      <c r="R264">
        <v>0</v>
      </c>
      <c r="S264" t="s">
        <v>975</v>
      </c>
      <c r="T264" t="s">
        <v>49</v>
      </c>
      <c r="U264" t="s">
        <v>976</v>
      </c>
      <c r="W264">
        <f t="shared" si="8"/>
        <v>4.7902745800000002</v>
      </c>
      <c r="X264" s="10">
        <f t="shared" si="9"/>
        <v>4640</v>
      </c>
    </row>
    <row r="265" spans="1:24" x14ac:dyDescent="0.3">
      <c r="A265">
        <v>131991640</v>
      </c>
      <c r="B265">
        <v>9.6</v>
      </c>
      <c r="C265">
        <v>2</v>
      </c>
      <c r="D265" t="s">
        <v>60</v>
      </c>
      <c r="E265" t="s">
        <v>58</v>
      </c>
      <c r="F265">
        <v>131991640</v>
      </c>
      <c r="G265" t="s">
        <v>322</v>
      </c>
      <c r="H265">
        <v>5141</v>
      </c>
      <c r="I265">
        <v>1071</v>
      </c>
      <c r="J265">
        <v>536</v>
      </c>
      <c r="K265">
        <v>14</v>
      </c>
      <c r="L265">
        <v>126.0340793</v>
      </c>
      <c r="M265">
        <v>-38.355109630000001</v>
      </c>
      <c r="N265" s="10">
        <v>265000</v>
      </c>
      <c r="O265" s="10">
        <v>-28100</v>
      </c>
      <c r="P265" s="10">
        <v>6530</v>
      </c>
      <c r="Q265">
        <v>0</v>
      </c>
      <c r="R265">
        <v>0</v>
      </c>
      <c r="S265" t="s">
        <v>975</v>
      </c>
      <c r="T265" t="s">
        <v>49</v>
      </c>
      <c r="U265" t="s">
        <v>976</v>
      </c>
      <c r="W265">
        <f t="shared" si="8"/>
        <v>38.355109630000001</v>
      </c>
      <c r="X265" s="10">
        <f t="shared" si="9"/>
        <v>28100</v>
      </c>
    </row>
    <row r="266" spans="1:24" x14ac:dyDescent="0.3">
      <c r="A266">
        <v>131991665</v>
      </c>
      <c r="B266">
        <v>5.5</v>
      </c>
      <c r="C266">
        <v>1</v>
      </c>
      <c r="D266" t="s">
        <v>60</v>
      </c>
      <c r="E266" t="s">
        <v>47</v>
      </c>
      <c r="F266">
        <v>131991665</v>
      </c>
      <c r="G266" t="s">
        <v>323</v>
      </c>
      <c r="H266">
        <v>601</v>
      </c>
      <c r="I266">
        <v>109</v>
      </c>
      <c r="J266">
        <v>109</v>
      </c>
      <c r="K266">
        <v>1</v>
      </c>
      <c r="L266">
        <v>39.917703320000001</v>
      </c>
      <c r="M266">
        <v>-6.2066677830000003</v>
      </c>
      <c r="N266" s="10">
        <v>73300</v>
      </c>
      <c r="O266" s="10">
        <v>-6170</v>
      </c>
      <c r="P266" s="10">
        <v>666</v>
      </c>
      <c r="Q266">
        <v>0</v>
      </c>
      <c r="R266">
        <v>0</v>
      </c>
      <c r="S266" t="s">
        <v>975</v>
      </c>
      <c r="T266" t="s">
        <v>49</v>
      </c>
      <c r="U266" t="s">
        <v>976</v>
      </c>
      <c r="W266">
        <f t="shared" si="8"/>
        <v>6.2066677830000003</v>
      </c>
      <c r="X266" s="10">
        <f t="shared" si="9"/>
        <v>6170</v>
      </c>
    </row>
    <row r="267" spans="1:24" x14ac:dyDescent="0.3">
      <c r="A267">
        <v>131991674</v>
      </c>
      <c r="B267">
        <v>12.2</v>
      </c>
      <c r="C267">
        <v>3</v>
      </c>
      <c r="D267" t="s">
        <v>60</v>
      </c>
      <c r="E267" t="s">
        <v>47</v>
      </c>
      <c r="F267">
        <v>131991674</v>
      </c>
      <c r="G267" t="s">
        <v>324</v>
      </c>
      <c r="H267">
        <v>2628</v>
      </c>
      <c r="I267">
        <v>646</v>
      </c>
      <c r="J267">
        <v>215</v>
      </c>
      <c r="K267">
        <v>8</v>
      </c>
      <c r="L267">
        <v>89.800757250000004</v>
      </c>
      <c r="M267">
        <v>-21.934211569999999</v>
      </c>
      <c r="N267" s="10">
        <v>181000</v>
      </c>
      <c r="O267" s="10">
        <v>-17500</v>
      </c>
      <c r="P267" s="10">
        <v>3940</v>
      </c>
      <c r="Q267">
        <v>0</v>
      </c>
      <c r="R267">
        <v>0</v>
      </c>
      <c r="S267" t="s">
        <v>975</v>
      </c>
      <c r="T267" t="s">
        <v>49</v>
      </c>
      <c r="U267" t="s">
        <v>976</v>
      </c>
      <c r="W267">
        <f t="shared" si="8"/>
        <v>21.934211569999999</v>
      </c>
      <c r="X267" s="10">
        <f t="shared" si="9"/>
        <v>17500</v>
      </c>
    </row>
    <row r="268" spans="1:24" x14ac:dyDescent="0.3">
      <c r="A268">
        <v>131991697</v>
      </c>
      <c r="B268">
        <v>9.3000000000000007</v>
      </c>
      <c r="C268">
        <v>2</v>
      </c>
      <c r="D268" t="s">
        <v>54</v>
      </c>
      <c r="E268" t="s">
        <v>47</v>
      </c>
      <c r="F268">
        <v>131991697</v>
      </c>
      <c r="G268" t="s">
        <v>325</v>
      </c>
      <c r="H268">
        <v>2108</v>
      </c>
      <c r="I268">
        <v>453</v>
      </c>
      <c r="J268">
        <v>227</v>
      </c>
      <c r="K268">
        <v>6</v>
      </c>
      <c r="L268">
        <v>94.274050209999999</v>
      </c>
      <c r="M268">
        <v>-16.19427705</v>
      </c>
      <c r="N268" s="10">
        <v>202000</v>
      </c>
      <c r="O268" s="10">
        <v>-21800</v>
      </c>
      <c r="P268" s="10">
        <v>2160</v>
      </c>
      <c r="Q268">
        <v>0</v>
      </c>
      <c r="R268">
        <v>0</v>
      </c>
      <c r="S268" t="s">
        <v>975</v>
      </c>
      <c r="T268" t="s">
        <v>49</v>
      </c>
      <c r="U268" t="s">
        <v>976</v>
      </c>
      <c r="W268">
        <f t="shared" si="8"/>
        <v>16.19427705</v>
      </c>
      <c r="X268" s="10">
        <f t="shared" si="9"/>
        <v>21800</v>
      </c>
    </row>
    <row r="269" spans="1:24" x14ac:dyDescent="0.3">
      <c r="A269">
        <v>131991712</v>
      </c>
      <c r="B269">
        <v>8.6999999999999993</v>
      </c>
      <c r="C269">
        <v>2</v>
      </c>
      <c r="D269" t="s">
        <v>60</v>
      </c>
      <c r="E269" t="s">
        <v>55</v>
      </c>
      <c r="F269">
        <v>131991712</v>
      </c>
      <c r="G269" t="s">
        <v>326</v>
      </c>
      <c r="H269">
        <v>1200</v>
      </c>
      <c r="I269">
        <v>276</v>
      </c>
      <c r="J269">
        <v>138</v>
      </c>
      <c r="K269">
        <v>4</v>
      </c>
      <c r="L269">
        <v>43.143463330000003</v>
      </c>
      <c r="M269">
        <v>-12.424896690000001</v>
      </c>
      <c r="N269" s="10">
        <v>82800</v>
      </c>
      <c r="O269" s="10">
        <v>-9250</v>
      </c>
      <c r="P269" s="10">
        <v>1680</v>
      </c>
      <c r="Q269">
        <v>0</v>
      </c>
      <c r="R269">
        <v>0</v>
      </c>
      <c r="S269" t="s">
        <v>975</v>
      </c>
      <c r="T269" t="s">
        <v>49</v>
      </c>
      <c r="U269" t="s">
        <v>976</v>
      </c>
      <c r="W269">
        <f t="shared" si="8"/>
        <v>12.424896690000001</v>
      </c>
      <c r="X269" s="10">
        <f t="shared" si="9"/>
        <v>9250</v>
      </c>
    </row>
    <row r="270" spans="1:24" x14ac:dyDescent="0.3">
      <c r="A270">
        <v>131991724</v>
      </c>
      <c r="B270">
        <v>13.125</v>
      </c>
      <c r="C270">
        <v>3</v>
      </c>
      <c r="D270" t="s">
        <v>60</v>
      </c>
      <c r="E270" t="s">
        <v>51</v>
      </c>
      <c r="F270">
        <v>131991724</v>
      </c>
      <c r="G270" t="s">
        <v>327</v>
      </c>
      <c r="H270">
        <v>2536</v>
      </c>
      <c r="I270">
        <v>580</v>
      </c>
      <c r="J270">
        <v>193</v>
      </c>
      <c r="K270">
        <v>8</v>
      </c>
      <c r="L270">
        <v>51.461091690000003</v>
      </c>
      <c r="M270">
        <v>-17.730031069999999</v>
      </c>
      <c r="N270" s="10">
        <v>113000</v>
      </c>
      <c r="O270" s="10">
        <v>-12700</v>
      </c>
      <c r="P270" s="10">
        <v>3530</v>
      </c>
      <c r="Q270">
        <v>0</v>
      </c>
      <c r="R270">
        <v>0</v>
      </c>
      <c r="S270" t="s">
        <v>975</v>
      </c>
      <c r="T270" t="s">
        <v>49</v>
      </c>
      <c r="U270" t="s">
        <v>976</v>
      </c>
      <c r="W270">
        <f t="shared" si="8"/>
        <v>17.730031069999999</v>
      </c>
      <c r="X270" s="10">
        <f t="shared" si="9"/>
        <v>12700</v>
      </c>
    </row>
    <row r="271" spans="1:24" x14ac:dyDescent="0.3">
      <c r="A271">
        <v>131991729</v>
      </c>
      <c r="B271">
        <v>8.375</v>
      </c>
      <c r="C271">
        <v>2</v>
      </c>
      <c r="D271" t="s">
        <v>60</v>
      </c>
      <c r="E271" t="s">
        <v>47</v>
      </c>
      <c r="F271">
        <v>131991729</v>
      </c>
      <c r="G271" t="s">
        <v>328</v>
      </c>
      <c r="H271">
        <v>1665</v>
      </c>
      <c r="I271">
        <v>398</v>
      </c>
      <c r="J271">
        <v>199</v>
      </c>
      <c r="K271">
        <v>5</v>
      </c>
      <c r="L271">
        <v>68.308801270000004</v>
      </c>
      <c r="M271">
        <v>-13.88662291</v>
      </c>
      <c r="N271" s="10">
        <v>134000</v>
      </c>
      <c r="O271" s="10">
        <v>-12300</v>
      </c>
      <c r="P271" s="10">
        <v>2420</v>
      </c>
      <c r="Q271">
        <v>0</v>
      </c>
      <c r="R271">
        <v>0</v>
      </c>
      <c r="S271" t="s">
        <v>975</v>
      </c>
      <c r="T271" t="s">
        <v>49</v>
      </c>
      <c r="U271" t="s">
        <v>976</v>
      </c>
      <c r="W271">
        <f t="shared" si="8"/>
        <v>13.88662291</v>
      </c>
      <c r="X271" s="10">
        <f t="shared" si="9"/>
        <v>12300</v>
      </c>
    </row>
    <row r="272" spans="1:24" x14ac:dyDescent="0.3">
      <c r="A272">
        <v>131991731</v>
      </c>
      <c r="B272">
        <v>11.266666669999999</v>
      </c>
      <c r="C272">
        <v>3</v>
      </c>
      <c r="D272" t="s">
        <v>54</v>
      </c>
      <c r="E272" t="s">
        <v>47</v>
      </c>
      <c r="F272">
        <v>131991731</v>
      </c>
      <c r="G272" t="s">
        <v>329</v>
      </c>
      <c r="H272">
        <v>2299</v>
      </c>
      <c r="I272">
        <v>612</v>
      </c>
      <c r="J272">
        <v>204</v>
      </c>
      <c r="K272">
        <v>8</v>
      </c>
      <c r="L272">
        <v>107.48198360000001</v>
      </c>
      <c r="M272">
        <v>-20.233292380000002</v>
      </c>
      <c r="N272" s="10">
        <v>238000</v>
      </c>
      <c r="O272" s="10">
        <v>-26100</v>
      </c>
      <c r="P272" s="10">
        <v>2910</v>
      </c>
      <c r="Q272">
        <v>0</v>
      </c>
      <c r="R272">
        <v>0</v>
      </c>
      <c r="S272" t="s">
        <v>975</v>
      </c>
      <c r="T272" t="s">
        <v>49</v>
      </c>
      <c r="U272" t="s">
        <v>976</v>
      </c>
      <c r="W272">
        <f t="shared" si="8"/>
        <v>20.233292380000002</v>
      </c>
      <c r="X272" s="10">
        <f t="shared" si="9"/>
        <v>26100</v>
      </c>
    </row>
    <row r="273" spans="1:24" x14ac:dyDescent="0.3">
      <c r="A273">
        <v>131991745</v>
      </c>
      <c r="B273">
        <v>7.5</v>
      </c>
      <c r="C273">
        <v>2</v>
      </c>
      <c r="D273" t="s">
        <v>60</v>
      </c>
      <c r="E273" t="s">
        <v>51</v>
      </c>
      <c r="F273">
        <v>131991745</v>
      </c>
      <c r="G273" t="s">
        <v>330</v>
      </c>
      <c r="H273">
        <v>737</v>
      </c>
      <c r="I273">
        <v>197</v>
      </c>
      <c r="J273">
        <v>99</v>
      </c>
      <c r="K273">
        <v>3</v>
      </c>
      <c r="L273">
        <v>30.2300483</v>
      </c>
      <c r="M273">
        <v>-8.2453292129999998</v>
      </c>
      <c r="N273" s="10">
        <v>57100</v>
      </c>
      <c r="O273" s="10">
        <v>-6210</v>
      </c>
      <c r="P273" s="10">
        <v>1200</v>
      </c>
      <c r="Q273">
        <v>0</v>
      </c>
      <c r="R273">
        <v>0</v>
      </c>
      <c r="S273" t="s">
        <v>975</v>
      </c>
      <c r="T273" t="s">
        <v>49</v>
      </c>
      <c r="U273" t="s">
        <v>976</v>
      </c>
      <c r="W273">
        <f t="shared" si="8"/>
        <v>8.2453292129999998</v>
      </c>
      <c r="X273" s="10">
        <f t="shared" si="9"/>
        <v>6210</v>
      </c>
    </row>
    <row r="274" spans="1:24" x14ac:dyDescent="0.3">
      <c r="A274">
        <v>131991753</v>
      </c>
      <c r="B274">
        <v>9.9250000000000007</v>
      </c>
      <c r="C274">
        <v>2</v>
      </c>
      <c r="D274" t="s">
        <v>54</v>
      </c>
      <c r="E274" t="s">
        <v>55</v>
      </c>
      <c r="F274">
        <v>131991753</v>
      </c>
      <c r="G274" t="s">
        <v>331</v>
      </c>
      <c r="H274">
        <v>2856</v>
      </c>
      <c r="I274">
        <v>575</v>
      </c>
      <c r="J274">
        <v>288</v>
      </c>
      <c r="K274">
        <v>7</v>
      </c>
      <c r="L274">
        <v>52.124035419999998</v>
      </c>
      <c r="M274">
        <v>-15.505762929999999</v>
      </c>
      <c r="N274" s="10">
        <v>148000</v>
      </c>
      <c r="O274" s="10">
        <v>-18800</v>
      </c>
      <c r="P274" s="10">
        <v>2740</v>
      </c>
      <c r="Q274">
        <v>0</v>
      </c>
      <c r="R274">
        <v>0</v>
      </c>
      <c r="S274" t="s">
        <v>975</v>
      </c>
      <c r="T274" t="s">
        <v>49</v>
      </c>
      <c r="U274" t="s">
        <v>976</v>
      </c>
      <c r="W274">
        <f t="shared" si="8"/>
        <v>15.505762929999999</v>
      </c>
      <c r="X274" s="10">
        <f t="shared" si="9"/>
        <v>18800</v>
      </c>
    </row>
    <row r="275" spans="1:24" x14ac:dyDescent="0.3">
      <c r="A275">
        <v>131991795</v>
      </c>
      <c r="B275">
        <v>9.1</v>
      </c>
      <c r="C275">
        <v>2</v>
      </c>
      <c r="D275" t="s">
        <v>60</v>
      </c>
      <c r="E275" t="s">
        <v>47</v>
      </c>
      <c r="F275">
        <v>131991795</v>
      </c>
      <c r="G275" t="s">
        <v>332</v>
      </c>
      <c r="H275">
        <v>770</v>
      </c>
      <c r="I275">
        <v>169</v>
      </c>
      <c r="J275">
        <v>85</v>
      </c>
      <c r="K275">
        <v>2</v>
      </c>
      <c r="L275">
        <v>44.55600811</v>
      </c>
      <c r="M275">
        <v>-7.9188137449999996</v>
      </c>
      <c r="N275" s="10">
        <v>81800</v>
      </c>
      <c r="O275" s="10">
        <v>-6700</v>
      </c>
      <c r="P275" s="10">
        <v>1030</v>
      </c>
      <c r="Q275">
        <v>0</v>
      </c>
      <c r="R275">
        <v>0</v>
      </c>
      <c r="S275" t="s">
        <v>975</v>
      </c>
      <c r="T275" t="s">
        <v>49</v>
      </c>
      <c r="U275" t="s">
        <v>976</v>
      </c>
      <c r="W275">
        <f t="shared" si="8"/>
        <v>7.9188137449999996</v>
      </c>
      <c r="X275" s="10">
        <f t="shared" si="9"/>
        <v>6700</v>
      </c>
    </row>
    <row r="276" spans="1:24" x14ac:dyDescent="0.3">
      <c r="A276">
        <v>131991802</v>
      </c>
      <c r="B276">
        <v>7.5</v>
      </c>
      <c r="C276">
        <v>2</v>
      </c>
      <c r="D276" t="s">
        <v>60</v>
      </c>
      <c r="E276" t="s">
        <v>51</v>
      </c>
      <c r="F276">
        <v>131991802</v>
      </c>
      <c r="G276" t="s">
        <v>333</v>
      </c>
      <c r="H276">
        <v>2071</v>
      </c>
      <c r="I276">
        <v>552</v>
      </c>
      <c r="J276">
        <v>276</v>
      </c>
      <c r="K276">
        <v>7</v>
      </c>
      <c r="L276">
        <v>71.338945330000001</v>
      </c>
      <c r="M276">
        <v>-20.00688401</v>
      </c>
      <c r="N276" s="10">
        <v>141000</v>
      </c>
      <c r="O276" s="10">
        <v>-14300</v>
      </c>
      <c r="P276" s="10">
        <v>3370</v>
      </c>
      <c r="Q276">
        <v>0</v>
      </c>
      <c r="R276">
        <v>0</v>
      </c>
      <c r="S276" t="s">
        <v>975</v>
      </c>
      <c r="T276" t="s">
        <v>49</v>
      </c>
      <c r="U276" t="s">
        <v>976</v>
      </c>
      <c r="W276">
        <f t="shared" si="8"/>
        <v>20.00688401</v>
      </c>
      <c r="X276" s="10">
        <f t="shared" si="9"/>
        <v>14300</v>
      </c>
    </row>
    <row r="277" spans="1:24" x14ac:dyDescent="0.3">
      <c r="A277">
        <v>131991809</v>
      </c>
      <c r="B277">
        <v>4.05</v>
      </c>
      <c r="C277">
        <v>1</v>
      </c>
      <c r="D277" t="s">
        <v>60</v>
      </c>
      <c r="E277" t="s">
        <v>51</v>
      </c>
      <c r="F277">
        <v>131991809</v>
      </c>
      <c r="G277" t="s">
        <v>334</v>
      </c>
      <c r="H277">
        <v>865</v>
      </c>
      <c r="I277">
        <v>214</v>
      </c>
      <c r="J277">
        <v>214</v>
      </c>
      <c r="K277">
        <v>3</v>
      </c>
      <c r="L277">
        <v>37.42029454</v>
      </c>
      <c r="M277">
        <v>-8.3272160490000005</v>
      </c>
      <c r="N277" s="10">
        <v>72300</v>
      </c>
      <c r="O277" s="10">
        <v>-6510</v>
      </c>
      <c r="P277" s="10">
        <v>1300</v>
      </c>
      <c r="Q277">
        <v>0</v>
      </c>
      <c r="R277">
        <v>0</v>
      </c>
      <c r="S277" t="s">
        <v>975</v>
      </c>
      <c r="T277" t="s">
        <v>49</v>
      </c>
      <c r="U277" t="s">
        <v>976</v>
      </c>
      <c r="W277">
        <f t="shared" si="8"/>
        <v>8.3272160490000005</v>
      </c>
      <c r="X277" s="10">
        <f t="shared" si="9"/>
        <v>6510</v>
      </c>
    </row>
    <row r="278" spans="1:24" x14ac:dyDescent="0.3">
      <c r="A278">
        <v>131991821</v>
      </c>
      <c r="B278">
        <v>9.7166666670000001</v>
      </c>
      <c r="C278">
        <v>2</v>
      </c>
      <c r="D278" t="s">
        <v>60</v>
      </c>
      <c r="E278" t="s">
        <v>47</v>
      </c>
      <c r="F278">
        <v>131991821</v>
      </c>
      <c r="G278" t="s">
        <v>335</v>
      </c>
      <c r="H278">
        <v>1304</v>
      </c>
      <c r="I278">
        <v>268</v>
      </c>
      <c r="J278">
        <v>134</v>
      </c>
      <c r="K278">
        <v>3</v>
      </c>
      <c r="L278">
        <v>40.096689499999997</v>
      </c>
      <c r="M278">
        <v>-9.8440104890000004</v>
      </c>
      <c r="N278" s="10">
        <v>82000</v>
      </c>
      <c r="O278" s="10">
        <v>-8150</v>
      </c>
      <c r="P278" s="10">
        <v>1640</v>
      </c>
      <c r="Q278">
        <v>0</v>
      </c>
      <c r="R278">
        <v>0</v>
      </c>
      <c r="S278" t="s">
        <v>975</v>
      </c>
      <c r="T278" t="s">
        <v>49</v>
      </c>
      <c r="U278" t="s">
        <v>976</v>
      </c>
      <c r="W278">
        <f t="shared" si="8"/>
        <v>9.8440104890000004</v>
      </c>
      <c r="X278" s="10">
        <f t="shared" si="9"/>
        <v>8150</v>
      </c>
    </row>
    <row r="279" spans="1:24" x14ac:dyDescent="0.3">
      <c r="A279">
        <v>131991827</v>
      </c>
      <c r="B279">
        <v>9.65</v>
      </c>
      <c r="C279">
        <v>2</v>
      </c>
      <c r="D279" t="s">
        <v>60</v>
      </c>
      <c r="E279" t="s">
        <v>47</v>
      </c>
      <c r="F279">
        <v>131991827</v>
      </c>
      <c r="G279" t="s">
        <v>336</v>
      </c>
      <c r="H279">
        <v>1005</v>
      </c>
      <c r="I279">
        <v>208</v>
      </c>
      <c r="J279">
        <v>104</v>
      </c>
      <c r="K279">
        <v>3</v>
      </c>
      <c r="L279">
        <v>31.604084360000002</v>
      </c>
      <c r="M279">
        <v>-7.3434143049999996</v>
      </c>
      <c r="N279" s="10">
        <v>64800</v>
      </c>
      <c r="O279" s="10">
        <v>-6180</v>
      </c>
      <c r="P279" s="10">
        <v>1270</v>
      </c>
      <c r="Q279">
        <v>0</v>
      </c>
      <c r="R279">
        <v>0</v>
      </c>
      <c r="S279" t="s">
        <v>975</v>
      </c>
      <c r="T279" t="s">
        <v>49</v>
      </c>
      <c r="U279" t="s">
        <v>976</v>
      </c>
      <c r="W279">
        <f t="shared" si="8"/>
        <v>7.3434143049999996</v>
      </c>
      <c r="X279" s="10">
        <f t="shared" si="9"/>
        <v>6180</v>
      </c>
    </row>
    <row r="280" spans="1:24" x14ac:dyDescent="0.3">
      <c r="A280">
        <v>131991845</v>
      </c>
      <c r="B280">
        <v>10.199999999999999</v>
      </c>
      <c r="C280">
        <v>2</v>
      </c>
      <c r="D280" t="s">
        <v>54</v>
      </c>
      <c r="E280" t="s">
        <v>47</v>
      </c>
      <c r="F280">
        <v>131991845</v>
      </c>
      <c r="G280" t="s">
        <v>337</v>
      </c>
      <c r="H280">
        <v>2211</v>
      </c>
      <c r="I280">
        <v>434</v>
      </c>
      <c r="J280">
        <v>217</v>
      </c>
      <c r="K280">
        <v>6</v>
      </c>
      <c r="L280">
        <v>60.675622699999998</v>
      </c>
      <c r="M280">
        <v>-12.367178539999999</v>
      </c>
      <c r="N280" s="10">
        <v>148000</v>
      </c>
      <c r="O280" s="10">
        <v>-16800</v>
      </c>
      <c r="P280" s="10">
        <v>2060</v>
      </c>
      <c r="Q280">
        <v>0</v>
      </c>
      <c r="R280">
        <v>0</v>
      </c>
      <c r="S280" t="s">
        <v>975</v>
      </c>
      <c r="T280" t="s">
        <v>49</v>
      </c>
      <c r="U280" t="s">
        <v>976</v>
      </c>
      <c r="W280">
        <f t="shared" si="8"/>
        <v>12.367178539999999</v>
      </c>
      <c r="X280" s="10">
        <f t="shared" si="9"/>
        <v>16800</v>
      </c>
    </row>
    <row r="281" spans="1:24" x14ac:dyDescent="0.3">
      <c r="A281">
        <v>131991852</v>
      </c>
      <c r="B281">
        <v>8.4</v>
      </c>
      <c r="C281">
        <v>2</v>
      </c>
      <c r="D281" t="s">
        <v>60</v>
      </c>
      <c r="E281" t="s">
        <v>47</v>
      </c>
      <c r="F281">
        <v>131991852</v>
      </c>
      <c r="G281" t="s">
        <v>338</v>
      </c>
      <c r="H281">
        <v>2537</v>
      </c>
      <c r="I281">
        <v>604</v>
      </c>
      <c r="J281">
        <v>302</v>
      </c>
      <c r="K281">
        <v>8</v>
      </c>
      <c r="L281">
        <v>96.14402776</v>
      </c>
      <c r="M281">
        <v>-21.039467399999999</v>
      </c>
      <c r="N281" s="10">
        <v>194000</v>
      </c>
      <c r="O281" s="10">
        <v>-17200</v>
      </c>
      <c r="P281" s="10">
        <v>3680</v>
      </c>
      <c r="Q281">
        <v>0</v>
      </c>
      <c r="R281">
        <v>0</v>
      </c>
      <c r="S281" t="s">
        <v>975</v>
      </c>
      <c r="T281" t="s">
        <v>49</v>
      </c>
      <c r="U281" t="s">
        <v>976</v>
      </c>
      <c r="W281">
        <f t="shared" si="8"/>
        <v>21.039467399999999</v>
      </c>
      <c r="X281" s="10">
        <f t="shared" si="9"/>
        <v>17200</v>
      </c>
    </row>
    <row r="282" spans="1:24" x14ac:dyDescent="0.3">
      <c r="A282">
        <v>131991861</v>
      </c>
      <c r="B282">
        <v>4.24</v>
      </c>
      <c r="C282">
        <v>1</v>
      </c>
      <c r="D282" t="s">
        <v>60</v>
      </c>
      <c r="E282" t="s">
        <v>51</v>
      </c>
      <c r="F282">
        <v>131991861</v>
      </c>
      <c r="G282" t="s">
        <v>339</v>
      </c>
      <c r="H282">
        <v>828</v>
      </c>
      <c r="I282">
        <v>195</v>
      </c>
      <c r="J282">
        <v>195</v>
      </c>
      <c r="K282">
        <v>3</v>
      </c>
      <c r="L282">
        <v>35.535683650000003</v>
      </c>
      <c r="M282">
        <v>-7.7567627720000001</v>
      </c>
      <c r="N282" s="10">
        <v>68900</v>
      </c>
      <c r="O282" s="10">
        <v>-5990</v>
      </c>
      <c r="P282" s="10">
        <v>1190</v>
      </c>
      <c r="Q282">
        <v>0</v>
      </c>
      <c r="R282">
        <v>0</v>
      </c>
      <c r="S282" t="s">
        <v>975</v>
      </c>
      <c r="T282" t="s">
        <v>49</v>
      </c>
      <c r="U282" t="s">
        <v>976</v>
      </c>
      <c r="W282">
        <f t="shared" si="8"/>
        <v>7.7567627720000001</v>
      </c>
      <c r="X282" s="10">
        <f t="shared" si="9"/>
        <v>5990</v>
      </c>
    </row>
    <row r="283" spans="1:24" x14ac:dyDescent="0.3">
      <c r="A283">
        <v>131991876</v>
      </c>
      <c r="B283">
        <v>8.52</v>
      </c>
      <c r="C283">
        <v>2</v>
      </c>
      <c r="D283" t="s">
        <v>60</v>
      </c>
      <c r="E283" t="s">
        <v>47</v>
      </c>
      <c r="F283">
        <v>131991876</v>
      </c>
      <c r="G283" t="s">
        <v>340</v>
      </c>
      <c r="H283">
        <v>611</v>
      </c>
      <c r="I283">
        <v>143</v>
      </c>
      <c r="J283">
        <v>72</v>
      </c>
      <c r="K283">
        <v>2</v>
      </c>
      <c r="L283">
        <v>44.479144060000003</v>
      </c>
      <c r="M283">
        <v>-7.1915891460000001</v>
      </c>
      <c r="N283" s="10">
        <v>78400</v>
      </c>
      <c r="O283" s="10">
        <v>-6870</v>
      </c>
      <c r="P283" s="10">
        <v>874</v>
      </c>
      <c r="Q283">
        <v>0</v>
      </c>
      <c r="R283">
        <v>0</v>
      </c>
      <c r="S283" t="s">
        <v>975</v>
      </c>
      <c r="T283" t="s">
        <v>49</v>
      </c>
      <c r="U283" t="s">
        <v>976</v>
      </c>
      <c r="W283">
        <f t="shared" si="8"/>
        <v>7.1915891460000001</v>
      </c>
      <c r="X283" s="10">
        <f t="shared" si="9"/>
        <v>6870</v>
      </c>
    </row>
    <row r="284" spans="1:24" x14ac:dyDescent="0.3">
      <c r="A284">
        <v>131991914</v>
      </c>
      <c r="B284">
        <v>9.5500000000000007</v>
      </c>
      <c r="C284">
        <v>2</v>
      </c>
      <c r="D284" t="s">
        <v>102</v>
      </c>
      <c r="E284" t="s">
        <v>47</v>
      </c>
      <c r="F284">
        <v>131991914</v>
      </c>
      <c r="G284" t="s">
        <v>341</v>
      </c>
      <c r="H284">
        <v>3166</v>
      </c>
      <c r="I284">
        <v>663</v>
      </c>
      <c r="J284">
        <v>332</v>
      </c>
      <c r="K284">
        <v>9</v>
      </c>
      <c r="L284">
        <v>95.748858810000002</v>
      </c>
      <c r="M284">
        <v>-18.737920110000001</v>
      </c>
      <c r="N284" s="10">
        <v>232000</v>
      </c>
      <c r="O284" s="10">
        <v>-26000</v>
      </c>
      <c r="P284" s="10">
        <v>3160</v>
      </c>
      <c r="Q284">
        <v>0</v>
      </c>
      <c r="R284">
        <v>0</v>
      </c>
      <c r="S284" t="s">
        <v>975</v>
      </c>
      <c r="T284" t="s">
        <v>49</v>
      </c>
      <c r="U284" t="s">
        <v>976</v>
      </c>
      <c r="W284">
        <f t="shared" si="8"/>
        <v>18.737920110000001</v>
      </c>
      <c r="X284" s="10">
        <f t="shared" si="9"/>
        <v>26000</v>
      </c>
    </row>
    <row r="285" spans="1:24" x14ac:dyDescent="0.3">
      <c r="A285">
        <v>131991920</v>
      </c>
      <c r="B285">
        <v>10.06666667</v>
      </c>
      <c r="C285">
        <v>2</v>
      </c>
      <c r="D285" t="s">
        <v>60</v>
      </c>
      <c r="E285" t="s">
        <v>47</v>
      </c>
      <c r="F285">
        <v>131991920</v>
      </c>
      <c r="G285" t="s">
        <v>342</v>
      </c>
      <c r="H285">
        <v>2414</v>
      </c>
      <c r="I285">
        <v>480</v>
      </c>
      <c r="J285">
        <v>240</v>
      </c>
      <c r="K285">
        <v>6</v>
      </c>
      <c r="L285">
        <v>107.006719</v>
      </c>
      <c r="M285">
        <v>-20.862786209999999</v>
      </c>
      <c r="N285" s="10">
        <v>202000</v>
      </c>
      <c r="O285" s="10">
        <v>-18200</v>
      </c>
      <c r="P285" s="10">
        <v>2920</v>
      </c>
      <c r="Q285">
        <v>0</v>
      </c>
      <c r="R285">
        <v>0</v>
      </c>
      <c r="S285" t="s">
        <v>975</v>
      </c>
      <c r="T285" t="s">
        <v>49</v>
      </c>
      <c r="U285" t="s">
        <v>976</v>
      </c>
      <c r="W285">
        <f t="shared" si="8"/>
        <v>20.862786209999999</v>
      </c>
      <c r="X285" s="10">
        <f t="shared" si="9"/>
        <v>18200</v>
      </c>
    </row>
    <row r="286" spans="1:24" x14ac:dyDescent="0.3">
      <c r="A286">
        <v>131991945</v>
      </c>
      <c r="B286">
        <v>7.0750000000000002</v>
      </c>
      <c r="C286">
        <v>2</v>
      </c>
      <c r="D286" t="s">
        <v>60</v>
      </c>
      <c r="E286" t="s">
        <v>47</v>
      </c>
      <c r="F286">
        <v>131991945</v>
      </c>
      <c r="G286" t="s">
        <v>343</v>
      </c>
      <c r="H286">
        <v>1214</v>
      </c>
      <c r="I286">
        <v>343</v>
      </c>
      <c r="J286">
        <v>172</v>
      </c>
      <c r="K286">
        <v>4</v>
      </c>
      <c r="L286">
        <v>64.917878329999994</v>
      </c>
      <c r="M286">
        <v>-12.806155479999999</v>
      </c>
      <c r="N286" s="10">
        <v>123000</v>
      </c>
      <c r="O286" s="10">
        <v>-11000</v>
      </c>
      <c r="P286" s="10">
        <v>2090</v>
      </c>
      <c r="Q286">
        <v>0</v>
      </c>
      <c r="R286">
        <v>0</v>
      </c>
      <c r="S286" t="s">
        <v>975</v>
      </c>
      <c r="T286" t="s">
        <v>49</v>
      </c>
      <c r="U286" t="s">
        <v>976</v>
      </c>
      <c r="W286">
        <f t="shared" si="8"/>
        <v>12.806155479999999</v>
      </c>
      <c r="X286" s="10">
        <f t="shared" si="9"/>
        <v>11000</v>
      </c>
    </row>
    <row r="287" spans="1:24" x14ac:dyDescent="0.3">
      <c r="A287">
        <v>131991968</v>
      </c>
      <c r="B287">
        <v>3.9249999999999998</v>
      </c>
      <c r="C287">
        <v>1</v>
      </c>
      <c r="D287" t="s">
        <v>54</v>
      </c>
      <c r="E287" t="s">
        <v>47</v>
      </c>
      <c r="F287">
        <v>131991968</v>
      </c>
      <c r="G287" t="s">
        <v>344</v>
      </c>
      <c r="H287">
        <v>538</v>
      </c>
      <c r="I287">
        <v>137</v>
      </c>
      <c r="J287">
        <v>137</v>
      </c>
      <c r="K287">
        <v>2</v>
      </c>
      <c r="L287">
        <v>37.489846829999998</v>
      </c>
      <c r="M287">
        <v>-5.3358635860000003</v>
      </c>
      <c r="N287" s="10">
        <v>76500</v>
      </c>
      <c r="O287" s="10">
        <v>-7180</v>
      </c>
      <c r="P287" s="10">
        <v>653</v>
      </c>
      <c r="Q287">
        <v>0</v>
      </c>
      <c r="R287">
        <v>0</v>
      </c>
      <c r="S287" t="s">
        <v>975</v>
      </c>
      <c r="T287" t="s">
        <v>49</v>
      </c>
      <c r="U287" t="s">
        <v>976</v>
      </c>
      <c r="W287">
        <f t="shared" si="8"/>
        <v>5.3358635860000003</v>
      </c>
      <c r="X287" s="10">
        <f t="shared" si="9"/>
        <v>7180</v>
      </c>
    </row>
    <row r="288" spans="1:24" x14ac:dyDescent="0.3">
      <c r="A288">
        <v>131991978</v>
      </c>
      <c r="B288">
        <v>11.9</v>
      </c>
      <c r="C288">
        <v>3</v>
      </c>
      <c r="D288" t="s">
        <v>60</v>
      </c>
      <c r="E288" t="s">
        <v>47</v>
      </c>
      <c r="F288">
        <v>131991978</v>
      </c>
      <c r="G288" t="s">
        <v>345</v>
      </c>
      <c r="H288">
        <v>2127</v>
      </c>
      <c r="I288">
        <v>536</v>
      </c>
      <c r="J288">
        <v>179</v>
      </c>
      <c r="K288">
        <v>7</v>
      </c>
      <c r="L288">
        <v>98.654984479999996</v>
      </c>
      <c r="M288">
        <v>-20.94188613</v>
      </c>
      <c r="N288" s="10">
        <v>189000</v>
      </c>
      <c r="O288" s="10">
        <v>-17200</v>
      </c>
      <c r="P288" s="10">
        <v>3270</v>
      </c>
      <c r="Q288">
        <v>0</v>
      </c>
      <c r="R288">
        <v>0</v>
      </c>
      <c r="S288" t="s">
        <v>975</v>
      </c>
      <c r="T288" t="s">
        <v>49</v>
      </c>
      <c r="U288" t="s">
        <v>976</v>
      </c>
      <c r="W288">
        <f t="shared" si="8"/>
        <v>20.94188613</v>
      </c>
      <c r="X288" s="10">
        <f t="shared" si="9"/>
        <v>17200</v>
      </c>
    </row>
    <row r="289" spans="1:24" x14ac:dyDescent="0.3">
      <c r="A289">
        <v>131991982</v>
      </c>
      <c r="B289">
        <v>12.2</v>
      </c>
      <c r="C289">
        <v>3</v>
      </c>
      <c r="D289" t="s">
        <v>54</v>
      </c>
      <c r="E289" t="s">
        <v>51</v>
      </c>
      <c r="F289">
        <v>131991982</v>
      </c>
      <c r="G289" t="s">
        <v>346</v>
      </c>
      <c r="H289">
        <v>1886</v>
      </c>
      <c r="I289">
        <v>464</v>
      </c>
      <c r="J289">
        <v>155</v>
      </c>
      <c r="K289">
        <v>6</v>
      </c>
      <c r="L289">
        <v>46.397831609999997</v>
      </c>
      <c r="M289">
        <v>-14.24598381</v>
      </c>
      <c r="N289" s="10">
        <v>123000</v>
      </c>
      <c r="O289" s="10">
        <v>-17300</v>
      </c>
      <c r="P289" s="10">
        <v>2210</v>
      </c>
      <c r="Q289">
        <v>0</v>
      </c>
      <c r="R289">
        <v>0</v>
      </c>
      <c r="S289" t="s">
        <v>975</v>
      </c>
      <c r="T289" t="s">
        <v>49</v>
      </c>
      <c r="U289" t="s">
        <v>976</v>
      </c>
      <c r="W289">
        <f t="shared" si="8"/>
        <v>14.24598381</v>
      </c>
      <c r="X289" s="10">
        <f t="shared" si="9"/>
        <v>17300</v>
      </c>
    </row>
    <row r="290" spans="1:24" x14ac:dyDescent="0.3">
      <c r="A290">
        <v>131991988</v>
      </c>
      <c r="B290">
        <v>6.95</v>
      </c>
      <c r="C290">
        <v>1</v>
      </c>
      <c r="D290" t="s">
        <v>60</v>
      </c>
      <c r="E290" t="s">
        <v>55</v>
      </c>
      <c r="F290">
        <v>131991988</v>
      </c>
      <c r="G290" t="s">
        <v>347</v>
      </c>
      <c r="H290">
        <v>2394</v>
      </c>
      <c r="I290">
        <v>344</v>
      </c>
      <c r="J290">
        <v>344</v>
      </c>
      <c r="K290">
        <v>4</v>
      </c>
      <c r="L290">
        <v>84.773139720000003</v>
      </c>
      <c r="M290">
        <v>-21.00942586</v>
      </c>
      <c r="N290" s="10">
        <v>164000</v>
      </c>
      <c r="O290" s="10">
        <v>-17300</v>
      </c>
      <c r="P290" s="10">
        <v>2100</v>
      </c>
      <c r="Q290">
        <v>0</v>
      </c>
      <c r="R290">
        <v>0</v>
      </c>
      <c r="S290" t="s">
        <v>975</v>
      </c>
      <c r="T290" t="s">
        <v>49</v>
      </c>
      <c r="U290" t="s">
        <v>976</v>
      </c>
      <c r="W290">
        <f t="shared" si="8"/>
        <v>21.00942586</v>
      </c>
      <c r="X290" s="10">
        <f t="shared" si="9"/>
        <v>17300</v>
      </c>
    </row>
    <row r="291" spans="1:24" x14ac:dyDescent="0.3">
      <c r="A291">
        <v>131991992</v>
      </c>
      <c r="B291">
        <v>8.7333333329999991</v>
      </c>
      <c r="C291">
        <v>2</v>
      </c>
      <c r="D291" t="s">
        <v>102</v>
      </c>
      <c r="E291" t="s">
        <v>47</v>
      </c>
      <c r="F291">
        <v>131991992</v>
      </c>
      <c r="G291" t="s">
        <v>348</v>
      </c>
      <c r="H291">
        <v>2023</v>
      </c>
      <c r="I291">
        <v>463</v>
      </c>
      <c r="J291">
        <v>232</v>
      </c>
      <c r="K291">
        <v>6</v>
      </c>
      <c r="L291">
        <v>66.602073559999994</v>
      </c>
      <c r="M291">
        <v>-12.69797831</v>
      </c>
      <c r="N291" s="10">
        <v>162000</v>
      </c>
      <c r="O291" s="10">
        <v>-18200</v>
      </c>
      <c r="P291" s="10">
        <v>2200</v>
      </c>
      <c r="Q291">
        <v>0</v>
      </c>
      <c r="R291">
        <v>0</v>
      </c>
      <c r="S291" t="s">
        <v>975</v>
      </c>
      <c r="T291" t="s">
        <v>49</v>
      </c>
      <c r="U291" t="s">
        <v>976</v>
      </c>
      <c r="W291">
        <f t="shared" si="8"/>
        <v>12.69797831</v>
      </c>
      <c r="X291" s="10">
        <f t="shared" si="9"/>
        <v>18200</v>
      </c>
    </row>
    <row r="292" spans="1:24" x14ac:dyDescent="0.3">
      <c r="A292">
        <v>131991999</v>
      </c>
      <c r="B292">
        <v>12.16666667</v>
      </c>
      <c r="C292">
        <v>3</v>
      </c>
      <c r="D292" t="s">
        <v>60</v>
      </c>
      <c r="E292" t="s">
        <v>51</v>
      </c>
      <c r="F292">
        <v>131991999</v>
      </c>
      <c r="G292" t="s">
        <v>349</v>
      </c>
      <c r="H292">
        <v>2233</v>
      </c>
      <c r="I292">
        <v>551</v>
      </c>
      <c r="J292">
        <v>184</v>
      </c>
      <c r="K292">
        <v>7</v>
      </c>
      <c r="L292">
        <v>65.163483720000002</v>
      </c>
      <c r="M292">
        <v>-20.507412240000001</v>
      </c>
      <c r="N292" s="10">
        <v>131000</v>
      </c>
      <c r="O292" s="10">
        <v>-14200</v>
      </c>
      <c r="P292" s="10">
        <v>3360</v>
      </c>
      <c r="Q292">
        <v>0</v>
      </c>
      <c r="R292">
        <v>0</v>
      </c>
      <c r="S292" t="s">
        <v>975</v>
      </c>
      <c r="T292" t="s">
        <v>49</v>
      </c>
      <c r="U292" t="s">
        <v>976</v>
      </c>
      <c r="W292">
        <f t="shared" si="8"/>
        <v>20.507412240000001</v>
      </c>
      <c r="X292" s="10">
        <f t="shared" si="9"/>
        <v>14200</v>
      </c>
    </row>
    <row r="293" spans="1:24" x14ac:dyDescent="0.3">
      <c r="A293">
        <v>131992004</v>
      </c>
      <c r="B293">
        <v>4.1500000000000004</v>
      </c>
      <c r="C293">
        <v>1</v>
      </c>
      <c r="D293" t="s">
        <v>54</v>
      </c>
      <c r="E293" t="s">
        <v>47</v>
      </c>
      <c r="F293">
        <v>131992004</v>
      </c>
      <c r="G293" t="s">
        <v>350</v>
      </c>
      <c r="H293">
        <v>625</v>
      </c>
      <c r="I293">
        <v>151</v>
      </c>
      <c r="J293">
        <v>151</v>
      </c>
      <c r="K293">
        <v>2</v>
      </c>
      <c r="L293">
        <v>43.942646009999997</v>
      </c>
      <c r="M293">
        <v>-6.1111363059999997</v>
      </c>
      <c r="N293" s="10">
        <v>88700</v>
      </c>
      <c r="O293" s="10">
        <v>-8260</v>
      </c>
      <c r="P293" s="10">
        <v>717</v>
      </c>
      <c r="Q293">
        <v>0</v>
      </c>
      <c r="R293">
        <v>0</v>
      </c>
      <c r="S293" t="s">
        <v>975</v>
      </c>
      <c r="T293" t="s">
        <v>49</v>
      </c>
      <c r="U293" t="s">
        <v>976</v>
      </c>
      <c r="W293">
        <f t="shared" si="8"/>
        <v>6.1111363059999997</v>
      </c>
      <c r="X293" s="10">
        <f t="shared" si="9"/>
        <v>8260</v>
      </c>
    </row>
    <row r="294" spans="1:24" x14ac:dyDescent="0.3">
      <c r="A294">
        <v>131996454</v>
      </c>
      <c r="B294">
        <v>6.625</v>
      </c>
      <c r="C294">
        <v>1</v>
      </c>
      <c r="D294" t="s">
        <v>60</v>
      </c>
      <c r="E294" t="s">
        <v>47</v>
      </c>
      <c r="F294">
        <v>131996454</v>
      </c>
      <c r="G294" t="s">
        <v>351</v>
      </c>
      <c r="H294">
        <v>1747</v>
      </c>
      <c r="I294">
        <v>264</v>
      </c>
      <c r="J294">
        <v>264</v>
      </c>
      <c r="K294">
        <v>3</v>
      </c>
      <c r="L294">
        <v>76.647532620000007</v>
      </c>
      <c r="M294">
        <v>-13.6200806</v>
      </c>
      <c r="N294" s="10">
        <v>146000</v>
      </c>
      <c r="O294" s="10">
        <v>-12700</v>
      </c>
      <c r="P294" s="10">
        <v>1610</v>
      </c>
      <c r="Q294">
        <v>0</v>
      </c>
      <c r="R294">
        <v>0</v>
      </c>
      <c r="S294" t="s">
        <v>975</v>
      </c>
      <c r="T294" t="s">
        <v>49</v>
      </c>
      <c r="U294" t="s">
        <v>976</v>
      </c>
      <c r="W294">
        <f t="shared" si="8"/>
        <v>13.6200806</v>
      </c>
      <c r="X294" s="10">
        <f t="shared" si="9"/>
        <v>12700</v>
      </c>
    </row>
    <row r="295" spans="1:24" x14ac:dyDescent="0.3">
      <c r="A295">
        <v>131996478</v>
      </c>
      <c r="B295">
        <v>5</v>
      </c>
      <c r="C295">
        <v>1</v>
      </c>
      <c r="D295" t="s">
        <v>60</v>
      </c>
      <c r="E295" t="s">
        <v>80</v>
      </c>
      <c r="F295">
        <v>131996478</v>
      </c>
      <c r="G295" t="s">
        <v>352</v>
      </c>
      <c r="H295">
        <v>515</v>
      </c>
      <c r="I295">
        <v>103</v>
      </c>
      <c r="J295">
        <v>103</v>
      </c>
      <c r="K295">
        <v>1</v>
      </c>
      <c r="L295">
        <v>31.16241179</v>
      </c>
      <c r="M295">
        <v>-5.9048055059999998</v>
      </c>
      <c r="N295" s="10">
        <v>57900</v>
      </c>
      <c r="O295" s="10">
        <v>-5320</v>
      </c>
      <c r="P295" s="10">
        <v>628</v>
      </c>
      <c r="Q295">
        <v>0</v>
      </c>
      <c r="R295">
        <v>0</v>
      </c>
      <c r="S295" t="s">
        <v>975</v>
      </c>
      <c r="T295" t="s">
        <v>49</v>
      </c>
      <c r="U295" t="s">
        <v>976</v>
      </c>
      <c r="W295">
        <f t="shared" si="8"/>
        <v>5.9048055059999998</v>
      </c>
      <c r="X295" s="10">
        <f t="shared" si="9"/>
        <v>5320</v>
      </c>
    </row>
    <row r="296" spans="1:24" x14ac:dyDescent="0.3">
      <c r="A296">
        <v>131996492</v>
      </c>
      <c r="B296">
        <v>11.16666667</v>
      </c>
      <c r="C296">
        <v>3</v>
      </c>
      <c r="D296" t="s">
        <v>60</v>
      </c>
      <c r="E296" t="s">
        <v>55</v>
      </c>
      <c r="F296">
        <v>131996492</v>
      </c>
      <c r="G296" t="s">
        <v>353</v>
      </c>
      <c r="H296">
        <v>5456</v>
      </c>
      <c r="I296">
        <v>1466</v>
      </c>
      <c r="J296">
        <v>489</v>
      </c>
      <c r="K296">
        <v>19</v>
      </c>
      <c r="L296">
        <v>113.5571192</v>
      </c>
      <c r="M296">
        <v>-41.672512589999997</v>
      </c>
      <c r="N296" s="10">
        <v>253000</v>
      </c>
      <c r="O296" s="10">
        <v>-28200</v>
      </c>
      <c r="P296" s="10">
        <v>8940</v>
      </c>
      <c r="Q296">
        <v>0</v>
      </c>
      <c r="R296">
        <v>0</v>
      </c>
      <c r="S296" t="s">
        <v>975</v>
      </c>
      <c r="T296" t="s">
        <v>49</v>
      </c>
      <c r="U296" t="s">
        <v>976</v>
      </c>
      <c r="W296">
        <f t="shared" si="8"/>
        <v>41.672512589999997</v>
      </c>
      <c r="X296" s="10">
        <f t="shared" si="9"/>
        <v>28200</v>
      </c>
    </row>
    <row r="297" spans="1:24" x14ac:dyDescent="0.3">
      <c r="A297">
        <v>131996525</v>
      </c>
      <c r="B297">
        <v>8.9666666670000001</v>
      </c>
      <c r="C297">
        <v>2</v>
      </c>
      <c r="D297" t="s">
        <v>60</v>
      </c>
      <c r="E297" t="s">
        <v>51</v>
      </c>
      <c r="F297">
        <v>131996525</v>
      </c>
      <c r="G297" t="s">
        <v>354</v>
      </c>
      <c r="H297">
        <v>2074</v>
      </c>
      <c r="I297">
        <v>463</v>
      </c>
      <c r="J297">
        <v>232</v>
      </c>
      <c r="K297">
        <v>6</v>
      </c>
      <c r="L297">
        <v>61.264279899999998</v>
      </c>
      <c r="M297">
        <v>-17.547429959999999</v>
      </c>
      <c r="N297" s="10">
        <v>123000</v>
      </c>
      <c r="O297" s="10">
        <v>-12300</v>
      </c>
      <c r="P297" s="10">
        <v>2820</v>
      </c>
      <c r="Q297">
        <v>0</v>
      </c>
      <c r="R297">
        <v>0</v>
      </c>
      <c r="S297" t="s">
        <v>975</v>
      </c>
      <c r="T297" t="s">
        <v>49</v>
      </c>
      <c r="U297" t="s">
        <v>976</v>
      </c>
      <c r="W297">
        <f t="shared" si="8"/>
        <v>17.547429959999999</v>
      </c>
      <c r="X297" s="10">
        <f t="shared" si="9"/>
        <v>12300</v>
      </c>
    </row>
    <row r="298" spans="1:24" x14ac:dyDescent="0.3">
      <c r="A298">
        <v>131996559</v>
      </c>
      <c r="B298">
        <v>4.9666666670000001</v>
      </c>
      <c r="C298">
        <v>1</v>
      </c>
      <c r="D298" t="s">
        <v>60</v>
      </c>
      <c r="E298" t="s">
        <v>47</v>
      </c>
      <c r="F298">
        <v>131996559</v>
      </c>
      <c r="G298" t="s">
        <v>355</v>
      </c>
      <c r="H298">
        <v>562</v>
      </c>
      <c r="I298">
        <v>113</v>
      </c>
      <c r="J298">
        <v>113</v>
      </c>
      <c r="K298">
        <v>1</v>
      </c>
      <c r="L298">
        <v>47.070858190000003</v>
      </c>
      <c r="M298">
        <v>-6.9692691399999998</v>
      </c>
      <c r="N298" s="10">
        <v>85700</v>
      </c>
      <c r="O298" s="10">
        <v>-6630</v>
      </c>
      <c r="P298" s="10">
        <v>689</v>
      </c>
      <c r="Q298">
        <v>0</v>
      </c>
      <c r="R298">
        <v>0</v>
      </c>
      <c r="S298" t="s">
        <v>975</v>
      </c>
      <c r="T298" t="s">
        <v>49</v>
      </c>
      <c r="U298" t="s">
        <v>976</v>
      </c>
      <c r="W298">
        <f t="shared" si="8"/>
        <v>6.9692691399999998</v>
      </c>
      <c r="X298" s="10">
        <f t="shared" si="9"/>
        <v>6630</v>
      </c>
    </row>
    <row r="299" spans="1:24" x14ac:dyDescent="0.3">
      <c r="A299">
        <v>131996561</v>
      </c>
      <c r="B299">
        <v>3.62</v>
      </c>
      <c r="C299">
        <v>1</v>
      </c>
      <c r="D299" t="s">
        <v>60</v>
      </c>
      <c r="E299" t="s">
        <v>47</v>
      </c>
      <c r="F299">
        <v>131996561</v>
      </c>
      <c r="G299" t="s">
        <v>356</v>
      </c>
      <c r="H299">
        <v>432</v>
      </c>
      <c r="I299">
        <v>119</v>
      </c>
      <c r="J299">
        <v>119</v>
      </c>
      <c r="K299">
        <v>2</v>
      </c>
      <c r="L299">
        <v>32.64550826</v>
      </c>
      <c r="M299">
        <v>-5.334539844</v>
      </c>
      <c r="N299" s="10">
        <v>59900</v>
      </c>
      <c r="O299" s="10">
        <v>-4810</v>
      </c>
      <c r="P299" s="10">
        <v>727</v>
      </c>
      <c r="Q299">
        <v>0</v>
      </c>
      <c r="R299">
        <v>0</v>
      </c>
      <c r="S299" t="s">
        <v>975</v>
      </c>
      <c r="T299" t="s">
        <v>49</v>
      </c>
      <c r="U299" t="s">
        <v>976</v>
      </c>
      <c r="W299">
        <f t="shared" si="8"/>
        <v>5.334539844</v>
      </c>
      <c r="X299" s="10">
        <f t="shared" si="9"/>
        <v>4810</v>
      </c>
    </row>
    <row r="300" spans="1:24" x14ac:dyDescent="0.3">
      <c r="A300">
        <v>131996563</v>
      </c>
      <c r="B300">
        <v>4.3</v>
      </c>
      <c r="C300">
        <v>1</v>
      </c>
      <c r="D300" t="s">
        <v>310</v>
      </c>
      <c r="E300" t="s">
        <v>80</v>
      </c>
      <c r="F300">
        <v>131996563</v>
      </c>
      <c r="G300" t="s">
        <v>357</v>
      </c>
      <c r="H300">
        <v>3208</v>
      </c>
      <c r="I300">
        <v>746</v>
      </c>
      <c r="J300">
        <v>746</v>
      </c>
      <c r="K300">
        <v>10</v>
      </c>
      <c r="L300">
        <v>143.3609313</v>
      </c>
      <c r="M300">
        <v>-27.485350830000002</v>
      </c>
      <c r="N300" s="10">
        <v>306000</v>
      </c>
      <c r="O300" s="10">
        <v>-37900</v>
      </c>
      <c r="P300" s="10">
        <v>30800</v>
      </c>
      <c r="Q300">
        <v>0</v>
      </c>
      <c r="R300">
        <v>0</v>
      </c>
      <c r="S300" t="s">
        <v>975</v>
      </c>
      <c r="T300" t="s">
        <v>49</v>
      </c>
      <c r="U300" t="s">
        <v>976</v>
      </c>
      <c r="W300">
        <f t="shared" si="8"/>
        <v>27.485350830000002</v>
      </c>
      <c r="X300" s="10">
        <f t="shared" si="9"/>
        <v>37900</v>
      </c>
    </row>
    <row r="301" spans="1:24" x14ac:dyDescent="0.3">
      <c r="A301">
        <v>131996579</v>
      </c>
      <c r="B301">
        <v>16.533333330000001</v>
      </c>
      <c r="C301">
        <v>4</v>
      </c>
      <c r="D301" t="s">
        <v>60</v>
      </c>
      <c r="E301" t="s">
        <v>51</v>
      </c>
      <c r="F301">
        <v>131996579</v>
      </c>
      <c r="G301" t="s">
        <v>358</v>
      </c>
      <c r="H301">
        <v>11160</v>
      </c>
      <c r="I301">
        <v>2700</v>
      </c>
      <c r="J301">
        <v>675</v>
      </c>
      <c r="K301">
        <v>35</v>
      </c>
      <c r="L301">
        <v>239.37286449999999</v>
      </c>
      <c r="M301">
        <v>-86.528116589999996</v>
      </c>
      <c r="N301" s="10">
        <v>520000</v>
      </c>
      <c r="O301" s="10">
        <v>-58200</v>
      </c>
      <c r="P301" s="10">
        <v>16500</v>
      </c>
      <c r="Q301">
        <v>0</v>
      </c>
      <c r="R301">
        <v>0</v>
      </c>
      <c r="S301" t="s">
        <v>975</v>
      </c>
      <c r="T301" t="s">
        <v>49</v>
      </c>
      <c r="U301" t="s">
        <v>976</v>
      </c>
      <c r="W301">
        <f t="shared" si="8"/>
        <v>86.528116589999996</v>
      </c>
      <c r="X301" s="10">
        <f t="shared" si="9"/>
        <v>58200</v>
      </c>
    </row>
  </sheetData>
  <autoFilter ref="S1:T301" xr:uid="{E1FBE7D8-9813-40A7-97F4-6637CDD88A8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36B3-F8DF-450A-932D-E1E8AA67A777}">
  <sheetPr codeName="Foglio30"/>
  <dimension ref="A1:C27"/>
  <sheetViews>
    <sheetView zoomScale="60" zoomScaleNormal="60" workbookViewId="0">
      <selection activeCell="B29" sqref="B29"/>
    </sheetView>
  </sheetViews>
  <sheetFormatPr defaultRowHeight="15.6" x14ac:dyDescent="0.3"/>
  <cols>
    <col min="1" max="1" width="62.33203125" style="1" bestFit="1" customWidth="1"/>
    <col min="2" max="2" width="40" style="1" customWidth="1"/>
    <col min="3" max="3" width="123.88671875" style="1" customWidth="1"/>
  </cols>
  <sheetData>
    <row r="1" spans="1:3" ht="25.8" x14ac:dyDescent="0.5">
      <c r="A1" s="6" t="s">
        <v>0</v>
      </c>
      <c r="B1" s="7" t="s">
        <v>1</v>
      </c>
      <c r="C1" s="6" t="s">
        <v>2</v>
      </c>
    </row>
    <row r="2" spans="1:3" x14ac:dyDescent="0.3">
      <c r="A2" s="9" t="s">
        <v>21</v>
      </c>
      <c r="B2" s="5">
        <v>1</v>
      </c>
      <c r="C2" s="2" t="s">
        <v>1280</v>
      </c>
    </row>
    <row r="3" spans="1:3" x14ac:dyDescent="0.3">
      <c r="A3" s="15" t="s">
        <v>25</v>
      </c>
      <c r="B3" s="16"/>
      <c r="C3" s="17" t="s">
        <v>3</v>
      </c>
    </row>
    <row r="4" spans="1:3" x14ac:dyDescent="0.3">
      <c r="A4" s="3" t="s">
        <v>9</v>
      </c>
      <c r="B4" s="4">
        <v>475</v>
      </c>
      <c r="C4" s="17"/>
    </row>
    <row r="5" spans="1:3" x14ac:dyDescent="0.3">
      <c r="A5" s="3" t="s">
        <v>4</v>
      </c>
      <c r="B5" s="4">
        <v>0</v>
      </c>
      <c r="C5" s="17"/>
    </row>
    <row r="6" spans="1:3" x14ac:dyDescent="0.3">
      <c r="A6" s="3" t="s">
        <v>5</v>
      </c>
      <c r="B6" s="4">
        <v>0</v>
      </c>
      <c r="C6" s="17"/>
    </row>
    <row r="7" spans="1:3" x14ac:dyDescent="0.3">
      <c r="A7" s="3" t="s">
        <v>16</v>
      </c>
      <c r="B7" s="4">
        <v>0</v>
      </c>
      <c r="C7" s="17"/>
    </row>
    <row r="8" spans="1:3" x14ac:dyDescent="0.3">
      <c r="A8" s="3" t="s">
        <v>17</v>
      </c>
      <c r="B8" s="4">
        <v>0</v>
      </c>
      <c r="C8" s="17"/>
    </row>
    <row r="9" spans="1:3" x14ac:dyDescent="0.3">
      <c r="A9" s="3" t="s">
        <v>18</v>
      </c>
      <c r="B9" s="4">
        <v>0</v>
      </c>
      <c r="C9" s="17"/>
    </row>
    <row r="10" spans="1:3" x14ac:dyDescent="0.3">
      <c r="A10" s="3" t="s">
        <v>19</v>
      </c>
      <c r="B10" s="4">
        <v>0</v>
      </c>
      <c r="C10" s="17"/>
    </row>
    <row r="11" spans="1:3" x14ac:dyDescent="0.3">
      <c r="A11" s="8" t="s">
        <v>20</v>
      </c>
      <c r="B11" s="4">
        <v>0</v>
      </c>
      <c r="C11" s="17"/>
    </row>
    <row r="12" spans="1:3" x14ac:dyDescent="0.3">
      <c r="A12" s="3" t="s">
        <v>11</v>
      </c>
      <c r="B12" s="4">
        <v>0</v>
      </c>
      <c r="C12" s="17"/>
    </row>
    <row r="13" spans="1:3" x14ac:dyDescent="0.3">
      <c r="A13" s="3" t="s">
        <v>24</v>
      </c>
      <c r="B13" s="4">
        <v>0</v>
      </c>
      <c r="C13" s="17"/>
    </row>
    <row r="14" spans="1:3" x14ac:dyDescent="0.3">
      <c r="A14" s="3" t="s">
        <v>12</v>
      </c>
      <c r="B14" s="4">
        <v>0</v>
      </c>
      <c r="C14" s="17"/>
    </row>
    <row r="15" spans="1:3" x14ac:dyDescent="0.3">
      <c r="A15" s="3" t="s">
        <v>10</v>
      </c>
      <c r="B15" s="4">
        <v>0</v>
      </c>
      <c r="C15" s="17"/>
    </row>
    <row r="16" spans="1:3" x14ac:dyDescent="0.3">
      <c r="A16" s="3" t="s">
        <v>13</v>
      </c>
      <c r="B16" s="4">
        <v>0</v>
      </c>
      <c r="C16" s="17"/>
    </row>
    <row r="17" spans="1:3" x14ac:dyDescent="0.3">
      <c r="A17" s="3" t="s">
        <v>6</v>
      </c>
      <c r="B17" s="4">
        <v>0</v>
      </c>
      <c r="C17" s="17"/>
    </row>
    <row r="18" spans="1:3" x14ac:dyDescent="0.3">
      <c r="A18" s="3" t="s">
        <v>7</v>
      </c>
      <c r="B18" s="4">
        <v>0</v>
      </c>
      <c r="C18" s="17"/>
    </row>
    <row r="19" spans="1:3" x14ac:dyDescent="0.3">
      <c r="A19" s="3" t="s">
        <v>8</v>
      </c>
      <c r="B19" s="4">
        <v>0</v>
      </c>
      <c r="C19" s="17"/>
    </row>
    <row r="20" spans="1:3" x14ac:dyDescent="0.3">
      <c r="A20" s="3" t="s">
        <v>14</v>
      </c>
      <c r="B20" s="4">
        <v>0</v>
      </c>
      <c r="C20" s="17"/>
    </row>
    <row r="21" spans="1:3" x14ac:dyDescent="0.3">
      <c r="A21" s="3" t="s">
        <v>15</v>
      </c>
      <c r="B21" s="4">
        <v>0</v>
      </c>
      <c r="C21" s="17"/>
    </row>
    <row r="22" spans="1:3" x14ac:dyDescent="0.3">
      <c r="A22" s="3" t="s">
        <v>22</v>
      </c>
      <c r="B22" s="4">
        <v>475</v>
      </c>
      <c r="C22" s="17"/>
    </row>
    <row r="23" spans="1:3" x14ac:dyDescent="0.3">
      <c r="A23" s="3" t="s">
        <v>23</v>
      </c>
      <c r="B23" s="4">
        <v>0</v>
      </c>
      <c r="C23" s="17"/>
    </row>
    <row r="24" spans="1:3" x14ac:dyDescent="0.3">
      <c r="A24" s="3" t="s">
        <v>26</v>
      </c>
      <c r="B24" s="4">
        <v>475</v>
      </c>
      <c r="C24" s="17"/>
    </row>
    <row r="27" spans="1:3" hidden="1" x14ac:dyDescent="0.3"/>
  </sheetData>
  <mergeCells count="2">
    <mergeCell ref="A3:B3"/>
    <mergeCell ref="C3:C2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FogliCreati.EliminaFogliCreati">
                <anchor moveWithCells="1">
                  <from>
                    <xdr:col>4</xdr:col>
                    <xdr:colOff>7620</xdr:colOff>
                    <xdr:row>11</xdr:row>
                    <xdr:rowOff>198120</xdr:rowOff>
                  </from>
                  <to>
                    <xdr:col>5</xdr:col>
                    <xdr:colOff>541020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Fogli.CreaFogli">
                <anchor moveWithCells="1">
                  <from>
                    <xdr:col>4</xdr:col>
                    <xdr:colOff>7620</xdr:colOff>
                    <xdr:row>8</xdr:row>
                    <xdr:rowOff>0</xdr:rowOff>
                  </from>
                  <to>
                    <xdr:col>5</xdr:col>
                    <xdr:colOff>548640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182B-8FDF-4274-A2F4-3B268ED1C94C}">
  <sheetPr codeName="Foglio3"/>
  <dimension ref="A1:G301"/>
  <sheetViews>
    <sheetView topLeftCell="A290" workbookViewId="0">
      <selection activeCell="A302" sqref="A302:XFD476"/>
    </sheetView>
  </sheetViews>
  <sheetFormatPr defaultRowHeight="14.4" x14ac:dyDescent="0.3"/>
  <cols>
    <col min="1" max="1" width="16.21875" bestFit="1" customWidth="1"/>
    <col min="2" max="2" width="12.5546875" bestFit="1" customWidth="1"/>
    <col min="3" max="3" width="20" bestFit="1" customWidth="1"/>
    <col min="4" max="4" width="18.88671875" bestFit="1" customWidth="1"/>
    <col min="5" max="5" width="24.109375" bestFit="1" customWidth="1"/>
    <col min="6" max="6" width="23.44140625" bestFit="1" customWidth="1"/>
    <col min="7" max="7" width="46.33203125" bestFit="1" customWidth="1"/>
  </cols>
  <sheetData>
    <row r="1" spans="1:7" s="11" customFormat="1" ht="28.8" x14ac:dyDescent="0.3">
      <c r="A1" s="12" t="s">
        <v>359</v>
      </c>
      <c r="B1" s="12" t="s">
        <v>360</v>
      </c>
      <c r="C1" s="12" t="s">
        <v>35</v>
      </c>
      <c r="D1" s="12" t="s">
        <v>361</v>
      </c>
      <c r="E1" s="12" t="s">
        <v>362</v>
      </c>
      <c r="F1" s="12" t="s">
        <v>977</v>
      </c>
      <c r="G1" s="12" t="s">
        <v>978</v>
      </c>
    </row>
    <row r="2" spans="1:7" x14ac:dyDescent="0.3">
      <c r="A2" s="13" t="s">
        <v>979</v>
      </c>
      <c r="B2" s="13" t="s">
        <v>48</v>
      </c>
      <c r="C2" s="13">
        <v>14742</v>
      </c>
      <c r="D2" s="14">
        <v>1472.572811</v>
      </c>
      <c r="E2" s="13">
        <v>4070000</v>
      </c>
      <c r="F2" s="13">
        <v>0.9</v>
      </c>
      <c r="G2" s="13" t="s">
        <v>1279</v>
      </c>
    </row>
    <row r="3" spans="1:7" x14ac:dyDescent="0.3">
      <c r="A3" s="13" t="s">
        <v>980</v>
      </c>
      <c r="B3" s="13" t="s">
        <v>50</v>
      </c>
      <c r="C3" s="13">
        <v>2761</v>
      </c>
      <c r="D3" s="14">
        <v>608.63331470000003</v>
      </c>
      <c r="E3" s="13">
        <v>1320000</v>
      </c>
      <c r="F3" s="13">
        <v>0.9</v>
      </c>
      <c r="G3" s="13" t="s">
        <v>1279</v>
      </c>
    </row>
    <row r="4" spans="1:7" x14ac:dyDescent="0.3">
      <c r="A4" s="13" t="s">
        <v>981</v>
      </c>
      <c r="B4" s="13" t="s">
        <v>52</v>
      </c>
      <c r="C4" s="13">
        <v>5178</v>
      </c>
      <c r="D4" s="14">
        <v>370.03875499999998</v>
      </c>
      <c r="E4" s="13">
        <v>1160000</v>
      </c>
      <c r="F4" s="13">
        <v>0.9</v>
      </c>
      <c r="G4" s="13" t="s">
        <v>1279</v>
      </c>
    </row>
    <row r="5" spans="1:7" x14ac:dyDescent="0.3">
      <c r="A5" s="13" t="s">
        <v>982</v>
      </c>
      <c r="B5" s="13" t="s">
        <v>53</v>
      </c>
      <c r="C5" s="13">
        <v>8816</v>
      </c>
      <c r="D5" s="14">
        <v>577.62753169999996</v>
      </c>
      <c r="E5" s="13">
        <v>1900000</v>
      </c>
      <c r="F5" s="13">
        <v>0.9</v>
      </c>
      <c r="G5" s="13" t="s">
        <v>1279</v>
      </c>
    </row>
    <row r="6" spans="1:7" x14ac:dyDescent="0.3">
      <c r="A6" s="13" t="s">
        <v>983</v>
      </c>
      <c r="B6" s="13" t="s">
        <v>56</v>
      </c>
      <c r="C6" s="13">
        <v>443</v>
      </c>
      <c r="D6" s="14">
        <v>45.370945110000001</v>
      </c>
      <c r="E6" s="13">
        <v>121000</v>
      </c>
      <c r="F6" s="13">
        <v>0.9</v>
      </c>
      <c r="G6" s="13" t="s">
        <v>1279</v>
      </c>
    </row>
    <row r="7" spans="1:7" x14ac:dyDescent="0.3">
      <c r="A7" s="13" t="s">
        <v>984</v>
      </c>
      <c r="B7" s="13" t="s">
        <v>57</v>
      </c>
      <c r="C7" s="13">
        <v>367</v>
      </c>
      <c r="D7" s="14">
        <v>65.757096349999998</v>
      </c>
      <c r="E7" s="13">
        <v>146000</v>
      </c>
      <c r="F7" s="13">
        <v>0.9</v>
      </c>
      <c r="G7" s="13" t="s">
        <v>1279</v>
      </c>
    </row>
    <row r="8" spans="1:7" x14ac:dyDescent="0.3">
      <c r="A8" s="13" t="s">
        <v>985</v>
      </c>
      <c r="B8" s="13" t="s">
        <v>59</v>
      </c>
      <c r="C8" s="13">
        <v>168</v>
      </c>
      <c r="D8" s="14">
        <v>32.806192359999997</v>
      </c>
      <c r="E8" s="13">
        <v>73200</v>
      </c>
      <c r="F8" s="13">
        <v>0.9</v>
      </c>
      <c r="G8" s="13" t="s">
        <v>1279</v>
      </c>
    </row>
    <row r="9" spans="1:7" x14ac:dyDescent="0.3">
      <c r="A9" s="13" t="s">
        <v>986</v>
      </c>
      <c r="B9" s="13" t="s">
        <v>61</v>
      </c>
      <c r="C9" s="13">
        <v>252</v>
      </c>
      <c r="D9" s="14">
        <v>75.14721376</v>
      </c>
      <c r="E9" s="13">
        <v>142000</v>
      </c>
      <c r="F9" s="13">
        <v>0.9</v>
      </c>
      <c r="G9" s="13" t="s">
        <v>1279</v>
      </c>
    </row>
    <row r="10" spans="1:7" x14ac:dyDescent="0.3">
      <c r="A10" s="13" t="s">
        <v>987</v>
      </c>
      <c r="B10" s="13" t="s">
        <v>62</v>
      </c>
      <c r="C10" s="13">
        <v>273</v>
      </c>
      <c r="D10" s="14">
        <v>38.594767519999998</v>
      </c>
      <c r="E10" s="13">
        <v>92600</v>
      </c>
      <c r="F10" s="13">
        <v>0.9</v>
      </c>
      <c r="G10" s="13" t="s">
        <v>1279</v>
      </c>
    </row>
    <row r="11" spans="1:7" x14ac:dyDescent="0.3">
      <c r="A11" s="13" t="s">
        <v>988</v>
      </c>
      <c r="B11" s="13" t="s">
        <v>63</v>
      </c>
      <c r="C11" s="13">
        <v>804</v>
      </c>
      <c r="D11" s="14">
        <v>135.01372520000001</v>
      </c>
      <c r="E11" s="13">
        <v>270000</v>
      </c>
      <c r="F11" s="13">
        <v>0.9</v>
      </c>
      <c r="G11" s="13" t="s">
        <v>1279</v>
      </c>
    </row>
    <row r="12" spans="1:7" x14ac:dyDescent="0.3">
      <c r="A12" s="13" t="s">
        <v>989</v>
      </c>
      <c r="B12" s="13" t="s">
        <v>64</v>
      </c>
      <c r="C12" s="13">
        <v>96</v>
      </c>
      <c r="D12" s="14">
        <v>19.61382356</v>
      </c>
      <c r="E12" s="13">
        <v>42600</v>
      </c>
      <c r="F12" s="13">
        <v>0.9</v>
      </c>
      <c r="G12" s="13" t="s">
        <v>1279</v>
      </c>
    </row>
    <row r="13" spans="1:7" x14ac:dyDescent="0.3">
      <c r="A13" s="13" t="s">
        <v>990</v>
      </c>
      <c r="B13" s="13" t="s">
        <v>65</v>
      </c>
      <c r="C13" s="13">
        <v>223</v>
      </c>
      <c r="D13" s="14">
        <v>27.14626355</v>
      </c>
      <c r="E13" s="13">
        <v>55900</v>
      </c>
      <c r="F13" s="13">
        <v>0.9</v>
      </c>
      <c r="G13" s="13" t="s">
        <v>1279</v>
      </c>
    </row>
    <row r="14" spans="1:7" x14ac:dyDescent="0.3">
      <c r="A14" s="13" t="s">
        <v>991</v>
      </c>
      <c r="B14" s="13" t="s">
        <v>66</v>
      </c>
      <c r="C14" s="13">
        <v>206</v>
      </c>
      <c r="D14" s="14">
        <v>40.816580430000002</v>
      </c>
      <c r="E14" s="13">
        <v>79300</v>
      </c>
      <c r="F14" s="13">
        <v>0.9</v>
      </c>
      <c r="G14" s="13" t="s">
        <v>1279</v>
      </c>
    </row>
    <row r="15" spans="1:7" x14ac:dyDescent="0.3">
      <c r="A15" s="13" t="s">
        <v>992</v>
      </c>
      <c r="B15" s="13" t="s">
        <v>67</v>
      </c>
      <c r="C15" s="13">
        <v>284</v>
      </c>
      <c r="D15" s="14">
        <v>34.071756090000001</v>
      </c>
      <c r="E15" s="13">
        <v>85100</v>
      </c>
      <c r="F15" s="13">
        <v>0.9</v>
      </c>
      <c r="G15" s="13" t="s">
        <v>1279</v>
      </c>
    </row>
    <row r="16" spans="1:7" x14ac:dyDescent="0.3">
      <c r="A16" s="13" t="s">
        <v>993</v>
      </c>
      <c r="B16" s="13" t="s">
        <v>68</v>
      </c>
      <c r="C16" s="13">
        <v>206</v>
      </c>
      <c r="D16" s="14">
        <v>53.299670020000001</v>
      </c>
      <c r="E16" s="13">
        <v>103000</v>
      </c>
      <c r="F16" s="13">
        <v>0.9</v>
      </c>
      <c r="G16" s="13" t="s">
        <v>1279</v>
      </c>
    </row>
    <row r="17" spans="1:7" x14ac:dyDescent="0.3">
      <c r="A17" s="13" t="s">
        <v>994</v>
      </c>
      <c r="B17" s="13" t="s">
        <v>69</v>
      </c>
      <c r="C17" s="13">
        <v>513</v>
      </c>
      <c r="D17" s="14">
        <v>51.598298329999999</v>
      </c>
      <c r="E17" s="13">
        <v>110000</v>
      </c>
      <c r="F17" s="13">
        <v>0.9</v>
      </c>
      <c r="G17" s="13" t="s">
        <v>1279</v>
      </c>
    </row>
    <row r="18" spans="1:7" x14ac:dyDescent="0.3">
      <c r="A18" s="13" t="s">
        <v>995</v>
      </c>
      <c r="B18" s="13" t="s">
        <v>70</v>
      </c>
      <c r="C18" s="13">
        <v>276</v>
      </c>
      <c r="D18" s="14">
        <v>47.667433209999999</v>
      </c>
      <c r="E18" s="13">
        <v>93300</v>
      </c>
      <c r="F18" s="13">
        <v>0.9</v>
      </c>
      <c r="G18" s="13" t="s">
        <v>1279</v>
      </c>
    </row>
    <row r="19" spans="1:7" x14ac:dyDescent="0.3">
      <c r="A19" s="13" t="s">
        <v>996</v>
      </c>
      <c r="B19" s="13" t="s">
        <v>71</v>
      </c>
      <c r="C19" s="13">
        <v>379</v>
      </c>
      <c r="D19" s="14">
        <v>29.99103607</v>
      </c>
      <c r="E19" s="13">
        <v>68500</v>
      </c>
      <c r="F19" s="13">
        <v>0.9</v>
      </c>
      <c r="G19" s="13" t="s">
        <v>1279</v>
      </c>
    </row>
    <row r="20" spans="1:7" x14ac:dyDescent="0.3">
      <c r="A20" s="13" t="s">
        <v>997</v>
      </c>
      <c r="B20" s="13" t="s">
        <v>72</v>
      </c>
      <c r="C20" s="13">
        <v>111</v>
      </c>
      <c r="D20" s="14">
        <v>41.948997259999999</v>
      </c>
      <c r="E20" s="13">
        <v>82400</v>
      </c>
      <c r="F20" s="13">
        <v>0.9</v>
      </c>
      <c r="G20" s="13" t="s">
        <v>1279</v>
      </c>
    </row>
    <row r="21" spans="1:7" x14ac:dyDescent="0.3">
      <c r="A21" s="13" t="s">
        <v>998</v>
      </c>
      <c r="B21" s="13" t="s">
        <v>73</v>
      </c>
      <c r="C21" s="13">
        <v>530</v>
      </c>
      <c r="D21" s="14">
        <v>108.6868898</v>
      </c>
      <c r="E21" s="13">
        <v>208000</v>
      </c>
      <c r="F21" s="13">
        <v>0.9</v>
      </c>
      <c r="G21" s="13" t="s">
        <v>1279</v>
      </c>
    </row>
    <row r="22" spans="1:7" x14ac:dyDescent="0.3">
      <c r="A22" s="13" t="s">
        <v>999</v>
      </c>
      <c r="B22" s="13" t="s">
        <v>74</v>
      </c>
      <c r="C22" s="13">
        <v>197</v>
      </c>
      <c r="D22" s="14">
        <v>55.147091330000002</v>
      </c>
      <c r="E22" s="13">
        <v>114000</v>
      </c>
      <c r="F22" s="13">
        <v>0.9</v>
      </c>
      <c r="G22" s="13" t="s">
        <v>1279</v>
      </c>
    </row>
    <row r="23" spans="1:7" x14ac:dyDescent="0.3">
      <c r="A23" s="13" t="s">
        <v>1000</v>
      </c>
      <c r="B23" s="13" t="s">
        <v>75</v>
      </c>
      <c r="C23" s="13">
        <v>1086</v>
      </c>
      <c r="D23" s="14">
        <v>92.45022865</v>
      </c>
      <c r="E23" s="13">
        <v>201000</v>
      </c>
      <c r="F23" s="13">
        <v>0.9</v>
      </c>
      <c r="G23" s="13" t="s">
        <v>1279</v>
      </c>
    </row>
    <row r="24" spans="1:7" x14ac:dyDescent="0.3">
      <c r="A24" s="13" t="s">
        <v>1001</v>
      </c>
      <c r="B24" s="13" t="s">
        <v>76</v>
      </c>
      <c r="C24" s="13">
        <v>1104</v>
      </c>
      <c r="D24" s="14">
        <v>143.9187637</v>
      </c>
      <c r="E24" s="13">
        <v>295000</v>
      </c>
      <c r="F24" s="13">
        <v>0.9</v>
      </c>
      <c r="G24" s="13" t="s">
        <v>1279</v>
      </c>
    </row>
    <row r="25" spans="1:7" x14ac:dyDescent="0.3">
      <c r="A25" s="13" t="s">
        <v>1002</v>
      </c>
      <c r="B25" s="13" t="s">
        <v>77</v>
      </c>
      <c r="C25" s="13">
        <v>2999</v>
      </c>
      <c r="D25" s="14">
        <v>292.86203139999998</v>
      </c>
      <c r="E25" s="13">
        <v>608000</v>
      </c>
      <c r="F25" s="13">
        <v>0.9</v>
      </c>
      <c r="G25" s="13" t="s">
        <v>1279</v>
      </c>
    </row>
    <row r="26" spans="1:7" x14ac:dyDescent="0.3">
      <c r="A26" s="13" t="s">
        <v>1003</v>
      </c>
      <c r="B26" s="13" t="s">
        <v>78</v>
      </c>
      <c r="C26" s="13">
        <v>247</v>
      </c>
      <c r="D26" s="14">
        <v>45.50908012</v>
      </c>
      <c r="E26" s="13">
        <v>87900</v>
      </c>
      <c r="F26" s="13">
        <v>0.9</v>
      </c>
      <c r="G26" s="13" t="s">
        <v>1279</v>
      </c>
    </row>
    <row r="27" spans="1:7" x14ac:dyDescent="0.3">
      <c r="A27" s="13" t="s">
        <v>1004</v>
      </c>
      <c r="B27" s="13" t="s">
        <v>79</v>
      </c>
      <c r="C27" s="13">
        <v>640</v>
      </c>
      <c r="D27" s="14">
        <v>54.069851489999998</v>
      </c>
      <c r="E27" s="13">
        <v>155000</v>
      </c>
      <c r="F27" s="13">
        <v>0.9</v>
      </c>
      <c r="G27" s="13" t="s">
        <v>1279</v>
      </c>
    </row>
    <row r="28" spans="1:7" x14ac:dyDescent="0.3">
      <c r="A28" s="13" t="s">
        <v>1005</v>
      </c>
      <c r="B28" s="13" t="s">
        <v>81</v>
      </c>
      <c r="C28" s="13">
        <v>396</v>
      </c>
      <c r="D28" s="14">
        <v>69.087079160000002</v>
      </c>
      <c r="E28" s="13">
        <v>133000</v>
      </c>
      <c r="F28" s="13">
        <v>0.9</v>
      </c>
      <c r="G28" s="13" t="s">
        <v>1279</v>
      </c>
    </row>
    <row r="29" spans="1:7" x14ac:dyDescent="0.3">
      <c r="A29" s="13" t="s">
        <v>1006</v>
      </c>
      <c r="B29" s="13" t="s">
        <v>82</v>
      </c>
      <c r="C29" s="13">
        <v>472</v>
      </c>
      <c r="D29" s="14">
        <v>46.836964389999999</v>
      </c>
      <c r="E29" s="13">
        <v>98800</v>
      </c>
      <c r="F29" s="13">
        <v>0.9</v>
      </c>
      <c r="G29" s="13" t="s">
        <v>1279</v>
      </c>
    </row>
    <row r="30" spans="1:7" x14ac:dyDescent="0.3">
      <c r="A30" s="13" t="s">
        <v>1007</v>
      </c>
      <c r="B30" s="13" t="s">
        <v>83</v>
      </c>
      <c r="C30" s="13">
        <v>601</v>
      </c>
      <c r="D30" s="14">
        <v>45.926197889999997</v>
      </c>
      <c r="E30" s="13">
        <v>102000</v>
      </c>
      <c r="F30" s="13">
        <v>0.9</v>
      </c>
      <c r="G30" s="13" t="s">
        <v>1279</v>
      </c>
    </row>
    <row r="31" spans="1:7" x14ac:dyDescent="0.3">
      <c r="A31" s="13" t="s">
        <v>1008</v>
      </c>
      <c r="B31" s="13" t="s">
        <v>84</v>
      </c>
      <c r="C31" s="13">
        <v>679</v>
      </c>
      <c r="D31" s="14">
        <v>109.21299569999999</v>
      </c>
      <c r="E31" s="13">
        <v>213000</v>
      </c>
      <c r="F31" s="13">
        <v>0.9</v>
      </c>
      <c r="G31" s="13" t="s">
        <v>1279</v>
      </c>
    </row>
    <row r="32" spans="1:7" x14ac:dyDescent="0.3">
      <c r="A32" s="13" t="s">
        <v>1009</v>
      </c>
      <c r="B32" s="13" t="s">
        <v>85</v>
      </c>
      <c r="C32" s="13">
        <v>249</v>
      </c>
      <c r="D32" s="14">
        <v>91.791948759999997</v>
      </c>
      <c r="E32" s="13">
        <v>171000</v>
      </c>
      <c r="F32" s="13">
        <v>0.9</v>
      </c>
      <c r="G32" s="13" t="s">
        <v>1279</v>
      </c>
    </row>
    <row r="33" spans="1:7" x14ac:dyDescent="0.3">
      <c r="A33" s="13" t="s">
        <v>1010</v>
      </c>
      <c r="B33" s="13" t="s">
        <v>86</v>
      </c>
      <c r="C33" s="13">
        <v>823</v>
      </c>
      <c r="D33" s="14">
        <v>92.007416239999998</v>
      </c>
      <c r="E33" s="13">
        <v>198000</v>
      </c>
      <c r="F33" s="13">
        <v>0.9</v>
      </c>
      <c r="G33" s="13" t="s">
        <v>1279</v>
      </c>
    </row>
    <row r="34" spans="1:7" x14ac:dyDescent="0.3">
      <c r="A34" s="13" t="s">
        <v>1011</v>
      </c>
      <c r="B34" s="13" t="s">
        <v>87</v>
      </c>
      <c r="C34" s="13">
        <v>89</v>
      </c>
      <c r="D34" s="14">
        <v>41.20507147</v>
      </c>
      <c r="E34" s="13">
        <v>75800</v>
      </c>
      <c r="F34" s="13">
        <v>0.9</v>
      </c>
      <c r="G34" s="13" t="s">
        <v>1279</v>
      </c>
    </row>
    <row r="35" spans="1:7" x14ac:dyDescent="0.3">
      <c r="A35" s="13" t="s">
        <v>1012</v>
      </c>
      <c r="B35" s="13" t="s">
        <v>88</v>
      </c>
      <c r="C35" s="13">
        <v>539</v>
      </c>
      <c r="D35" s="14">
        <v>120.5564146</v>
      </c>
      <c r="E35" s="13">
        <v>226000</v>
      </c>
      <c r="F35" s="13">
        <v>0.9</v>
      </c>
      <c r="G35" s="13" t="s">
        <v>1279</v>
      </c>
    </row>
    <row r="36" spans="1:7" x14ac:dyDescent="0.3">
      <c r="A36" s="13" t="s">
        <v>1013</v>
      </c>
      <c r="B36" s="13" t="s">
        <v>89</v>
      </c>
      <c r="C36" s="13">
        <v>339</v>
      </c>
      <c r="D36" s="14">
        <v>84.538720069999997</v>
      </c>
      <c r="E36" s="13">
        <v>160000</v>
      </c>
      <c r="F36" s="13">
        <v>0.9</v>
      </c>
      <c r="G36" s="13" t="s">
        <v>1279</v>
      </c>
    </row>
    <row r="37" spans="1:7" x14ac:dyDescent="0.3">
      <c r="A37" s="13" t="s">
        <v>1014</v>
      </c>
      <c r="B37" s="13" t="s">
        <v>90</v>
      </c>
      <c r="C37" s="13">
        <v>155</v>
      </c>
      <c r="D37" s="14">
        <v>67.919437709999997</v>
      </c>
      <c r="E37" s="13">
        <v>126000</v>
      </c>
      <c r="F37" s="13">
        <v>0.9</v>
      </c>
      <c r="G37" s="13" t="s">
        <v>1279</v>
      </c>
    </row>
    <row r="38" spans="1:7" x14ac:dyDescent="0.3">
      <c r="A38" s="13" t="s">
        <v>1015</v>
      </c>
      <c r="B38" s="13" t="s">
        <v>91</v>
      </c>
      <c r="C38" s="13">
        <v>1245</v>
      </c>
      <c r="D38" s="14">
        <v>111.2162328</v>
      </c>
      <c r="E38" s="13">
        <v>237000</v>
      </c>
      <c r="F38" s="13">
        <v>0.9</v>
      </c>
      <c r="G38" s="13" t="s">
        <v>1279</v>
      </c>
    </row>
    <row r="39" spans="1:7" x14ac:dyDescent="0.3">
      <c r="A39" s="13" t="s">
        <v>1016</v>
      </c>
      <c r="B39" s="13" t="s">
        <v>92</v>
      </c>
      <c r="C39" s="13">
        <v>349</v>
      </c>
      <c r="D39" s="14">
        <v>60.193868879999997</v>
      </c>
      <c r="E39" s="13">
        <v>119000</v>
      </c>
      <c r="F39" s="13">
        <v>0.9</v>
      </c>
      <c r="G39" s="13" t="s">
        <v>1279</v>
      </c>
    </row>
    <row r="40" spans="1:7" x14ac:dyDescent="0.3">
      <c r="A40" s="13" t="s">
        <v>1017</v>
      </c>
      <c r="B40" s="13" t="s">
        <v>93</v>
      </c>
      <c r="C40" s="13">
        <v>1050</v>
      </c>
      <c r="D40" s="14">
        <v>116.8462018</v>
      </c>
      <c r="E40" s="13">
        <v>238000</v>
      </c>
      <c r="F40" s="13">
        <v>0.9</v>
      </c>
      <c r="G40" s="13" t="s">
        <v>1279</v>
      </c>
    </row>
    <row r="41" spans="1:7" x14ac:dyDescent="0.3">
      <c r="A41" s="13" t="s">
        <v>1018</v>
      </c>
      <c r="B41" s="13" t="s">
        <v>94</v>
      </c>
      <c r="C41" s="13">
        <v>529</v>
      </c>
      <c r="D41" s="14">
        <v>88.728475270000004</v>
      </c>
      <c r="E41" s="13">
        <v>174000</v>
      </c>
      <c r="F41" s="13">
        <v>0.9</v>
      </c>
      <c r="G41" s="13" t="s">
        <v>1279</v>
      </c>
    </row>
    <row r="42" spans="1:7" x14ac:dyDescent="0.3">
      <c r="A42" s="13" t="s">
        <v>1019</v>
      </c>
      <c r="B42" s="13" t="s">
        <v>95</v>
      </c>
      <c r="C42" s="13">
        <v>116</v>
      </c>
      <c r="D42" s="14">
        <v>58.139862979999997</v>
      </c>
      <c r="E42" s="13">
        <v>108000</v>
      </c>
      <c r="F42" s="13">
        <v>0.9</v>
      </c>
      <c r="G42" s="13" t="s">
        <v>1279</v>
      </c>
    </row>
    <row r="43" spans="1:7" x14ac:dyDescent="0.3">
      <c r="A43" s="13" t="s">
        <v>1020</v>
      </c>
      <c r="B43" s="13" t="s">
        <v>96</v>
      </c>
      <c r="C43" s="13">
        <v>293</v>
      </c>
      <c r="D43" s="14">
        <v>51.840910280000003</v>
      </c>
      <c r="E43" s="13">
        <v>101000</v>
      </c>
      <c r="F43" s="13">
        <v>0.9</v>
      </c>
      <c r="G43" s="13" t="s">
        <v>1279</v>
      </c>
    </row>
    <row r="44" spans="1:7" x14ac:dyDescent="0.3">
      <c r="A44" s="13" t="s">
        <v>1021</v>
      </c>
      <c r="B44" s="13" t="s">
        <v>97</v>
      </c>
      <c r="C44" s="13">
        <v>182</v>
      </c>
      <c r="D44" s="14">
        <v>48.435625559999998</v>
      </c>
      <c r="E44" s="13">
        <v>88100</v>
      </c>
      <c r="F44" s="13">
        <v>0.9</v>
      </c>
      <c r="G44" s="13" t="s">
        <v>1279</v>
      </c>
    </row>
    <row r="45" spans="1:7" x14ac:dyDescent="0.3">
      <c r="A45" s="13" t="s">
        <v>1022</v>
      </c>
      <c r="B45" s="13" t="s">
        <v>99</v>
      </c>
      <c r="C45" s="13">
        <v>106</v>
      </c>
      <c r="D45" s="14">
        <v>22.881920730000001</v>
      </c>
      <c r="E45" s="13">
        <v>44300</v>
      </c>
      <c r="F45" s="13">
        <v>0.9</v>
      </c>
      <c r="G45" s="13" t="s">
        <v>1279</v>
      </c>
    </row>
    <row r="46" spans="1:7" x14ac:dyDescent="0.3">
      <c r="A46" s="13" t="s">
        <v>1023</v>
      </c>
      <c r="B46" s="13" t="s">
        <v>100</v>
      </c>
      <c r="C46" s="13">
        <v>213</v>
      </c>
      <c r="D46" s="14">
        <v>51.017047839999996</v>
      </c>
      <c r="E46" s="13">
        <v>94500</v>
      </c>
      <c r="F46" s="13">
        <v>0.9</v>
      </c>
      <c r="G46" s="13" t="s">
        <v>1279</v>
      </c>
    </row>
    <row r="47" spans="1:7" x14ac:dyDescent="0.3">
      <c r="A47" s="13" t="s">
        <v>1024</v>
      </c>
      <c r="B47" s="13" t="s">
        <v>101</v>
      </c>
      <c r="C47" s="13">
        <v>276</v>
      </c>
      <c r="D47" s="14">
        <v>62.910193159999999</v>
      </c>
      <c r="E47" s="13">
        <v>134000</v>
      </c>
      <c r="F47" s="13">
        <v>0.9</v>
      </c>
      <c r="G47" s="13" t="s">
        <v>1279</v>
      </c>
    </row>
    <row r="48" spans="1:7" x14ac:dyDescent="0.3">
      <c r="A48" s="13" t="s">
        <v>1025</v>
      </c>
      <c r="B48" s="13" t="s">
        <v>103</v>
      </c>
      <c r="C48" s="13">
        <v>1440</v>
      </c>
      <c r="D48" s="14">
        <v>156.3379942</v>
      </c>
      <c r="E48" s="13">
        <v>417000</v>
      </c>
      <c r="F48" s="13">
        <v>0.9</v>
      </c>
      <c r="G48" s="13" t="s">
        <v>1279</v>
      </c>
    </row>
    <row r="49" spans="1:7" x14ac:dyDescent="0.3">
      <c r="A49" s="13" t="s">
        <v>1026</v>
      </c>
      <c r="B49" s="13" t="s">
        <v>105</v>
      </c>
      <c r="C49" s="13">
        <v>1431</v>
      </c>
      <c r="D49" s="14">
        <v>125.3840074</v>
      </c>
      <c r="E49" s="13">
        <v>1460000</v>
      </c>
      <c r="F49" s="13">
        <v>0.9</v>
      </c>
      <c r="G49" s="13" t="s">
        <v>1279</v>
      </c>
    </row>
    <row r="50" spans="1:7" x14ac:dyDescent="0.3">
      <c r="A50" s="13" t="s">
        <v>1027</v>
      </c>
      <c r="B50" s="13" t="s">
        <v>106</v>
      </c>
      <c r="C50" s="13">
        <v>540</v>
      </c>
      <c r="D50" s="14">
        <v>91.544153230000006</v>
      </c>
      <c r="E50" s="13">
        <v>178000</v>
      </c>
      <c r="F50" s="13">
        <v>0.9</v>
      </c>
      <c r="G50" s="13" t="s">
        <v>1279</v>
      </c>
    </row>
    <row r="51" spans="1:7" x14ac:dyDescent="0.3">
      <c r="A51" s="13" t="s">
        <v>1028</v>
      </c>
      <c r="B51" s="13" t="s">
        <v>107</v>
      </c>
      <c r="C51" s="13">
        <v>94</v>
      </c>
      <c r="D51" s="14">
        <v>30.2182256</v>
      </c>
      <c r="E51" s="13">
        <v>55800</v>
      </c>
      <c r="F51" s="13">
        <v>0.9</v>
      </c>
      <c r="G51" s="13" t="s">
        <v>1279</v>
      </c>
    </row>
    <row r="52" spans="1:7" x14ac:dyDescent="0.3">
      <c r="A52" s="13" t="s">
        <v>1029</v>
      </c>
      <c r="B52" s="13" t="s">
        <v>108</v>
      </c>
      <c r="C52" s="13">
        <v>288</v>
      </c>
      <c r="D52" s="14">
        <v>44.755623890000003</v>
      </c>
      <c r="E52" s="13">
        <v>84100</v>
      </c>
      <c r="F52" s="13">
        <v>0.9</v>
      </c>
      <c r="G52" s="13" t="s">
        <v>1279</v>
      </c>
    </row>
    <row r="53" spans="1:7" x14ac:dyDescent="0.3">
      <c r="A53" s="13" t="s">
        <v>1030</v>
      </c>
      <c r="B53" s="13" t="s">
        <v>109</v>
      </c>
      <c r="C53" s="13">
        <v>996</v>
      </c>
      <c r="D53" s="14">
        <v>144.08759370000001</v>
      </c>
      <c r="E53" s="13">
        <v>344000</v>
      </c>
      <c r="F53" s="13">
        <v>0.9</v>
      </c>
      <c r="G53" s="13" t="s">
        <v>1279</v>
      </c>
    </row>
    <row r="54" spans="1:7" x14ac:dyDescent="0.3">
      <c r="A54" s="13" t="s">
        <v>1031</v>
      </c>
      <c r="B54" s="13" t="s">
        <v>110</v>
      </c>
      <c r="C54" s="13">
        <v>95</v>
      </c>
      <c r="D54" s="14">
        <v>21.26580701</v>
      </c>
      <c r="E54" s="13">
        <v>40000</v>
      </c>
      <c r="F54" s="13">
        <v>0.9</v>
      </c>
      <c r="G54" s="13" t="s">
        <v>1279</v>
      </c>
    </row>
    <row r="55" spans="1:7" x14ac:dyDescent="0.3">
      <c r="A55" s="13" t="s">
        <v>1032</v>
      </c>
      <c r="B55" s="13" t="s">
        <v>111</v>
      </c>
      <c r="C55" s="13">
        <v>1832</v>
      </c>
      <c r="D55" s="14">
        <v>210.7078266</v>
      </c>
      <c r="E55" s="13">
        <v>428000</v>
      </c>
      <c r="F55" s="13">
        <v>0.9</v>
      </c>
      <c r="G55" s="13" t="s">
        <v>1279</v>
      </c>
    </row>
    <row r="56" spans="1:7" x14ac:dyDescent="0.3">
      <c r="A56" s="13" t="s">
        <v>1033</v>
      </c>
      <c r="B56" s="13" t="s">
        <v>112</v>
      </c>
      <c r="C56" s="13">
        <v>996</v>
      </c>
      <c r="D56" s="14">
        <v>81.720944930000002</v>
      </c>
      <c r="E56" s="13">
        <v>185000</v>
      </c>
      <c r="F56" s="13">
        <v>0.9</v>
      </c>
      <c r="G56" s="13" t="s">
        <v>1279</v>
      </c>
    </row>
    <row r="57" spans="1:7" x14ac:dyDescent="0.3">
      <c r="A57" s="13" t="s">
        <v>1034</v>
      </c>
      <c r="B57" s="13" t="s">
        <v>113</v>
      </c>
      <c r="C57" s="13">
        <v>572</v>
      </c>
      <c r="D57" s="14">
        <v>104.0871331</v>
      </c>
      <c r="E57" s="13">
        <v>198000</v>
      </c>
      <c r="F57" s="13">
        <v>0.9</v>
      </c>
      <c r="G57" s="13" t="s">
        <v>1279</v>
      </c>
    </row>
    <row r="58" spans="1:7" x14ac:dyDescent="0.3">
      <c r="A58" s="13" t="s">
        <v>1035</v>
      </c>
      <c r="B58" s="13" t="s">
        <v>114</v>
      </c>
      <c r="C58" s="13">
        <v>116</v>
      </c>
      <c r="D58" s="14">
        <v>46.624670010000003</v>
      </c>
      <c r="E58" s="13">
        <v>88000</v>
      </c>
      <c r="F58" s="13">
        <v>0.9</v>
      </c>
      <c r="G58" s="13" t="s">
        <v>1279</v>
      </c>
    </row>
    <row r="59" spans="1:7" x14ac:dyDescent="0.3">
      <c r="A59" s="13" t="s">
        <v>1036</v>
      </c>
      <c r="B59" s="13" t="s">
        <v>115</v>
      </c>
      <c r="C59" s="13">
        <v>738</v>
      </c>
      <c r="D59" s="14">
        <v>102.9889642</v>
      </c>
      <c r="E59" s="13">
        <v>253000</v>
      </c>
      <c r="F59" s="13">
        <v>0.9</v>
      </c>
      <c r="G59" s="13" t="s">
        <v>1279</v>
      </c>
    </row>
    <row r="60" spans="1:7" x14ac:dyDescent="0.3">
      <c r="A60" s="13" t="s">
        <v>1037</v>
      </c>
      <c r="B60" s="13" t="s">
        <v>116</v>
      </c>
      <c r="C60" s="13">
        <v>1728</v>
      </c>
      <c r="D60" s="14">
        <v>166.034739</v>
      </c>
      <c r="E60" s="13">
        <v>342000</v>
      </c>
      <c r="F60" s="13">
        <v>0.9</v>
      </c>
      <c r="G60" s="13" t="s">
        <v>1279</v>
      </c>
    </row>
    <row r="61" spans="1:7" x14ac:dyDescent="0.3">
      <c r="A61" s="13" t="s">
        <v>1038</v>
      </c>
      <c r="B61" s="13" t="s">
        <v>117</v>
      </c>
      <c r="C61" s="13">
        <v>345</v>
      </c>
      <c r="D61" s="14">
        <v>96.673212169999999</v>
      </c>
      <c r="E61" s="13">
        <v>185000</v>
      </c>
      <c r="F61" s="13">
        <v>0.9</v>
      </c>
      <c r="G61" s="13" t="s">
        <v>1279</v>
      </c>
    </row>
    <row r="62" spans="1:7" x14ac:dyDescent="0.3">
      <c r="A62" s="13" t="s">
        <v>1039</v>
      </c>
      <c r="B62" s="13" t="s">
        <v>118</v>
      </c>
      <c r="C62" s="13">
        <v>507</v>
      </c>
      <c r="D62" s="14">
        <v>37.834724209999997</v>
      </c>
      <c r="E62" s="13">
        <v>118000</v>
      </c>
      <c r="F62" s="13">
        <v>0.9</v>
      </c>
      <c r="G62" s="13" t="s">
        <v>1279</v>
      </c>
    </row>
    <row r="63" spans="1:7" x14ac:dyDescent="0.3">
      <c r="A63" s="13" t="s">
        <v>1040</v>
      </c>
      <c r="B63" s="13" t="s">
        <v>119</v>
      </c>
      <c r="C63" s="13">
        <v>191</v>
      </c>
      <c r="D63" s="14">
        <v>52.899460439999999</v>
      </c>
      <c r="E63" s="13">
        <v>108000</v>
      </c>
      <c r="F63" s="13">
        <v>0.9</v>
      </c>
      <c r="G63" s="13" t="s">
        <v>1279</v>
      </c>
    </row>
    <row r="64" spans="1:7" x14ac:dyDescent="0.3">
      <c r="A64" s="13" t="s">
        <v>1041</v>
      </c>
      <c r="B64" s="13" t="s">
        <v>120</v>
      </c>
      <c r="C64" s="13">
        <v>231</v>
      </c>
      <c r="D64" s="14">
        <v>53.810054819999998</v>
      </c>
      <c r="E64" s="13">
        <v>104000</v>
      </c>
      <c r="F64" s="13">
        <v>0.9</v>
      </c>
      <c r="G64" s="13" t="s">
        <v>1279</v>
      </c>
    </row>
    <row r="65" spans="1:7" x14ac:dyDescent="0.3">
      <c r="A65" s="13" t="s">
        <v>1042</v>
      </c>
      <c r="B65" s="13" t="s">
        <v>121</v>
      </c>
      <c r="C65" s="13">
        <v>857</v>
      </c>
      <c r="D65" s="14">
        <v>116.08184079999999</v>
      </c>
      <c r="E65" s="13">
        <v>232000</v>
      </c>
      <c r="F65" s="13">
        <v>0.9</v>
      </c>
      <c r="G65" s="13" t="s">
        <v>1279</v>
      </c>
    </row>
    <row r="66" spans="1:7" x14ac:dyDescent="0.3">
      <c r="A66" s="13" t="s">
        <v>1043</v>
      </c>
      <c r="B66" s="13" t="s">
        <v>122</v>
      </c>
      <c r="C66" s="13">
        <v>321</v>
      </c>
      <c r="D66" s="14">
        <v>77.727246960000002</v>
      </c>
      <c r="E66" s="13">
        <v>142000</v>
      </c>
      <c r="F66" s="13">
        <v>0.9</v>
      </c>
      <c r="G66" s="13" t="s">
        <v>1279</v>
      </c>
    </row>
    <row r="67" spans="1:7" x14ac:dyDescent="0.3">
      <c r="A67" s="13" t="s">
        <v>1044</v>
      </c>
      <c r="B67" s="13" t="s">
        <v>123</v>
      </c>
      <c r="C67" s="13">
        <v>712</v>
      </c>
      <c r="D67" s="14">
        <v>134.8497912</v>
      </c>
      <c r="E67" s="13">
        <v>256000</v>
      </c>
      <c r="F67" s="13">
        <v>0.9</v>
      </c>
      <c r="G67" s="13" t="s">
        <v>1279</v>
      </c>
    </row>
    <row r="68" spans="1:7" x14ac:dyDescent="0.3">
      <c r="A68" s="13" t="s">
        <v>1045</v>
      </c>
      <c r="B68" s="13" t="s">
        <v>124</v>
      </c>
      <c r="C68" s="13">
        <v>502</v>
      </c>
      <c r="D68" s="14">
        <v>59.692344810000002</v>
      </c>
      <c r="E68" s="13">
        <v>122000</v>
      </c>
      <c r="F68" s="13">
        <v>0.9</v>
      </c>
      <c r="G68" s="13" t="s">
        <v>1279</v>
      </c>
    </row>
    <row r="69" spans="1:7" x14ac:dyDescent="0.3">
      <c r="A69" s="13" t="s">
        <v>1046</v>
      </c>
      <c r="B69" s="13" t="s">
        <v>125</v>
      </c>
      <c r="C69" s="13">
        <v>850</v>
      </c>
      <c r="D69" s="14">
        <v>98.549105670000003</v>
      </c>
      <c r="E69" s="13">
        <v>259000</v>
      </c>
      <c r="F69" s="13">
        <v>0.9</v>
      </c>
      <c r="G69" s="13" t="s">
        <v>1279</v>
      </c>
    </row>
    <row r="70" spans="1:7" x14ac:dyDescent="0.3">
      <c r="A70" s="13" t="s">
        <v>1047</v>
      </c>
      <c r="B70" s="13" t="s">
        <v>126</v>
      </c>
      <c r="C70" s="13">
        <v>763</v>
      </c>
      <c r="D70" s="14">
        <v>77.701981680000003</v>
      </c>
      <c r="E70" s="13">
        <v>166000</v>
      </c>
      <c r="F70" s="13">
        <v>0.9</v>
      </c>
      <c r="G70" s="13" t="s">
        <v>1279</v>
      </c>
    </row>
    <row r="71" spans="1:7" x14ac:dyDescent="0.3">
      <c r="A71" s="13" t="s">
        <v>1048</v>
      </c>
      <c r="B71" s="13" t="s">
        <v>127</v>
      </c>
      <c r="C71" s="13">
        <v>126</v>
      </c>
      <c r="D71" s="14">
        <v>29.949225340000002</v>
      </c>
      <c r="E71" s="13">
        <v>56900</v>
      </c>
      <c r="F71" s="13">
        <v>0.9</v>
      </c>
      <c r="G71" s="13" t="s">
        <v>1279</v>
      </c>
    </row>
    <row r="72" spans="1:7" x14ac:dyDescent="0.3">
      <c r="A72" s="13" t="s">
        <v>1049</v>
      </c>
      <c r="B72" s="13" t="s">
        <v>128</v>
      </c>
      <c r="C72" s="13">
        <v>1790</v>
      </c>
      <c r="D72" s="14">
        <v>126.4844018</v>
      </c>
      <c r="E72" s="13">
        <v>388000</v>
      </c>
      <c r="F72" s="13">
        <v>0.9</v>
      </c>
      <c r="G72" s="13" t="s">
        <v>1279</v>
      </c>
    </row>
    <row r="73" spans="1:7" x14ac:dyDescent="0.3">
      <c r="A73" s="13" t="s">
        <v>1050</v>
      </c>
      <c r="B73" s="13" t="s">
        <v>129</v>
      </c>
      <c r="C73" s="13">
        <v>195</v>
      </c>
      <c r="D73" s="14">
        <v>64.376090399999995</v>
      </c>
      <c r="E73" s="13">
        <v>128000</v>
      </c>
      <c r="F73" s="13">
        <v>0.9</v>
      </c>
      <c r="G73" s="13" t="s">
        <v>1279</v>
      </c>
    </row>
    <row r="74" spans="1:7" x14ac:dyDescent="0.3">
      <c r="A74" s="13" t="s">
        <v>1051</v>
      </c>
      <c r="B74" s="13" t="s">
        <v>130</v>
      </c>
      <c r="C74" s="13">
        <v>325</v>
      </c>
      <c r="D74" s="14">
        <v>107.4255031</v>
      </c>
      <c r="E74" s="13">
        <v>202000</v>
      </c>
      <c r="F74" s="13">
        <v>0.9</v>
      </c>
      <c r="G74" s="13" t="s">
        <v>1279</v>
      </c>
    </row>
    <row r="75" spans="1:7" x14ac:dyDescent="0.3">
      <c r="A75" s="13" t="s">
        <v>1052</v>
      </c>
      <c r="B75" s="13" t="s">
        <v>131</v>
      </c>
      <c r="C75" s="13">
        <v>238</v>
      </c>
      <c r="D75" s="14">
        <v>30.97597193</v>
      </c>
      <c r="E75" s="13">
        <v>61300</v>
      </c>
      <c r="F75" s="13">
        <v>0.9</v>
      </c>
      <c r="G75" s="13" t="s">
        <v>1279</v>
      </c>
    </row>
    <row r="76" spans="1:7" x14ac:dyDescent="0.3">
      <c r="A76" s="13" t="s">
        <v>1053</v>
      </c>
      <c r="B76" s="13" t="s">
        <v>132</v>
      </c>
      <c r="C76" s="13">
        <v>175</v>
      </c>
      <c r="D76" s="14">
        <v>42.175716960000003</v>
      </c>
      <c r="E76" s="13">
        <v>86800</v>
      </c>
      <c r="F76" s="13">
        <v>0.9</v>
      </c>
      <c r="G76" s="13" t="s">
        <v>1279</v>
      </c>
    </row>
    <row r="77" spans="1:7" x14ac:dyDescent="0.3">
      <c r="A77" s="13" t="s">
        <v>1054</v>
      </c>
      <c r="B77" s="13" t="s">
        <v>133</v>
      </c>
      <c r="C77" s="13">
        <v>1455</v>
      </c>
      <c r="D77" s="14">
        <v>113.7497846</v>
      </c>
      <c r="E77" s="13">
        <v>251000</v>
      </c>
      <c r="F77" s="13">
        <v>0.9</v>
      </c>
      <c r="G77" s="13" t="s">
        <v>1279</v>
      </c>
    </row>
    <row r="78" spans="1:7" x14ac:dyDescent="0.3">
      <c r="A78" s="13" t="s">
        <v>1055</v>
      </c>
      <c r="B78" s="13" t="s">
        <v>134</v>
      </c>
      <c r="C78" s="13">
        <v>958</v>
      </c>
      <c r="D78" s="14">
        <v>151.79284809999999</v>
      </c>
      <c r="E78" s="13">
        <v>356000</v>
      </c>
      <c r="F78" s="13">
        <v>0.9</v>
      </c>
      <c r="G78" s="13" t="s">
        <v>1279</v>
      </c>
    </row>
    <row r="79" spans="1:7" x14ac:dyDescent="0.3">
      <c r="A79" s="13" t="s">
        <v>1056</v>
      </c>
      <c r="B79" s="13" t="s">
        <v>135</v>
      </c>
      <c r="C79" s="13">
        <v>1072</v>
      </c>
      <c r="D79" s="14">
        <v>140.46690570000001</v>
      </c>
      <c r="E79" s="13">
        <v>349000</v>
      </c>
      <c r="F79" s="13">
        <v>0.9</v>
      </c>
      <c r="G79" s="13" t="s">
        <v>1279</v>
      </c>
    </row>
    <row r="80" spans="1:7" x14ac:dyDescent="0.3">
      <c r="A80" s="13" t="s">
        <v>1057</v>
      </c>
      <c r="B80" s="13" t="s">
        <v>136</v>
      </c>
      <c r="C80" s="13">
        <v>254</v>
      </c>
      <c r="D80" s="14">
        <v>39.507081409999998</v>
      </c>
      <c r="E80" s="13">
        <v>78700</v>
      </c>
      <c r="F80" s="13">
        <v>0.9</v>
      </c>
      <c r="G80" s="13" t="s">
        <v>1279</v>
      </c>
    </row>
    <row r="81" spans="1:7" x14ac:dyDescent="0.3">
      <c r="A81" s="13" t="s">
        <v>1058</v>
      </c>
      <c r="B81" s="13" t="s">
        <v>137</v>
      </c>
      <c r="C81" s="13">
        <v>898</v>
      </c>
      <c r="D81" s="14">
        <v>138.8953152</v>
      </c>
      <c r="E81" s="13">
        <v>328000</v>
      </c>
      <c r="F81" s="13">
        <v>0.9</v>
      </c>
      <c r="G81" s="13" t="s">
        <v>1279</v>
      </c>
    </row>
    <row r="82" spans="1:7" x14ac:dyDescent="0.3">
      <c r="A82" s="13" t="s">
        <v>1059</v>
      </c>
      <c r="B82" s="13" t="s">
        <v>138</v>
      </c>
      <c r="C82" s="13">
        <v>598</v>
      </c>
      <c r="D82" s="14">
        <v>116.32462630000001</v>
      </c>
      <c r="E82" s="13">
        <v>259000</v>
      </c>
      <c r="F82" s="13">
        <v>0.9</v>
      </c>
      <c r="G82" s="13" t="s">
        <v>1279</v>
      </c>
    </row>
    <row r="83" spans="1:7" x14ac:dyDescent="0.3">
      <c r="A83" s="13" t="s">
        <v>1060</v>
      </c>
      <c r="B83" s="13" t="s">
        <v>139</v>
      </c>
      <c r="C83" s="13">
        <v>427</v>
      </c>
      <c r="D83" s="14">
        <v>53.452488410000001</v>
      </c>
      <c r="E83" s="13">
        <v>106000</v>
      </c>
      <c r="F83" s="13">
        <v>0.9</v>
      </c>
      <c r="G83" s="13" t="s">
        <v>1279</v>
      </c>
    </row>
    <row r="84" spans="1:7" x14ac:dyDescent="0.3">
      <c r="A84" s="13" t="s">
        <v>1061</v>
      </c>
      <c r="B84" s="13" t="s">
        <v>140</v>
      </c>
      <c r="C84" s="13">
        <v>382</v>
      </c>
      <c r="D84" s="14">
        <v>70.084793129999994</v>
      </c>
      <c r="E84" s="13">
        <v>155000</v>
      </c>
      <c r="F84" s="13">
        <v>0.9</v>
      </c>
      <c r="G84" s="13" t="s">
        <v>1279</v>
      </c>
    </row>
    <row r="85" spans="1:7" x14ac:dyDescent="0.3">
      <c r="A85" s="13" t="s">
        <v>1062</v>
      </c>
      <c r="B85" s="13" t="s">
        <v>141</v>
      </c>
      <c r="C85" s="13">
        <v>566</v>
      </c>
      <c r="D85" s="14">
        <v>146.95593299999999</v>
      </c>
      <c r="E85" s="13">
        <v>274000</v>
      </c>
      <c r="F85" s="13">
        <v>0.9</v>
      </c>
      <c r="G85" s="13" t="s">
        <v>1279</v>
      </c>
    </row>
    <row r="86" spans="1:7" x14ac:dyDescent="0.3">
      <c r="A86" s="13" t="s">
        <v>1063</v>
      </c>
      <c r="B86" s="13" t="s">
        <v>142</v>
      </c>
      <c r="C86" s="13">
        <v>651</v>
      </c>
      <c r="D86" s="14">
        <v>74.644695979999995</v>
      </c>
      <c r="E86" s="13">
        <v>190000</v>
      </c>
      <c r="F86" s="13">
        <v>0.9</v>
      </c>
      <c r="G86" s="13" t="s">
        <v>1279</v>
      </c>
    </row>
    <row r="87" spans="1:7" x14ac:dyDescent="0.3">
      <c r="A87" s="13" t="s">
        <v>1064</v>
      </c>
      <c r="B87" s="13" t="s">
        <v>143</v>
      </c>
      <c r="C87" s="13">
        <v>201</v>
      </c>
      <c r="D87" s="14">
        <v>43.810655599999997</v>
      </c>
      <c r="E87" s="13">
        <v>83700</v>
      </c>
      <c r="F87" s="13">
        <v>0.9</v>
      </c>
      <c r="G87" s="13" t="s">
        <v>1279</v>
      </c>
    </row>
    <row r="88" spans="1:7" x14ac:dyDescent="0.3">
      <c r="A88" s="13" t="s">
        <v>1065</v>
      </c>
      <c r="B88" s="13" t="s">
        <v>144</v>
      </c>
      <c r="C88" s="13">
        <v>262</v>
      </c>
      <c r="D88" s="14">
        <v>37.505821109999999</v>
      </c>
      <c r="E88" s="13">
        <v>71500</v>
      </c>
      <c r="F88" s="13">
        <v>0.9</v>
      </c>
      <c r="G88" s="13" t="s">
        <v>1279</v>
      </c>
    </row>
    <row r="89" spans="1:7" x14ac:dyDescent="0.3">
      <c r="A89" s="13" t="s">
        <v>1066</v>
      </c>
      <c r="B89" s="13" t="s">
        <v>145</v>
      </c>
      <c r="C89" s="13">
        <v>2698</v>
      </c>
      <c r="D89" s="14">
        <v>342.84445340000002</v>
      </c>
      <c r="E89" s="13">
        <v>865000</v>
      </c>
      <c r="F89" s="13">
        <v>0.9</v>
      </c>
      <c r="G89" s="13" t="s">
        <v>1279</v>
      </c>
    </row>
    <row r="90" spans="1:7" x14ac:dyDescent="0.3">
      <c r="A90" s="13" t="s">
        <v>1067</v>
      </c>
      <c r="B90" s="13" t="s">
        <v>146</v>
      </c>
      <c r="C90" s="13">
        <v>502</v>
      </c>
      <c r="D90" s="14">
        <v>110.44941249999999</v>
      </c>
      <c r="E90" s="13">
        <v>238000</v>
      </c>
      <c r="F90" s="13">
        <v>0.9</v>
      </c>
      <c r="G90" s="13" t="s">
        <v>1279</v>
      </c>
    </row>
    <row r="91" spans="1:7" x14ac:dyDescent="0.3">
      <c r="A91" s="13" t="s">
        <v>1068</v>
      </c>
      <c r="B91" s="13" t="s">
        <v>147</v>
      </c>
      <c r="C91" s="13">
        <v>1594</v>
      </c>
      <c r="D91" s="14">
        <v>181.70149029999999</v>
      </c>
      <c r="E91" s="13">
        <v>375000</v>
      </c>
      <c r="F91" s="13">
        <v>0.9</v>
      </c>
      <c r="G91" s="13" t="s">
        <v>1279</v>
      </c>
    </row>
    <row r="92" spans="1:7" x14ac:dyDescent="0.3">
      <c r="A92" s="13" t="s">
        <v>1069</v>
      </c>
      <c r="B92" s="13" t="s">
        <v>148</v>
      </c>
      <c r="C92" s="13">
        <v>216</v>
      </c>
      <c r="D92" s="14">
        <v>41.332181490000004</v>
      </c>
      <c r="E92" s="13">
        <v>262000</v>
      </c>
      <c r="F92" s="13">
        <v>0.9</v>
      </c>
      <c r="G92" s="13" t="s">
        <v>1279</v>
      </c>
    </row>
    <row r="93" spans="1:7" x14ac:dyDescent="0.3">
      <c r="A93" s="13" t="s">
        <v>1070</v>
      </c>
      <c r="B93" s="13" t="s">
        <v>149</v>
      </c>
      <c r="C93" s="13">
        <v>129</v>
      </c>
      <c r="D93" s="14">
        <v>28.852840830000002</v>
      </c>
      <c r="E93" s="13">
        <v>54800</v>
      </c>
      <c r="F93" s="13">
        <v>0.9</v>
      </c>
      <c r="G93" s="13" t="s">
        <v>1279</v>
      </c>
    </row>
    <row r="94" spans="1:7" x14ac:dyDescent="0.3">
      <c r="A94" s="13" t="s">
        <v>1071</v>
      </c>
      <c r="B94" s="13" t="s">
        <v>150</v>
      </c>
      <c r="C94" s="13">
        <v>368</v>
      </c>
      <c r="D94" s="14">
        <v>77.901318270000004</v>
      </c>
      <c r="E94" s="13">
        <v>155000</v>
      </c>
      <c r="F94" s="13">
        <v>0.9</v>
      </c>
      <c r="G94" s="13" t="s">
        <v>1279</v>
      </c>
    </row>
    <row r="95" spans="1:7" x14ac:dyDescent="0.3">
      <c r="A95" s="13" t="s">
        <v>1072</v>
      </c>
      <c r="B95" s="13" t="s">
        <v>151</v>
      </c>
      <c r="C95" s="13">
        <v>142</v>
      </c>
      <c r="D95" s="14">
        <v>30.712806400000002</v>
      </c>
      <c r="E95" s="13">
        <v>66000</v>
      </c>
      <c r="F95" s="13">
        <v>0.9</v>
      </c>
      <c r="G95" s="13" t="s">
        <v>1279</v>
      </c>
    </row>
    <row r="96" spans="1:7" x14ac:dyDescent="0.3">
      <c r="A96" s="13" t="s">
        <v>1073</v>
      </c>
      <c r="B96" s="13" t="s">
        <v>152</v>
      </c>
      <c r="C96" s="13">
        <v>1292</v>
      </c>
      <c r="D96" s="14">
        <v>146.89037450000001</v>
      </c>
      <c r="E96" s="13">
        <v>304000</v>
      </c>
      <c r="F96" s="13">
        <v>0.9</v>
      </c>
      <c r="G96" s="13" t="s">
        <v>1279</v>
      </c>
    </row>
    <row r="97" spans="1:7" x14ac:dyDescent="0.3">
      <c r="A97" s="13" t="s">
        <v>1074</v>
      </c>
      <c r="B97" s="13" t="s">
        <v>153</v>
      </c>
      <c r="C97" s="13">
        <v>1719</v>
      </c>
      <c r="D97" s="14">
        <v>179.2554672</v>
      </c>
      <c r="E97" s="13">
        <v>367000</v>
      </c>
      <c r="F97" s="13">
        <v>0.9</v>
      </c>
      <c r="G97" s="13" t="s">
        <v>1279</v>
      </c>
    </row>
    <row r="98" spans="1:7" x14ac:dyDescent="0.3">
      <c r="A98" s="13" t="s">
        <v>1075</v>
      </c>
      <c r="B98" s="13" t="s">
        <v>154</v>
      </c>
      <c r="C98" s="13">
        <v>1704</v>
      </c>
      <c r="D98" s="14">
        <v>141.3498616</v>
      </c>
      <c r="E98" s="13">
        <v>416000</v>
      </c>
      <c r="F98" s="13">
        <v>0.9</v>
      </c>
      <c r="G98" s="13" t="s">
        <v>1279</v>
      </c>
    </row>
    <row r="99" spans="1:7" x14ac:dyDescent="0.3">
      <c r="A99" s="13" t="s">
        <v>1076</v>
      </c>
      <c r="B99" s="13" t="s">
        <v>155</v>
      </c>
      <c r="C99" s="13">
        <v>3061</v>
      </c>
      <c r="D99" s="14">
        <v>393.11146050000002</v>
      </c>
      <c r="E99" s="13">
        <v>980000</v>
      </c>
      <c r="F99" s="13">
        <v>0.9</v>
      </c>
      <c r="G99" s="13" t="s">
        <v>1279</v>
      </c>
    </row>
    <row r="100" spans="1:7" x14ac:dyDescent="0.3">
      <c r="A100" s="13" t="s">
        <v>1077</v>
      </c>
      <c r="B100" s="13" t="s">
        <v>156</v>
      </c>
      <c r="C100" s="13">
        <v>3519</v>
      </c>
      <c r="D100" s="14">
        <v>185.4812221</v>
      </c>
      <c r="E100" s="13">
        <v>679000</v>
      </c>
      <c r="F100" s="13">
        <v>0.9</v>
      </c>
      <c r="G100" s="13" t="s">
        <v>1279</v>
      </c>
    </row>
    <row r="101" spans="1:7" x14ac:dyDescent="0.3">
      <c r="A101" s="13" t="s">
        <v>1078</v>
      </c>
      <c r="B101" s="13" t="s">
        <v>157</v>
      </c>
      <c r="C101" s="13">
        <v>648</v>
      </c>
      <c r="D101" s="14">
        <v>124.5515214</v>
      </c>
      <c r="E101" s="13">
        <v>279000</v>
      </c>
      <c r="F101" s="13">
        <v>0.9</v>
      </c>
      <c r="G101" s="13" t="s">
        <v>1279</v>
      </c>
    </row>
    <row r="102" spans="1:7" x14ac:dyDescent="0.3">
      <c r="A102" s="13" t="s">
        <v>1079</v>
      </c>
      <c r="B102" s="13" t="s">
        <v>158</v>
      </c>
      <c r="C102" s="13">
        <v>698</v>
      </c>
      <c r="D102" s="14">
        <v>49.652218789999999</v>
      </c>
      <c r="E102" s="13">
        <v>690000</v>
      </c>
      <c r="F102" s="13">
        <v>0.9</v>
      </c>
      <c r="G102" s="13" t="s">
        <v>1279</v>
      </c>
    </row>
    <row r="103" spans="1:7" x14ac:dyDescent="0.3">
      <c r="A103" s="13" t="s">
        <v>1080</v>
      </c>
      <c r="B103" s="13" t="s">
        <v>159</v>
      </c>
      <c r="C103" s="13">
        <v>343</v>
      </c>
      <c r="D103" s="14">
        <v>54.966672449999997</v>
      </c>
      <c r="E103" s="13">
        <v>105000</v>
      </c>
      <c r="F103" s="13">
        <v>0.9</v>
      </c>
      <c r="G103" s="13" t="s">
        <v>1279</v>
      </c>
    </row>
    <row r="104" spans="1:7" x14ac:dyDescent="0.3">
      <c r="A104" s="13" t="s">
        <v>1081</v>
      </c>
      <c r="B104" s="13" t="s">
        <v>160</v>
      </c>
      <c r="C104" s="13">
        <v>516</v>
      </c>
      <c r="D104" s="14">
        <v>63.044150070000001</v>
      </c>
      <c r="E104" s="13">
        <v>130000</v>
      </c>
      <c r="F104" s="13">
        <v>0.9</v>
      </c>
      <c r="G104" s="13" t="s">
        <v>1279</v>
      </c>
    </row>
    <row r="105" spans="1:7" x14ac:dyDescent="0.3">
      <c r="A105" s="13" t="s">
        <v>1082</v>
      </c>
      <c r="B105" s="13" t="s">
        <v>161</v>
      </c>
      <c r="C105" s="13">
        <v>662</v>
      </c>
      <c r="D105" s="14">
        <v>122.848578</v>
      </c>
      <c r="E105" s="13">
        <v>273000</v>
      </c>
      <c r="F105" s="13">
        <v>0.9</v>
      </c>
      <c r="G105" s="13" t="s">
        <v>1279</v>
      </c>
    </row>
    <row r="106" spans="1:7" x14ac:dyDescent="0.3">
      <c r="A106" s="13" t="s">
        <v>1083</v>
      </c>
      <c r="B106" s="13" t="s">
        <v>162</v>
      </c>
      <c r="C106" s="13">
        <v>704</v>
      </c>
      <c r="D106" s="14">
        <v>79.463664829999999</v>
      </c>
      <c r="E106" s="13">
        <v>158000</v>
      </c>
      <c r="F106" s="13">
        <v>0.9</v>
      </c>
      <c r="G106" s="13" t="s">
        <v>1279</v>
      </c>
    </row>
    <row r="107" spans="1:7" x14ac:dyDescent="0.3">
      <c r="A107" s="13" t="s">
        <v>1084</v>
      </c>
      <c r="B107" s="13" t="s">
        <v>163</v>
      </c>
      <c r="C107" s="13">
        <v>1101</v>
      </c>
      <c r="D107" s="14">
        <v>91.287608669999997</v>
      </c>
      <c r="E107" s="13">
        <v>270000</v>
      </c>
      <c r="F107" s="13">
        <v>0.9</v>
      </c>
      <c r="G107" s="13" t="s">
        <v>1279</v>
      </c>
    </row>
    <row r="108" spans="1:7" x14ac:dyDescent="0.3">
      <c r="A108" s="13" t="s">
        <v>1085</v>
      </c>
      <c r="B108" s="13" t="s">
        <v>164</v>
      </c>
      <c r="C108" s="13">
        <v>376</v>
      </c>
      <c r="D108" s="14">
        <v>123.09676210000001</v>
      </c>
      <c r="E108" s="13">
        <v>230000</v>
      </c>
      <c r="F108" s="13">
        <v>0.9</v>
      </c>
      <c r="G108" s="13" t="s">
        <v>1279</v>
      </c>
    </row>
    <row r="109" spans="1:7" x14ac:dyDescent="0.3">
      <c r="A109" s="13" t="s">
        <v>1086</v>
      </c>
      <c r="B109" s="13" t="s">
        <v>165</v>
      </c>
      <c r="C109" s="13">
        <v>1039</v>
      </c>
      <c r="D109" s="14">
        <v>111.9886953</v>
      </c>
      <c r="E109" s="13">
        <v>232000</v>
      </c>
      <c r="F109" s="13">
        <v>0.9</v>
      </c>
      <c r="G109" s="13" t="s">
        <v>1279</v>
      </c>
    </row>
    <row r="110" spans="1:7" x14ac:dyDescent="0.3">
      <c r="A110" s="13" t="s">
        <v>1087</v>
      </c>
      <c r="B110" s="13" t="s">
        <v>166</v>
      </c>
      <c r="C110" s="13">
        <v>195</v>
      </c>
      <c r="D110" s="14">
        <v>53.028759669999999</v>
      </c>
      <c r="E110" s="13">
        <v>265000</v>
      </c>
      <c r="F110" s="13">
        <v>0.9</v>
      </c>
      <c r="G110" s="13" t="s">
        <v>1279</v>
      </c>
    </row>
    <row r="111" spans="1:7" x14ac:dyDescent="0.3">
      <c r="A111" s="13" t="s">
        <v>1088</v>
      </c>
      <c r="B111" s="13" t="s">
        <v>167</v>
      </c>
      <c r="C111" s="13">
        <v>4137</v>
      </c>
      <c r="D111" s="14">
        <v>541.25222980000001</v>
      </c>
      <c r="E111" s="13">
        <v>1360000</v>
      </c>
      <c r="F111" s="13">
        <v>0.9</v>
      </c>
      <c r="G111" s="13" t="s">
        <v>1279</v>
      </c>
    </row>
    <row r="112" spans="1:7" x14ac:dyDescent="0.3">
      <c r="A112" s="13" t="s">
        <v>1089</v>
      </c>
      <c r="B112" s="13" t="s">
        <v>168</v>
      </c>
      <c r="C112" s="13">
        <v>4487</v>
      </c>
      <c r="D112" s="14">
        <v>565.07076040000004</v>
      </c>
      <c r="E112" s="13">
        <v>1450000</v>
      </c>
      <c r="F112" s="13">
        <v>0.9</v>
      </c>
      <c r="G112" s="13" t="s">
        <v>1279</v>
      </c>
    </row>
    <row r="113" spans="1:7" x14ac:dyDescent="0.3">
      <c r="A113" s="13" t="s">
        <v>1090</v>
      </c>
      <c r="B113" s="13" t="s">
        <v>169</v>
      </c>
      <c r="C113" s="13">
        <v>912</v>
      </c>
      <c r="D113" s="14">
        <v>194.7866573</v>
      </c>
      <c r="E113" s="13">
        <v>421000</v>
      </c>
      <c r="F113" s="13">
        <v>0.9</v>
      </c>
      <c r="G113" s="13" t="s">
        <v>1279</v>
      </c>
    </row>
    <row r="114" spans="1:7" x14ac:dyDescent="0.3">
      <c r="A114" s="13" t="s">
        <v>1091</v>
      </c>
      <c r="B114" s="13" t="s">
        <v>170</v>
      </c>
      <c r="C114" s="13">
        <v>2052</v>
      </c>
      <c r="D114" s="14">
        <v>336.33387759999999</v>
      </c>
      <c r="E114" s="13">
        <v>2380000</v>
      </c>
      <c r="F114" s="13">
        <v>0.9</v>
      </c>
      <c r="G114" s="13" t="s">
        <v>1279</v>
      </c>
    </row>
    <row r="115" spans="1:7" x14ac:dyDescent="0.3">
      <c r="A115" s="13" t="s">
        <v>1092</v>
      </c>
      <c r="B115" s="13" t="s">
        <v>171</v>
      </c>
      <c r="C115" s="13">
        <v>375</v>
      </c>
      <c r="D115" s="14">
        <v>134.04282409999999</v>
      </c>
      <c r="E115" s="13">
        <v>250000</v>
      </c>
      <c r="F115" s="13">
        <v>0.9</v>
      </c>
      <c r="G115" s="13" t="s">
        <v>1279</v>
      </c>
    </row>
    <row r="116" spans="1:7" x14ac:dyDescent="0.3">
      <c r="A116" s="13" t="s">
        <v>1093</v>
      </c>
      <c r="B116" s="13" t="s">
        <v>172</v>
      </c>
      <c r="C116" s="13">
        <v>147</v>
      </c>
      <c r="D116" s="14">
        <v>37.807226399999998</v>
      </c>
      <c r="E116" s="13">
        <v>73100</v>
      </c>
      <c r="F116" s="13">
        <v>0.9</v>
      </c>
      <c r="G116" s="13" t="s">
        <v>1279</v>
      </c>
    </row>
    <row r="117" spans="1:7" x14ac:dyDescent="0.3">
      <c r="A117" s="13" t="s">
        <v>1094</v>
      </c>
      <c r="B117" s="13" t="s">
        <v>173</v>
      </c>
      <c r="C117" s="13">
        <v>2428</v>
      </c>
      <c r="D117" s="14">
        <v>396.15616660000001</v>
      </c>
      <c r="E117" s="13">
        <v>776000</v>
      </c>
      <c r="F117" s="13">
        <v>0.9</v>
      </c>
      <c r="G117" s="13" t="s">
        <v>1279</v>
      </c>
    </row>
    <row r="118" spans="1:7" x14ac:dyDescent="0.3">
      <c r="A118" s="13" t="s">
        <v>1095</v>
      </c>
      <c r="B118" s="13" t="s">
        <v>174</v>
      </c>
      <c r="C118" s="13">
        <v>1045</v>
      </c>
      <c r="D118" s="14">
        <v>107.0513247</v>
      </c>
      <c r="E118" s="13">
        <v>219000</v>
      </c>
      <c r="F118" s="13">
        <v>0.9</v>
      </c>
      <c r="G118" s="13" t="s">
        <v>1279</v>
      </c>
    </row>
    <row r="119" spans="1:7" x14ac:dyDescent="0.3">
      <c r="A119" s="13" t="s">
        <v>1096</v>
      </c>
      <c r="B119" s="13" t="s">
        <v>175</v>
      </c>
      <c r="C119" s="13">
        <v>1119</v>
      </c>
      <c r="D119" s="14">
        <v>229.19404349999999</v>
      </c>
      <c r="E119" s="13">
        <v>441000</v>
      </c>
      <c r="F119" s="13">
        <v>0.9</v>
      </c>
      <c r="G119" s="13" t="s">
        <v>1279</v>
      </c>
    </row>
    <row r="120" spans="1:7" x14ac:dyDescent="0.3">
      <c r="A120" s="13" t="s">
        <v>1097</v>
      </c>
      <c r="B120" s="13" t="s">
        <v>176</v>
      </c>
      <c r="C120" s="13">
        <v>514</v>
      </c>
      <c r="D120" s="14">
        <v>150.7518986</v>
      </c>
      <c r="E120" s="13">
        <v>284000</v>
      </c>
      <c r="F120" s="13">
        <v>0.9</v>
      </c>
      <c r="G120" s="13" t="s">
        <v>1279</v>
      </c>
    </row>
    <row r="121" spans="1:7" x14ac:dyDescent="0.3">
      <c r="A121" s="13" t="s">
        <v>1098</v>
      </c>
      <c r="B121" s="13" t="s">
        <v>177</v>
      </c>
      <c r="C121" s="13">
        <v>286</v>
      </c>
      <c r="D121" s="14">
        <v>50.249398470000003</v>
      </c>
      <c r="E121" s="13">
        <v>114000</v>
      </c>
      <c r="F121" s="13">
        <v>0.9</v>
      </c>
      <c r="G121" s="13" t="s">
        <v>1279</v>
      </c>
    </row>
    <row r="122" spans="1:7" x14ac:dyDescent="0.3">
      <c r="A122" s="13" t="s">
        <v>1099</v>
      </c>
      <c r="B122" s="13" t="s">
        <v>178</v>
      </c>
      <c r="C122" s="13">
        <v>2806</v>
      </c>
      <c r="D122" s="14">
        <v>387.40299349999998</v>
      </c>
      <c r="E122" s="13">
        <v>777000</v>
      </c>
      <c r="F122" s="13">
        <v>0.9</v>
      </c>
      <c r="G122" s="13" t="s">
        <v>1279</v>
      </c>
    </row>
    <row r="123" spans="1:7" x14ac:dyDescent="0.3">
      <c r="A123" s="13" t="s">
        <v>1100</v>
      </c>
      <c r="B123" s="13" t="s">
        <v>179</v>
      </c>
      <c r="C123" s="13">
        <v>1470</v>
      </c>
      <c r="D123" s="14">
        <v>295.14712470000001</v>
      </c>
      <c r="E123" s="13">
        <v>571000</v>
      </c>
      <c r="F123" s="13">
        <v>0.9</v>
      </c>
      <c r="G123" s="13" t="s">
        <v>1279</v>
      </c>
    </row>
    <row r="124" spans="1:7" x14ac:dyDescent="0.3">
      <c r="A124" s="13" t="s">
        <v>1101</v>
      </c>
      <c r="B124" s="13" t="s">
        <v>180</v>
      </c>
      <c r="C124" s="13">
        <v>2039</v>
      </c>
      <c r="D124" s="14">
        <v>173.37455069999999</v>
      </c>
      <c r="E124" s="13">
        <v>505000</v>
      </c>
      <c r="F124" s="13">
        <v>0.9</v>
      </c>
      <c r="G124" s="13" t="s">
        <v>1279</v>
      </c>
    </row>
    <row r="125" spans="1:7" x14ac:dyDescent="0.3">
      <c r="A125" s="13" t="s">
        <v>1102</v>
      </c>
      <c r="B125" s="13" t="s">
        <v>181</v>
      </c>
      <c r="C125" s="13">
        <v>2856</v>
      </c>
      <c r="D125" s="14">
        <v>320.28988120000002</v>
      </c>
      <c r="E125" s="13">
        <v>657000</v>
      </c>
      <c r="F125" s="13">
        <v>0.9</v>
      </c>
      <c r="G125" s="13" t="s">
        <v>1279</v>
      </c>
    </row>
    <row r="126" spans="1:7" x14ac:dyDescent="0.3">
      <c r="A126" s="13" t="s">
        <v>1103</v>
      </c>
      <c r="B126" s="13" t="s">
        <v>182</v>
      </c>
      <c r="C126" s="13">
        <v>4511</v>
      </c>
      <c r="D126" s="14">
        <v>289.7406148</v>
      </c>
      <c r="E126" s="13">
        <v>947000</v>
      </c>
      <c r="F126" s="13">
        <v>0.9</v>
      </c>
      <c r="G126" s="13" t="s">
        <v>1279</v>
      </c>
    </row>
    <row r="127" spans="1:7" x14ac:dyDescent="0.3">
      <c r="A127" s="13" t="s">
        <v>1104</v>
      </c>
      <c r="B127" s="13" t="s">
        <v>183</v>
      </c>
      <c r="C127" s="13">
        <v>1548</v>
      </c>
      <c r="D127" s="14">
        <v>150.00414549999999</v>
      </c>
      <c r="E127" s="13">
        <v>317000</v>
      </c>
      <c r="F127" s="13">
        <v>0.9</v>
      </c>
      <c r="G127" s="13" t="s">
        <v>1279</v>
      </c>
    </row>
    <row r="128" spans="1:7" x14ac:dyDescent="0.3">
      <c r="A128" s="13" t="s">
        <v>1105</v>
      </c>
      <c r="B128" s="13" t="s">
        <v>184</v>
      </c>
      <c r="C128" s="13">
        <v>1163</v>
      </c>
      <c r="D128" s="14">
        <v>183.8119312</v>
      </c>
      <c r="E128" s="13">
        <v>363000</v>
      </c>
      <c r="F128" s="13">
        <v>0.9</v>
      </c>
      <c r="G128" s="13" t="s">
        <v>1279</v>
      </c>
    </row>
    <row r="129" spans="1:7" x14ac:dyDescent="0.3">
      <c r="A129" s="13" t="s">
        <v>1106</v>
      </c>
      <c r="B129" s="13" t="s">
        <v>185</v>
      </c>
      <c r="C129" s="13">
        <v>3049</v>
      </c>
      <c r="D129" s="14">
        <v>270.24337480000003</v>
      </c>
      <c r="E129" s="13">
        <v>582000</v>
      </c>
      <c r="F129" s="13">
        <v>0.9</v>
      </c>
      <c r="G129" s="13" t="s">
        <v>1279</v>
      </c>
    </row>
    <row r="130" spans="1:7" x14ac:dyDescent="0.3">
      <c r="A130" s="13" t="s">
        <v>1107</v>
      </c>
      <c r="B130" s="13" t="s">
        <v>186</v>
      </c>
      <c r="C130" s="13">
        <v>9968</v>
      </c>
      <c r="D130" s="14">
        <v>821.45036270000003</v>
      </c>
      <c r="E130" s="13">
        <v>1850000</v>
      </c>
      <c r="F130" s="13">
        <v>0.9</v>
      </c>
      <c r="G130" s="13" t="s">
        <v>1279</v>
      </c>
    </row>
    <row r="131" spans="1:7" x14ac:dyDescent="0.3">
      <c r="A131" s="13" t="s">
        <v>1108</v>
      </c>
      <c r="B131" s="13" t="s">
        <v>187</v>
      </c>
      <c r="C131" s="13">
        <v>2596</v>
      </c>
      <c r="D131" s="14">
        <v>308.58845009999999</v>
      </c>
      <c r="E131" s="13">
        <v>800000</v>
      </c>
      <c r="F131" s="13">
        <v>0.9</v>
      </c>
      <c r="G131" s="13" t="s">
        <v>1279</v>
      </c>
    </row>
    <row r="132" spans="1:7" x14ac:dyDescent="0.3">
      <c r="A132" s="13" t="s">
        <v>1109</v>
      </c>
      <c r="B132" s="13" t="s">
        <v>188</v>
      </c>
      <c r="C132" s="13">
        <v>2233</v>
      </c>
      <c r="D132" s="14">
        <v>295.19620689999999</v>
      </c>
      <c r="E132" s="13">
        <v>603000</v>
      </c>
      <c r="F132" s="13">
        <v>0.9</v>
      </c>
      <c r="G132" s="13" t="s">
        <v>1279</v>
      </c>
    </row>
    <row r="133" spans="1:7" x14ac:dyDescent="0.3">
      <c r="A133" s="13" t="s">
        <v>1110</v>
      </c>
      <c r="B133" s="13" t="s">
        <v>189</v>
      </c>
      <c r="C133" s="13">
        <v>4696</v>
      </c>
      <c r="D133" s="14">
        <v>514.95840729999998</v>
      </c>
      <c r="E133" s="13">
        <v>1060000</v>
      </c>
      <c r="F133" s="13">
        <v>0.9</v>
      </c>
      <c r="G133" s="13" t="s">
        <v>1279</v>
      </c>
    </row>
    <row r="134" spans="1:7" x14ac:dyDescent="0.3">
      <c r="A134" s="13" t="s">
        <v>1111</v>
      </c>
      <c r="B134" s="13" t="s">
        <v>190</v>
      </c>
      <c r="C134" s="13">
        <v>1516</v>
      </c>
      <c r="D134" s="14">
        <v>247.07797160000001</v>
      </c>
      <c r="E134" s="13">
        <v>484000</v>
      </c>
      <c r="F134" s="13">
        <v>0.9</v>
      </c>
      <c r="G134" s="13" t="s">
        <v>1279</v>
      </c>
    </row>
    <row r="135" spans="1:7" x14ac:dyDescent="0.3">
      <c r="A135" s="13" t="s">
        <v>1112</v>
      </c>
      <c r="B135" s="13" t="s">
        <v>191</v>
      </c>
      <c r="C135" s="13">
        <v>6694</v>
      </c>
      <c r="D135" s="14">
        <v>675.16200649999996</v>
      </c>
      <c r="E135" s="13">
        <v>1870000</v>
      </c>
      <c r="F135" s="13">
        <v>0.9</v>
      </c>
      <c r="G135" s="13" t="s">
        <v>1279</v>
      </c>
    </row>
    <row r="136" spans="1:7" x14ac:dyDescent="0.3">
      <c r="A136" s="13" t="s">
        <v>1113</v>
      </c>
      <c r="B136" s="13" t="s">
        <v>192</v>
      </c>
      <c r="C136" s="13">
        <v>2034</v>
      </c>
      <c r="D136" s="14">
        <v>357.47109349999999</v>
      </c>
      <c r="E136" s="13">
        <v>806000</v>
      </c>
      <c r="F136" s="13">
        <v>0.9</v>
      </c>
      <c r="G136" s="13" t="s">
        <v>1279</v>
      </c>
    </row>
    <row r="137" spans="1:7" x14ac:dyDescent="0.3">
      <c r="A137" s="13" t="s">
        <v>1114</v>
      </c>
      <c r="B137" s="13" t="s">
        <v>193</v>
      </c>
      <c r="C137" s="13">
        <v>381</v>
      </c>
      <c r="D137" s="14">
        <v>50.476670779999999</v>
      </c>
      <c r="E137" s="13">
        <v>98200</v>
      </c>
      <c r="F137" s="13">
        <v>0.9</v>
      </c>
      <c r="G137" s="13" t="s">
        <v>1279</v>
      </c>
    </row>
    <row r="138" spans="1:7" x14ac:dyDescent="0.3">
      <c r="A138" s="13" t="s">
        <v>1115</v>
      </c>
      <c r="B138" s="13" t="s">
        <v>194</v>
      </c>
      <c r="C138" s="13">
        <v>206</v>
      </c>
      <c r="D138" s="14">
        <v>38.530055300000001</v>
      </c>
      <c r="E138" s="13">
        <v>74500</v>
      </c>
      <c r="F138" s="13">
        <v>0.9</v>
      </c>
      <c r="G138" s="13" t="s">
        <v>1279</v>
      </c>
    </row>
    <row r="139" spans="1:7" x14ac:dyDescent="0.3">
      <c r="A139" s="13" t="s">
        <v>1116</v>
      </c>
      <c r="B139" s="13" t="s">
        <v>195</v>
      </c>
      <c r="C139" s="13">
        <v>498</v>
      </c>
      <c r="D139" s="14">
        <v>42.728021400000003</v>
      </c>
      <c r="E139" s="13">
        <v>507000</v>
      </c>
      <c r="F139" s="13">
        <v>0.9</v>
      </c>
      <c r="G139" s="13" t="s">
        <v>1279</v>
      </c>
    </row>
    <row r="140" spans="1:7" x14ac:dyDescent="0.3">
      <c r="A140" s="13" t="s">
        <v>1117</v>
      </c>
      <c r="B140" s="13" t="s">
        <v>196</v>
      </c>
      <c r="C140" s="13">
        <v>324</v>
      </c>
      <c r="D140" s="14">
        <v>59.654463370000002</v>
      </c>
      <c r="E140" s="13">
        <v>132000</v>
      </c>
      <c r="F140" s="13">
        <v>0.9</v>
      </c>
      <c r="G140" s="13" t="s">
        <v>1279</v>
      </c>
    </row>
    <row r="141" spans="1:7" x14ac:dyDescent="0.3">
      <c r="A141" s="13" t="s">
        <v>1118</v>
      </c>
      <c r="B141" s="13" t="s">
        <v>197</v>
      </c>
      <c r="C141" s="13">
        <v>342</v>
      </c>
      <c r="D141" s="14">
        <v>67.401281679999997</v>
      </c>
      <c r="E141" s="13">
        <v>145000</v>
      </c>
      <c r="F141" s="13">
        <v>0.9</v>
      </c>
      <c r="G141" s="13" t="s">
        <v>1279</v>
      </c>
    </row>
    <row r="142" spans="1:7" x14ac:dyDescent="0.3">
      <c r="A142" s="13" t="s">
        <v>1119</v>
      </c>
      <c r="B142" s="13" t="s">
        <v>198</v>
      </c>
      <c r="C142" s="13">
        <v>475</v>
      </c>
      <c r="D142" s="14">
        <v>84.856928359999998</v>
      </c>
      <c r="E142" s="13">
        <v>169000</v>
      </c>
      <c r="F142" s="13">
        <v>0.9</v>
      </c>
      <c r="G142" s="13" t="s">
        <v>1279</v>
      </c>
    </row>
    <row r="143" spans="1:7" x14ac:dyDescent="0.3">
      <c r="A143" s="13" t="s">
        <v>1120</v>
      </c>
      <c r="B143" s="13" t="s">
        <v>199</v>
      </c>
      <c r="C143" s="13">
        <v>112</v>
      </c>
      <c r="D143" s="14">
        <v>47.36008545</v>
      </c>
      <c r="E143" s="13">
        <v>87200</v>
      </c>
      <c r="F143" s="13">
        <v>0.9</v>
      </c>
      <c r="G143" s="13" t="s">
        <v>1279</v>
      </c>
    </row>
    <row r="144" spans="1:7" x14ac:dyDescent="0.3">
      <c r="A144" s="13" t="s">
        <v>1121</v>
      </c>
      <c r="B144" s="13" t="s">
        <v>200</v>
      </c>
      <c r="C144" s="13">
        <v>432</v>
      </c>
      <c r="D144" s="14">
        <v>88.09363166</v>
      </c>
      <c r="E144" s="13">
        <v>165000</v>
      </c>
      <c r="F144" s="13">
        <v>0.9</v>
      </c>
      <c r="G144" s="13" t="s">
        <v>1279</v>
      </c>
    </row>
    <row r="145" spans="1:7" x14ac:dyDescent="0.3">
      <c r="A145" s="13" t="s">
        <v>1122</v>
      </c>
      <c r="B145" s="13" t="s">
        <v>201</v>
      </c>
      <c r="C145" s="13">
        <v>147</v>
      </c>
      <c r="D145" s="14">
        <v>38.761913329999999</v>
      </c>
      <c r="E145" s="13">
        <v>72000</v>
      </c>
      <c r="F145" s="13">
        <v>0.9</v>
      </c>
      <c r="G145" s="13" t="s">
        <v>1279</v>
      </c>
    </row>
    <row r="146" spans="1:7" x14ac:dyDescent="0.3">
      <c r="A146" s="13" t="s">
        <v>1123</v>
      </c>
      <c r="B146" s="13" t="s">
        <v>202</v>
      </c>
      <c r="C146" s="13">
        <v>208</v>
      </c>
      <c r="D146" s="14">
        <v>33.441233339999997</v>
      </c>
      <c r="E146" s="13">
        <v>66100</v>
      </c>
      <c r="F146" s="13">
        <v>0.9</v>
      </c>
      <c r="G146" s="13" t="s">
        <v>1279</v>
      </c>
    </row>
    <row r="147" spans="1:7" x14ac:dyDescent="0.3">
      <c r="A147" s="13" t="s">
        <v>1124</v>
      </c>
      <c r="B147" s="13" t="s">
        <v>203</v>
      </c>
      <c r="C147" s="13">
        <v>552</v>
      </c>
      <c r="D147" s="14">
        <v>85.866157819999998</v>
      </c>
      <c r="E147" s="13">
        <v>199000</v>
      </c>
      <c r="F147" s="13">
        <v>0.9</v>
      </c>
      <c r="G147" s="13" t="s">
        <v>1279</v>
      </c>
    </row>
    <row r="148" spans="1:7" x14ac:dyDescent="0.3">
      <c r="A148" s="13" t="s">
        <v>1125</v>
      </c>
      <c r="B148" s="13" t="s">
        <v>204</v>
      </c>
      <c r="C148" s="13">
        <v>556</v>
      </c>
      <c r="D148" s="14">
        <v>102.88342129999999</v>
      </c>
      <c r="E148" s="13">
        <v>196000</v>
      </c>
      <c r="F148" s="13">
        <v>0.9</v>
      </c>
      <c r="G148" s="13" t="s">
        <v>1279</v>
      </c>
    </row>
    <row r="149" spans="1:7" x14ac:dyDescent="0.3">
      <c r="A149" s="13" t="s">
        <v>1126</v>
      </c>
      <c r="B149" s="13" t="s">
        <v>205</v>
      </c>
      <c r="C149" s="13">
        <v>318</v>
      </c>
      <c r="D149" s="14">
        <v>53.989219460000001</v>
      </c>
      <c r="E149" s="13">
        <v>121000</v>
      </c>
      <c r="F149" s="13">
        <v>0.9</v>
      </c>
      <c r="G149" s="13" t="s">
        <v>1279</v>
      </c>
    </row>
    <row r="150" spans="1:7" x14ac:dyDescent="0.3">
      <c r="A150" s="13" t="s">
        <v>1127</v>
      </c>
      <c r="B150" s="13" t="s">
        <v>206</v>
      </c>
      <c r="C150" s="13">
        <v>91</v>
      </c>
      <c r="D150" s="14">
        <v>29.85516586</v>
      </c>
      <c r="E150" s="13">
        <v>60200</v>
      </c>
      <c r="F150" s="13">
        <v>0.9</v>
      </c>
      <c r="G150" s="13" t="s">
        <v>1279</v>
      </c>
    </row>
    <row r="151" spans="1:7" x14ac:dyDescent="0.3">
      <c r="A151" s="13" t="s">
        <v>1128</v>
      </c>
      <c r="B151" s="13" t="s">
        <v>207</v>
      </c>
      <c r="C151" s="13">
        <v>266</v>
      </c>
      <c r="D151" s="14">
        <v>36.300039239999997</v>
      </c>
      <c r="E151" s="13">
        <v>89500</v>
      </c>
      <c r="F151" s="13">
        <v>0.9</v>
      </c>
      <c r="G151" s="13" t="s">
        <v>1279</v>
      </c>
    </row>
    <row r="152" spans="1:7" x14ac:dyDescent="0.3">
      <c r="A152" s="13" t="s">
        <v>1129</v>
      </c>
      <c r="B152" s="13" t="s">
        <v>208</v>
      </c>
      <c r="C152" s="13">
        <v>584</v>
      </c>
      <c r="D152" s="14">
        <v>59.137413719999998</v>
      </c>
      <c r="E152" s="13">
        <v>122000</v>
      </c>
      <c r="F152" s="13">
        <v>0.9</v>
      </c>
      <c r="G152" s="13" t="s">
        <v>1279</v>
      </c>
    </row>
    <row r="153" spans="1:7" x14ac:dyDescent="0.3">
      <c r="A153" s="13" t="s">
        <v>1130</v>
      </c>
      <c r="B153" s="13" t="s">
        <v>209</v>
      </c>
      <c r="C153" s="13">
        <v>223</v>
      </c>
      <c r="D153" s="14">
        <v>46.259288589999997</v>
      </c>
      <c r="E153" s="13">
        <v>98100</v>
      </c>
      <c r="F153" s="13">
        <v>0.9</v>
      </c>
      <c r="G153" s="13" t="s">
        <v>1279</v>
      </c>
    </row>
    <row r="154" spans="1:7" x14ac:dyDescent="0.3">
      <c r="A154" s="13" t="s">
        <v>1131</v>
      </c>
      <c r="B154" s="13" t="s">
        <v>210</v>
      </c>
      <c r="C154" s="13">
        <v>127</v>
      </c>
      <c r="D154" s="14">
        <v>30.4664976</v>
      </c>
      <c r="E154" s="13">
        <v>64400</v>
      </c>
      <c r="F154" s="13">
        <v>0.9</v>
      </c>
      <c r="G154" s="13" t="s">
        <v>1279</v>
      </c>
    </row>
    <row r="155" spans="1:7" x14ac:dyDescent="0.3">
      <c r="A155" s="13" t="s">
        <v>1132</v>
      </c>
      <c r="B155" s="13" t="s">
        <v>211</v>
      </c>
      <c r="C155" s="13">
        <v>850</v>
      </c>
      <c r="D155" s="14">
        <v>138.4584428</v>
      </c>
      <c r="E155" s="13">
        <v>268000</v>
      </c>
      <c r="F155" s="13">
        <v>0.9</v>
      </c>
      <c r="G155" s="13" t="s">
        <v>1279</v>
      </c>
    </row>
    <row r="156" spans="1:7" x14ac:dyDescent="0.3">
      <c r="A156" s="13" t="s">
        <v>1133</v>
      </c>
      <c r="B156" s="13" t="s">
        <v>212</v>
      </c>
      <c r="C156" s="13">
        <v>412</v>
      </c>
      <c r="D156" s="14">
        <v>40.980590939999999</v>
      </c>
      <c r="E156" s="13">
        <v>86700</v>
      </c>
      <c r="F156" s="13">
        <v>0.9</v>
      </c>
      <c r="G156" s="13" t="s">
        <v>1279</v>
      </c>
    </row>
    <row r="157" spans="1:7" x14ac:dyDescent="0.3">
      <c r="A157" s="13" t="s">
        <v>1134</v>
      </c>
      <c r="B157" s="13" t="s">
        <v>213</v>
      </c>
      <c r="C157" s="13">
        <v>1279</v>
      </c>
      <c r="D157" s="14">
        <v>118.6369347</v>
      </c>
      <c r="E157" s="13">
        <v>248000</v>
      </c>
      <c r="F157" s="13">
        <v>0.9</v>
      </c>
      <c r="G157" s="13" t="s">
        <v>1279</v>
      </c>
    </row>
    <row r="158" spans="1:7" x14ac:dyDescent="0.3">
      <c r="A158" s="13" t="s">
        <v>1135</v>
      </c>
      <c r="B158" s="13" t="s">
        <v>214</v>
      </c>
      <c r="C158" s="13">
        <v>1109</v>
      </c>
      <c r="D158" s="14">
        <v>110.7366573</v>
      </c>
      <c r="E158" s="13">
        <v>230000</v>
      </c>
      <c r="F158" s="13">
        <v>0.9</v>
      </c>
      <c r="G158" s="13" t="s">
        <v>1279</v>
      </c>
    </row>
    <row r="159" spans="1:7" x14ac:dyDescent="0.3">
      <c r="A159" s="13" t="s">
        <v>1136</v>
      </c>
      <c r="B159" s="13" t="s">
        <v>215</v>
      </c>
      <c r="C159" s="13">
        <v>993</v>
      </c>
      <c r="D159" s="14">
        <v>119.2599005</v>
      </c>
      <c r="E159" s="13">
        <v>248000</v>
      </c>
      <c r="F159" s="13">
        <v>0.9</v>
      </c>
      <c r="G159" s="13" t="s">
        <v>1279</v>
      </c>
    </row>
    <row r="160" spans="1:7" x14ac:dyDescent="0.3">
      <c r="A160" s="13" t="s">
        <v>1137</v>
      </c>
      <c r="B160" s="13" t="s">
        <v>216</v>
      </c>
      <c r="C160" s="13">
        <v>336</v>
      </c>
      <c r="D160" s="14">
        <v>61.104074130000001</v>
      </c>
      <c r="E160" s="13">
        <v>118000</v>
      </c>
      <c r="F160" s="13">
        <v>0.9</v>
      </c>
      <c r="G160" s="13" t="s">
        <v>1279</v>
      </c>
    </row>
    <row r="161" spans="1:7" x14ac:dyDescent="0.3">
      <c r="A161" s="13" t="s">
        <v>1138</v>
      </c>
      <c r="B161" s="13" t="s">
        <v>217</v>
      </c>
      <c r="C161" s="13">
        <v>97</v>
      </c>
      <c r="D161" s="14">
        <v>35.233170360000003</v>
      </c>
      <c r="E161" s="13">
        <v>64800</v>
      </c>
      <c r="F161" s="13">
        <v>0.9</v>
      </c>
      <c r="G161" s="13" t="s">
        <v>1279</v>
      </c>
    </row>
    <row r="162" spans="1:7" x14ac:dyDescent="0.3">
      <c r="A162" s="13" t="s">
        <v>1139</v>
      </c>
      <c r="B162" s="13" t="s">
        <v>218</v>
      </c>
      <c r="C162" s="13">
        <v>1413</v>
      </c>
      <c r="D162" s="14">
        <v>154.7505477</v>
      </c>
      <c r="E162" s="13">
        <v>314000</v>
      </c>
      <c r="F162" s="13">
        <v>0.9</v>
      </c>
      <c r="G162" s="13" t="s">
        <v>1279</v>
      </c>
    </row>
    <row r="163" spans="1:7" x14ac:dyDescent="0.3">
      <c r="A163" s="13" t="s">
        <v>1140</v>
      </c>
      <c r="B163" s="13" t="s">
        <v>219</v>
      </c>
      <c r="C163" s="13">
        <v>418</v>
      </c>
      <c r="D163" s="14">
        <v>48.191405369999998</v>
      </c>
      <c r="E163" s="13">
        <v>100000</v>
      </c>
      <c r="F163" s="13">
        <v>0.9</v>
      </c>
      <c r="G163" s="13" t="s">
        <v>1279</v>
      </c>
    </row>
    <row r="164" spans="1:7" x14ac:dyDescent="0.3">
      <c r="A164" s="13" t="s">
        <v>1141</v>
      </c>
      <c r="B164" s="13" t="s">
        <v>220</v>
      </c>
      <c r="C164" s="13">
        <v>412</v>
      </c>
      <c r="D164" s="14">
        <v>45.263501589999997</v>
      </c>
      <c r="E164" s="13">
        <v>438000</v>
      </c>
      <c r="F164" s="13">
        <v>0.9</v>
      </c>
      <c r="G164" s="13" t="s">
        <v>1279</v>
      </c>
    </row>
    <row r="165" spans="1:7" x14ac:dyDescent="0.3">
      <c r="A165" s="13" t="s">
        <v>1142</v>
      </c>
      <c r="B165" s="13" t="s">
        <v>221</v>
      </c>
      <c r="C165" s="13">
        <v>133</v>
      </c>
      <c r="D165" s="14">
        <v>22.86751748</v>
      </c>
      <c r="E165" s="13">
        <v>44200</v>
      </c>
      <c r="F165" s="13">
        <v>0.9</v>
      </c>
      <c r="G165" s="13" t="s">
        <v>1279</v>
      </c>
    </row>
    <row r="166" spans="1:7" x14ac:dyDescent="0.3">
      <c r="A166" s="13" t="s">
        <v>1143</v>
      </c>
      <c r="B166" s="13" t="s">
        <v>222</v>
      </c>
      <c r="C166" s="13">
        <v>155</v>
      </c>
      <c r="D166" s="14">
        <v>41.1380348</v>
      </c>
      <c r="E166" s="13">
        <v>85700</v>
      </c>
      <c r="F166" s="13">
        <v>0.9</v>
      </c>
      <c r="G166" s="13" t="s">
        <v>1279</v>
      </c>
    </row>
    <row r="167" spans="1:7" x14ac:dyDescent="0.3">
      <c r="A167" s="13" t="s">
        <v>1144</v>
      </c>
      <c r="B167" s="13" t="s">
        <v>223</v>
      </c>
      <c r="C167" s="13">
        <v>550</v>
      </c>
      <c r="D167" s="14">
        <v>46.554847580000001</v>
      </c>
      <c r="E167" s="13">
        <v>101000</v>
      </c>
      <c r="F167" s="13">
        <v>0.9</v>
      </c>
      <c r="G167" s="13" t="s">
        <v>1279</v>
      </c>
    </row>
    <row r="168" spans="1:7" x14ac:dyDescent="0.3">
      <c r="A168" s="13" t="s">
        <v>1145</v>
      </c>
      <c r="B168" s="13" t="s">
        <v>224</v>
      </c>
      <c r="C168" s="13">
        <v>644</v>
      </c>
      <c r="D168" s="14">
        <v>76.40091511</v>
      </c>
      <c r="E168" s="13">
        <v>198000</v>
      </c>
      <c r="F168" s="13">
        <v>0.9</v>
      </c>
      <c r="G168" s="13" t="s">
        <v>1279</v>
      </c>
    </row>
    <row r="169" spans="1:7" x14ac:dyDescent="0.3">
      <c r="A169" s="13" t="s">
        <v>1146</v>
      </c>
      <c r="B169" s="13" t="s">
        <v>225</v>
      </c>
      <c r="C169" s="13">
        <v>471</v>
      </c>
      <c r="D169" s="14">
        <v>89.997141040000002</v>
      </c>
      <c r="E169" s="13">
        <v>171000</v>
      </c>
      <c r="F169" s="13">
        <v>0.9</v>
      </c>
      <c r="G169" s="13" t="s">
        <v>1279</v>
      </c>
    </row>
    <row r="170" spans="1:7" x14ac:dyDescent="0.3">
      <c r="A170" s="13" t="s">
        <v>1147</v>
      </c>
      <c r="B170" s="13" t="s">
        <v>226</v>
      </c>
      <c r="C170" s="13">
        <v>212</v>
      </c>
      <c r="D170" s="14">
        <v>24.90088737</v>
      </c>
      <c r="E170" s="13">
        <v>50600</v>
      </c>
      <c r="F170" s="13">
        <v>0.9</v>
      </c>
      <c r="G170" s="13" t="s">
        <v>1279</v>
      </c>
    </row>
    <row r="171" spans="1:7" x14ac:dyDescent="0.3">
      <c r="A171" s="13" t="s">
        <v>1148</v>
      </c>
      <c r="B171" s="13" t="s">
        <v>227</v>
      </c>
      <c r="C171" s="13">
        <v>228</v>
      </c>
      <c r="D171" s="14">
        <v>37.317068419999998</v>
      </c>
      <c r="E171" s="13">
        <v>87000</v>
      </c>
      <c r="F171" s="13">
        <v>0.9</v>
      </c>
      <c r="G171" s="13" t="s">
        <v>1279</v>
      </c>
    </row>
    <row r="172" spans="1:7" x14ac:dyDescent="0.3">
      <c r="A172" s="13" t="s">
        <v>1149</v>
      </c>
      <c r="B172" s="13" t="s">
        <v>228</v>
      </c>
      <c r="C172" s="13">
        <v>140</v>
      </c>
      <c r="D172" s="14">
        <v>47.398719980000003</v>
      </c>
      <c r="E172" s="13">
        <v>94200</v>
      </c>
      <c r="F172" s="13">
        <v>0.9</v>
      </c>
      <c r="G172" s="13" t="s">
        <v>1279</v>
      </c>
    </row>
    <row r="173" spans="1:7" x14ac:dyDescent="0.3">
      <c r="A173" s="13" t="s">
        <v>1150</v>
      </c>
      <c r="B173" s="13" t="s">
        <v>229</v>
      </c>
      <c r="C173" s="13">
        <v>101</v>
      </c>
      <c r="D173" s="14">
        <v>22.66687413</v>
      </c>
      <c r="E173" s="13">
        <v>48400</v>
      </c>
      <c r="F173" s="13">
        <v>0.9</v>
      </c>
      <c r="G173" s="13" t="s">
        <v>1279</v>
      </c>
    </row>
    <row r="174" spans="1:7" x14ac:dyDescent="0.3">
      <c r="A174" s="13" t="s">
        <v>1151</v>
      </c>
      <c r="B174" s="13" t="s">
        <v>230</v>
      </c>
      <c r="C174" s="13">
        <v>270</v>
      </c>
      <c r="D174" s="14">
        <v>44.679634440000001</v>
      </c>
      <c r="E174" s="13">
        <v>90700</v>
      </c>
      <c r="F174" s="13">
        <v>0.9</v>
      </c>
      <c r="G174" s="13" t="s">
        <v>1279</v>
      </c>
    </row>
    <row r="175" spans="1:7" x14ac:dyDescent="0.3">
      <c r="A175" s="13" t="s">
        <v>1152</v>
      </c>
      <c r="B175" s="13" t="s">
        <v>231</v>
      </c>
      <c r="C175" s="13">
        <v>438</v>
      </c>
      <c r="D175" s="14">
        <v>67.676511730000001</v>
      </c>
      <c r="E175" s="13">
        <v>136000</v>
      </c>
      <c r="F175" s="13">
        <v>0.9</v>
      </c>
      <c r="G175" s="13" t="s">
        <v>1279</v>
      </c>
    </row>
    <row r="176" spans="1:7" x14ac:dyDescent="0.3">
      <c r="A176" s="13" t="s">
        <v>1153</v>
      </c>
      <c r="B176" s="13" t="s">
        <v>232</v>
      </c>
      <c r="C176" s="13">
        <v>191</v>
      </c>
      <c r="D176" s="14">
        <v>19.043304119999998</v>
      </c>
      <c r="E176" s="13">
        <v>52500</v>
      </c>
      <c r="F176" s="13">
        <v>0.9</v>
      </c>
      <c r="G176" s="13" t="s">
        <v>1279</v>
      </c>
    </row>
    <row r="177" spans="1:7" x14ac:dyDescent="0.3">
      <c r="A177" s="13" t="s">
        <v>1154</v>
      </c>
      <c r="B177" s="13" t="s">
        <v>233</v>
      </c>
      <c r="C177" s="13">
        <v>169</v>
      </c>
      <c r="D177" s="14">
        <v>28.111631190000001</v>
      </c>
      <c r="E177" s="13">
        <v>64400</v>
      </c>
      <c r="F177" s="13">
        <v>0.9</v>
      </c>
      <c r="G177" s="13" t="s">
        <v>1279</v>
      </c>
    </row>
    <row r="178" spans="1:7" x14ac:dyDescent="0.3">
      <c r="A178" s="13" t="s">
        <v>1155</v>
      </c>
      <c r="B178" s="13" t="s">
        <v>234</v>
      </c>
      <c r="C178" s="13">
        <v>216</v>
      </c>
      <c r="D178" s="14">
        <v>58.84834721</v>
      </c>
      <c r="E178" s="13">
        <v>108000</v>
      </c>
      <c r="F178" s="13">
        <v>0.9</v>
      </c>
      <c r="G178" s="13" t="s">
        <v>1279</v>
      </c>
    </row>
    <row r="179" spans="1:7" x14ac:dyDescent="0.3">
      <c r="A179" s="13" t="s">
        <v>1156</v>
      </c>
      <c r="B179" s="13" t="s">
        <v>235</v>
      </c>
      <c r="C179" s="13">
        <v>194</v>
      </c>
      <c r="D179" s="14">
        <v>47.039683170000004</v>
      </c>
      <c r="E179" s="13">
        <v>88700</v>
      </c>
      <c r="F179" s="13">
        <v>0.9</v>
      </c>
      <c r="G179" s="13" t="s">
        <v>1279</v>
      </c>
    </row>
    <row r="180" spans="1:7" x14ac:dyDescent="0.3">
      <c r="A180" s="13" t="s">
        <v>1157</v>
      </c>
      <c r="B180" s="13" t="s">
        <v>236</v>
      </c>
      <c r="C180" s="13">
        <v>115</v>
      </c>
      <c r="D180" s="14">
        <v>35.829866260000003</v>
      </c>
      <c r="E180" s="13">
        <v>66100</v>
      </c>
      <c r="F180" s="13">
        <v>0.9</v>
      </c>
      <c r="G180" s="13" t="s">
        <v>1279</v>
      </c>
    </row>
    <row r="181" spans="1:7" x14ac:dyDescent="0.3">
      <c r="A181" s="13" t="s">
        <v>1158</v>
      </c>
      <c r="B181" s="13" t="s">
        <v>237</v>
      </c>
      <c r="C181" s="13">
        <v>349</v>
      </c>
      <c r="D181" s="14">
        <v>44.991448560000002</v>
      </c>
      <c r="E181" s="13">
        <v>90500</v>
      </c>
      <c r="F181" s="13">
        <v>0.9</v>
      </c>
      <c r="G181" s="13" t="s">
        <v>1279</v>
      </c>
    </row>
    <row r="182" spans="1:7" x14ac:dyDescent="0.3">
      <c r="A182" s="13" t="s">
        <v>1159</v>
      </c>
      <c r="B182" s="13" t="s">
        <v>238</v>
      </c>
      <c r="C182" s="13">
        <v>550</v>
      </c>
      <c r="D182" s="14">
        <v>71.751808819999994</v>
      </c>
      <c r="E182" s="13">
        <v>150000</v>
      </c>
      <c r="F182" s="13">
        <v>0.9</v>
      </c>
      <c r="G182" s="13" t="s">
        <v>1279</v>
      </c>
    </row>
    <row r="183" spans="1:7" x14ac:dyDescent="0.3">
      <c r="A183" s="13" t="s">
        <v>1160</v>
      </c>
      <c r="B183" s="13" t="s">
        <v>239</v>
      </c>
      <c r="C183" s="13">
        <v>684</v>
      </c>
      <c r="D183" s="14">
        <v>96.58556892</v>
      </c>
      <c r="E183" s="13">
        <v>236000</v>
      </c>
      <c r="F183" s="13">
        <v>0.9</v>
      </c>
      <c r="G183" s="13" t="s">
        <v>1279</v>
      </c>
    </row>
    <row r="184" spans="1:7" x14ac:dyDescent="0.3">
      <c r="A184" s="13" t="s">
        <v>1161</v>
      </c>
      <c r="B184" s="13" t="s">
        <v>240</v>
      </c>
      <c r="C184" s="13">
        <v>78</v>
      </c>
      <c r="D184" s="14">
        <v>21.13603724</v>
      </c>
      <c r="E184" s="13">
        <v>39400</v>
      </c>
      <c r="F184" s="13">
        <v>0.9</v>
      </c>
      <c r="G184" s="13" t="s">
        <v>1279</v>
      </c>
    </row>
    <row r="185" spans="1:7" x14ac:dyDescent="0.3">
      <c r="A185" s="13" t="s">
        <v>1162</v>
      </c>
      <c r="B185" s="13" t="s">
        <v>241</v>
      </c>
      <c r="C185" s="13">
        <v>1599</v>
      </c>
      <c r="D185" s="14">
        <v>156.2604044</v>
      </c>
      <c r="E185" s="13">
        <v>329000</v>
      </c>
      <c r="F185" s="13">
        <v>0.9</v>
      </c>
      <c r="G185" s="13" t="s">
        <v>1279</v>
      </c>
    </row>
    <row r="186" spans="1:7" x14ac:dyDescent="0.3">
      <c r="A186" s="13" t="s">
        <v>1163</v>
      </c>
      <c r="B186" s="13" t="s">
        <v>242</v>
      </c>
      <c r="C186" s="13">
        <v>329</v>
      </c>
      <c r="D186" s="14">
        <v>63.834946309999999</v>
      </c>
      <c r="E186" s="13">
        <v>123000</v>
      </c>
      <c r="F186" s="13">
        <v>0.9</v>
      </c>
      <c r="G186" s="13" t="s">
        <v>1279</v>
      </c>
    </row>
    <row r="187" spans="1:7" x14ac:dyDescent="0.3">
      <c r="A187" s="13" t="s">
        <v>1164</v>
      </c>
      <c r="B187" s="13" t="s">
        <v>243</v>
      </c>
      <c r="C187" s="13">
        <v>517</v>
      </c>
      <c r="D187" s="14">
        <v>53.789048100000002</v>
      </c>
      <c r="E187" s="13">
        <v>110000</v>
      </c>
      <c r="F187" s="13">
        <v>0.9</v>
      </c>
      <c r="G187" s="13" t="s">
        <v>1279</v>
      </c>
    </row>
    <row r="188" spans="1:7" x14ac:dyDescent="0.3">
      <c r="A188" s="13" t="s">
        <v>1165</v>
      </c>
      <c r="B188" s="13" t="s">
        <v>244</v>
      </c>
      <c r="C188" s="13">
        <v>230</v>
      </c>
      <c r="D188" s="14">
        <v>22.14816909</v>
      </c>
      <c r="E188" s="13">
        <v>61100</v>
      </c>
      <c r="F188" s="13">
        <v>0.9</v>
      </c>
      <c r="G188" s="13" t="s">
        <v>1279</v>
      </c>
    </row>
    <row r="189" spans="1:7" x14ac:dyDescent="0.3">
      <c r="A189" s="13" t="s">
        <v>1166</v>
      </c>
      <c r="B189" s="13" t="s">
        <v>245</v>
      </c>
      <c r="C189" s="13">
        <v>250</v>
      </c>
      <c r="D189" s="14">
        <v>24.563766820000001</v>
      </c>
      <c r="E189" s="13">
        <v>68800</v>
      </c>
      <c r="F189" s="13">
        <v>0.9</v>
      </c>
      <c r="G189" s="13" t="s">
        <v>1279</v>
      </c>
    </row>
    <row r="190" spans="1:7" x14ac:dyDescent="0.3">
      <c r="A190" s="13" t="s">
        <v>1167</v>
      </c>
      <c r="B190" s="13" t="s">
        <v>246</v>
      </c>
      <c r="C190" s="13">
        <v>205</v>
      </c>
      <c r="D190" s="14">
        <v>59.17361442</v>
      </c>
      <c r="E190" s="13">
        <v>110000</v>
      </c>
      <c r="F190" s="13">
        <v>0.9</v>
      </c>
      <c r="G190" s="13" t="s">
        <v>1279</v>
      </c>
    </row>
    <row r="191" spans="1:7" x14ac:dyDescent="0.3">
      <c r="A191" s="13" t="s">
        <v>1168</v>
      </c>
      <c r="B191" s="13" t="s">
        <v>247</v>
      </c>
      <c r="C191" s="13">
        <v>511</v>
      </c>
      <c r="D191" s="14">
        <v>109.5296209</v>
      </c>
      <c r="E191" s="13">
        <v>212000</v>
      </c>
      <c r="F191" s="13">
        <v>0.9</v>
      </c>
      <c r="G191" s="13" t="s">
        <v>1279</v>
      </c>
    </row>
    <row r="192" spans="1:7" x14ac:dyDescent="0.3">
      <c r="A192" s="13" t="s">
        <v>1169</v>
      </c>
      <c r="B192" s="13" t="s">
        <v>248</v>
      </c>
      <c r="C192" s="13">
        <v>83</v>
      </c>
      <c r="D192" s="14">
        <v>30.319785849999999</v>
      </c>
      <c r="E192" s="13">
        <v>55000</v>
      </c>
      <c r="F192" s="13">
        <v>0.9</v>
      </c>
      <c r="G192" s="13" t="s">
        <v>1279</v>
      </c>
    </row>
    <row r="193" spans="1:7" x14ac:dyDescent="0.3">
      <c r="A193" s="13" t="s">
        <v>1170</v>
      </c>
      <c r="B193" s="13" t="s">
        <v>249</v>
      </c>
      <c r="C193" s="13">
        <v>839</v>
      </c>
      <c r="D193" s="14">
        <v>75.271870919999998</v>
      </c>
      <c r="E193" s="13">
        <v>160000</v>
      </c>
      <c r="F193" s="13">
        <v>0.9</v>
      </c>
      <c r="G193" s="13" t="s">
        <v>1279</v>
      </c>
    </row>
    <row r="194" spans="1:7" x14ac:dyDescent="0.3">
      <c r="A194" s="13" t="s">
        <v>1171</v>
      </c>
      <c r="B194" s="13" t="s">
        <v>250</v>
      </c>
      <c r="C194" s="13">
        <v>592</v>
      </c>
      <c r="D194" s="14">
        <v>75.608330089999995</v>
      </c>
      <c r="E194" s="13">
        <v>189000</v>
      </c>
      <c r="F194" s="13">
        <v>0.9</v>
      </c>
      <c r="G194" s="13" t="s">
        <v>1279</v>
      </c>
    </row>
    <row r="195" spans="1:7" x14ac:dyDescent="0.3">
      <c r="A195" s="13" t="s">
        <v>1172</v>
      </c>
      <c r="B195" s="13" t="s">
        <v>251</v>
      </c>
      <c r="C195" s="13">
        <v>1097</v>
      </c>
      <c r="D195" s="14">
        <v>127.3167191</v>
      </c>
      <c r="E195" s="13">
        <v>261000</v>
      </c>
      <c r="F195" s="13">
        <v>0.9</v>
      </c>
      <c r="G195" s="13" t="s">
        <v>1279</v>
      </c>
    </row>
    <row r="196" spans="1:7" x14ac:dyDescent="0.3">
      <c r="A196" s="13" t="s">
        <v>1173</v>
      </c>
      <c r="B196" s="13" t="s">
        <v>252</v>
      </c>
      <c r="C196" s="13">
        <v>251</v>
      </c>
      <c r="D196" s="14">
        <v>20.64022954</v>
      </c>
      <c r="E196" s="13">
        <v>44800</v>
      </c>
      <c r="F196" s="13">
        <v>0.9</v>
      </c>
      <c r="G196" s="13" t="s">
        <v>1279</v>
      </c>
    </row>
    <row r="197" spans="1:7" x14ac:dyDescent="0.3">
      <c r="A197" s="13" t="s">
        <v>1174</v>
      </c>
      <c r="B197" s="13" t="s">
        <v>253</v>
      </c>
      <c r="C197" s="13">
        <v>202</v>
      </c>
      <c r="D197" s="14">
        <v>39.188643120000002</v>
      </c>
      <c r="E197" s="13">
        <v>83900</v>
      </c>
      <c r="F197" s="13">
        <v>0.9</v>
      </c>
      <c r="G197" s="13" t="s">
        <v>1279</v>
      </c>
    </row>
    <row r="198" spans="1:7" x14ac:dyDescent="0.3">
      <c r="A198" s="13" t="s">
        <v>1175</v>
      </c>
      <c r="B198" s="13" t="s">
        <v>254</v>
      </c>
      <c r="C198" s="13">
        <v>193</v>
      </c>
      <c r="D198" s="14">
        <v>31.452316570000001</v>
      </c>
      <c r="E198" s="13">
        <v>59000</v>
      </c>
      <c r="F198" s="13">
        <v>0.9</v>
      </c>
      <c r="G198" s="13" t="s">
        <v>1279</v>
      </c>
    </row>
    <row r="199" spans="1:7" x14ac:dyDescent="0.3">
      <c r="A199" s="13" t="s">
        <v>1176</v>
      </c>
      <c r="B199" s="13" t="s">
        <v>255</v>
      </c>
      <c r="C199" s="13">
        <v>133</v>
      </c>
      <c r="D199" s="14">
        <v>34.002564020000001</v>
      </c>
      <c r="E199" s="13">
        <v>62700</v>
      </c>
      <c r="F199" s="13">
        <v>0.9</v>
      </c>
      <c r="G199" s="13" t="s">
        <v>1279</v>
      </c>
    </row>
    <row r="200" spans="1:7" x14ac:dyDescent="0.3">
      <c r="A200" s="13" t="s">
        <v>1177</v>
      </c>
      <c r="B200" s="13" t="s">
        <v>256</v>
      </c>
      <c r="C200" s="13">
        <v>1191</v>
      </c>
      <c r="D200" s="14">
        <v>117.44557589999999</v>
      </c>
      <c r="E200" s="13">
        <v>245000</v>
      </c>
      <c r="F200" s="13">
        <v>0.9</v>
      </c>
      <c r="G200" s="13" t="s">
        <v>1279</v>
      </c>
    </row>
    <row r="201" spans="1:7" x14ac:dyDescent="0.3">
      <c r="A201" s="13" t="s">
        <v>1178</v>
      </c>
      <c r="B201" s="13" t="s">
        <v>257</v>
      </c>
      <c r="C201" s="13">
        <v>203</v>
      </c>
      <c r="D201" s="14">
        <v>44.901605279999998</v>
      </c>
      <c r="E201" s="13">
        <v>83100</v>
      </c>
      <c r="F201" s="13">
        <v>0.9</v>
      </c>
      <c r="G201" s="13" t="s">
        <v>1279</v>
      </c>
    </row>
    <row r="202" spans="1:7" x14ac:dyDescent="0.3">
      <c r="A202" s="13" t="s">
        <v>1179</v>
      </c>
      <c r="B202" s="13" t="s">
        <v>258</v>
      </c>
      <c r="C202" s="13">
        <v>146</v>
      </c>
      <c r="D202" s="14">
        <v>24.866331349999999</v>
      </c>
      <c r="E202" s="13">
        <v>50100</v>
      </c>
      <c r="F202" s="13">
        <v>0.9</v>
      </c>
      <c r="G202" s="13" t="s">
        <v>1279</v>
      </c>
    </row>
    <row r="203" spans="1:7" x14ac:dyDescent="0.3">
      <c r="A203" s="13" t="s">
        <v>1180</v>
      </c>
      <c r="B203" s="13" t="s">
        <v>259</v>
      </c>
      <c r="C203" s="13">
        <v>722</v>
      </c>
      <c r="D203" s="14">
        <v>96.165509499999999</v>
      </c>
      <c r="E203" s="13">
        <v>202000</v>
      </c>
      <c r="F203" s="13">
        <v>0.9</v>
      </c>
      <c r="G203" s="13" t="s">
        <v>1279</v>
      </c>
    </row>
    <row r="204" spans="1:7" x14ac:dyDescent="0.3">
      <c r="A204" s="13" t="s">
        <v>1181</v>
      </c>
      <c r="B204" s="13" t="s">
        <v>260</v>
      </c>
      <c r="C204" s="13">
        <v>83</v>
      </c>
      <c r="D204" s="14">
        <v>27.766059930000001</v>
      </c>
      <c r="E204" s="13">
        <v>55100</v>
      </c>
      <c r="F204" s="13">
        <v>0.9</v>
      </c>
      <c r="G204" s="13" t="s">
        <v>1279</v>
      </c>
    </row>
    <row r="205" spans="1:7" x14ac:dyDescent="0.3">
      <c r="A205" s="13" t="s">
        <v>1182</v>
      </c>
      <c r="B205" s="13" t="s">
        <v>261</v>
      </c>
      <c r="C205" s="13">
        <v>778</v>
      </c>
      <c r="D205" s="14">
        <v>139.73793670000001</v>
      </c>
      <c r="E205" s="13">
        <v>274000</v>
      </c>
      <c r="F205" s="13">
        <v>0.9</v>
      </c>
      <c r="G205" s="13" t="s">
        <v>1279</v>
      </c>
    </row>
    <row r="206" spans="1:7" x14ac:dyDescent="0.3">
      <c r="A206" s="13" t="s">
        <v>1183</v>
      </c>
      <c r="B206" s="13" t="s">
        <v>262</v>
      </c>
      <c r="C206" s="13">
        <v>255</v>
      </c>
      <c r="D206" s="14">
        <v>41.742200330000003</v>
      </c>
      <c r="E206" s="13">
        <v>79500</v>
      </c>
      <c r="F206" s="13">
        <v>0.9</v>
      </c>
      <c r="G206" s="13" t="s">
        <v>1279</v>
      </c>
    </row>
    <row r="207" spans="1:7" x14ac:dyDescent="0.3">
      <c r="A207" s="13" t="s">
        <v>1184</v>
      </c>
      <c r="B207" s="13" t="s">
        <v>263</v>
      </c>
      <c r="C207" s="13">
        <v>101</v>
      </c>
      <c r="D207" s="14">
        <v>24.189605329999999</v>
      </c>
      <c r="E207" s="13">
        <v>45200</v>
      </c>
      <c r="F207" s="13">
        <v>0.9</v>
      </c>
      <c r="G207" s="13" t="s">
        <v>1279</v>
      </c>
    </row>
    <row r="208" spans="1:7" x14ac:dyDescent="0.3">
      <c r="A208" s="13" t="s">
        <v>1185</v>
      </c>
      <c r="B208" s="13" t="s">
        <v>264</v>
      </c>
      <c r="C208" s="13">
        <v>164</v>
      </c>
      <c r="D208" s="14">
        <v>39.901305260000001</v>
      </c>
      <c r="E208" s="13">
        <v>73200</v>
      </c>
      <c r="F208" s="13">
        <v>0.9</v>
      </c>
      <c r="G208" s="13" t="s">
        <v>1279</v>
      </c>
    </row>
    <row r="209" spans="1:7" x14ac:dyDescent="0.3">
      <c r="A209" s="13" t="s">
        <v>1186</v>
      </c>
      <c r="B209" s="13" t="s">
        <v>265</v>
      </c>
      <c r="C209" s="13">
        <v>404</v>
      </c>
      <c r="D209" s="14">
        <v>54.0357749</v>
      </c>
      <c r="E209" s="13">
        <v>110000</v>
      </c>
      <c r="F209" s="13">
        <v>0.9</v>
      </c>
      <c r="G209" s="13" t="s">
        <v>1279</v>
      </c>
    </row>
    <row r="210" spans="1:7" x14ac:dyDescent="0.3">
      <c r="A210" s="13" t="s">
        <v>1187</v>
      </c>
      <c r="B210" s="13" t="s">
        <v>266</v>
      </c>
      <c r="C210" s="13">
        <v>942</v>
      </c>
      <c r="D210" s="14">
        <v>74.43778958</v>
      </c>
      <c r="E210" s="13">
        <v>220000</v>
      </c>
      <c r="F210" s="13">
        <v>0.9</v>
      </c>
      <c r="G210" s="13" t="s">
        <v>1279</v>
      </c>
    </row>
    <row r="211" spans="1:7" x14ac:dyDescent="0.3">
      <c r="A211" s="13" t="s">
        <v>1188</v>
      </c>
      <c r="B211" s="13" t="s">
        <v>267</v>
      </c>
      <c r="C211" s="13">
        <v>295</v>
      </c>
      <c r="D211" s="14">
        <v>46.46159797</v>
      </c>
      <c r="E211" s="13">
        <v>92900</v>
      </c>
      <c r="F211" s="13">
        <v>0.9</v>
      </c>
      <c r="G211" s="13" t="s">
        <v>1279</v>
      </c>
    </row>
    <row r="212" spans="1:7" x14ac:dyDescent="0.3">
      <c r="A212" s="13" t="s">
        <v>1189</v>
      </c>
      <c r="B212" s="13" t="s">
        <v>268</v>
      </c>
      <c r="C212" s="13">
        <v>1000</v>
      </c>
      <c r="D212" s="14">
        <v>112.82408340000001</v>
      </c>
      <c r="E212" s="13">
        <v>237000</v>
      </c>
      <c r="F212" s="13">
        <v>0.9</v>
      </c>
      <c r="G212" s="13" t="s">
        <v>1279</v>
      </c>
    </row>
    <row r="213" spans="1:7" x14ac:dyDescent="0.3">
      <c r="A213" s="13" t="s">
        <v>1190</v>
      </c>
      <c r="B213" s="13" t="s">
        <v>269</v>
      </c>
      <c r="C213" s="13">
        <v>889</v>
      </c>
      <c r="D213" s="14">
        <v>120.7454036</v>
      </c>
      <c r="E213" s="13">
        <v>295000</v>
      </c>
      <c r="F213" s="13">
        <v>0.9</v>
      </c>
      <c r="G213" s="13" t="s">
        <v>1279</v>
      </c>
    </row>
    <row r="214" spans="1:7" x14ac:dyDescent="0.3">
      <c r="A214" s="13" t="s">
        <v>1191</v>
      </c>
      <c r="B214" s="13" t="s">
        <v>270</v>
      </c>
      <c r="C214" s="13">
        <v>173</v>
      </c>
      <c r="D214" s="14">
        <v>61.275441409999999</v>
      </c>
      <c r="E214" s="13">
        <v>112000</v>
      </c>
      <c r="F214" s="13">
        <v>0.9</v>
      </c>
      <c r="G214" s="13" t="s">
        <v>1279</v>
      </c>
    </row>
    <row r="215" spans="1:7" x14ac:dyDescent="0.3">
      <c r="A215" s="13" t="s">
        <v>1192</v>
      </c>
      <c r="B215" s="13" t="s">
        <v>271</v>
      </c>
      <c r="C215" s="13">
        <v>835</v>
      </c>
      <c r="D215" s="14">
        <v>53.570631659999997</v>
      </c>
      <c r="E215" s="13">
        <v>177000</v>
      </c>
      <c r="F215" s="13">
        <v>0.9</v>
      </c>
      <c r="G215" s="13" t="s">
        <v>1279</v>
      </c>
    </row>
    <row r="216" spans="1:7" x14ac:dyDescent="0.3">
      <c r="A216" s="13" t="s">
        <v>1193</v>
      </c>
      <c r="B216" s="13" t="s">
        <v>272</v>
      </c>
      <c r="C216" s="13">
        <v>116</v>
      </c>
      <c r="D216" s="14">
        <v>24.052419969999999</v>
      </c>
      <c r="E216" s="13">
        <v>46500</v>
      </c>
      <c r="F216" s="13">
        <v>0.9</v>
      </c>
      <c r="G216" s="13" t="s">
        <v>1279</v>
      </c>
    </row>
    <row r="217" spans="1:7" x14ac:dyDescent="0.3">
      <c r="A217" s="13" t="s">
        <v>1194</v>
      </c>
      <c r="B217" s="13" t="s">
        <v>273</v>
      </c>
      <c r="C217" s="13">
        <v>1212</v>
      </c>
      <c r="D217" s="14">
        <v>81.274295210000005</v>
      </c>
      <c r="E217" s="13">
        <v>256000</v>
      </c>
      <c r="F217" s="13">
        <v>0.9</v>
      </c>
      <c r="G217" s="13" t="s">
        <v>1279</v>
      </c>
    </row>
    <row r="218" spans="1:7" x14ac:dyDescent="0.3">
      <c r="A218" s="13" t="s">
        <v>1195</v>
      </c>
      <c r="B218" s="13" t="s">
        <v>274</v>
      </c>
      <c r="C218" s="13">
        <v>599</v>
      </c>
      <c r="D218" s="14">
        <v>77.43899012</v>
      </c>
      <c r="E218" s="13">
        <v>193000</v>
      </c>
      <c r="F218" s="13">
        <v>0.9</v>
      </c>
      <c r="G218" s="13" t="s">
        <v>1279</v>
      </c>
    </row>
    <row r="219" spans="1:7" x14ac:dyDescent="0.3">
      <c r="A219" s="13" t="s">
        <v>1196</v>
      </c>
      <c r="B219" s="13" t="s">
        <v>275</v>
      </c>
      <c r="C219" s="13">
        <v>159</v>
      </c>
      <c r="D219" s="14">
        <v>32.760570610000002</v>
      </c>
      <c r="E219" s="13">
        <v>61500</v>
      </c>
      <c r="F219" s="13">
        <v>0.9</v>
      </c>
      <c r="G219" s="13" t="s">
        <v>1279</v>
      </c>
    </row>
    <row r="220" spans="1:7" x14ac:dyDescent="0.3">
      <c r="A220" s="13" t="s">
        <v>1197</v>
      </c>
      <c r="B220" s="13" t="s">
        <v>276</v>
      </c>
      <c r="C220" s="13">
        <v>358</v>
      </c>
      <c r="D220" s="14">
        <v>48.268597399999997</v>
      </c>
      <c r="E220" s="13">
        <v>93600</v>
      </c>
      <c r="F220" s="13">
        <v>0.9</v>
      </c>
      <c r="G220" s="13" t="s">
        <v>1279</v>
      </c>
    </row>
    <row r="221" spans="1:7" x14ac:dyDescent="0.3">
      <c r="A221" s="13" t="s">
        <v>1198</v>
      </c>
      <c r="B221" s="13" t="s">
        <v>277</v>
      </c>
      <c r="C221" s="13">
        <v>1218</v>
      </c>
      <c r="D221" s="14">
        <v>145.31168310000001</v>
      </c>
      <c r="E221" s="13">
        <v>292000</v>
      </c>
      <c r="F221" s="13">
        <v>0.9</v>
      </c>
      <c r="G221" s="13" t="s">
        <v>1279</v>
      </c>
    </row>
    <row r="222" spans="1:7" x14ac:dyDescent="0.3">
      <c r="A222" s="13" t="s">
        <v>1199</v>
      </c>
      <c r="B222" s="13" t="s">
        <v>278</v>
      </c>
      <c r="C222" s="13">
        <v>466</v>
      </c>
      <c r="D222" s="14">
        <v>76.17652932</v>
      </c>
      <c r="E222" s="13">
        <v>147000</v>
      </c>
      <c r="F222" s="13">
        <v>0.9</v>
      </c>
      <c r="G222" s="13" t="s">
        <v>1279</v>
      </c>
    </row>
    <row r="223" spans="1:7" x14ac:dyDescent="0.3">
      <c r="A223" s="13" t="s">
        <v>1200</v>
      </c>
      <c r="B223" s="13" t="s">
        <v>279</v>
      </c>
      <c r="C223" s="13">
        <v>253</v>
      </c>
      <c r="D223" s="14">
        <v>69.461654240000001</v>
      </c>
      <c r="E223" s="13">
        <v>126000</v>
      </c>
      <c r="F223" s="13">
        <v>0.9</v>
      </c>
      <c r="G223" s="13" t="s">
        <v>1279</v>
      </c>
    </row>
    <row r="224" spans="1:7" x14ac:dyDescent="0.3">
      <c r="A224" s="13" t="s">
        <v>1201</v>
      </c>
      <c r="B224" s="13" t="s">
        <v>280</v>
      </c>
      <c r="C224" s="13">
        <v>845</v>
      </c>
      <c r="D224" s="14">
        <v>95.599777939999996</v>
      </c>
      <c r="E224" s="13">
        <v>200000</v>
      </c>
      <c r="F224" s="13">
        <v>0.9</v>
      </c>
      <c r="G224" s="13" t="s">
        <v>1279</v>
      </c>
    </row>
    <row r="225" spans="1:7" x14ac:dyDescent="0.3">
      <c r="A225" s="13" t="s">
        <v>1202</v>
      </c>
      <c r="B225" s="13" t="s">
        <v>281</v>
      </c>
      <c r="C225" s="13">
        <v>609</v>
      </c>
      <c r="D225" s="14">
        <v>96.956707140000006</v>
      </c>
      <c r="E225" s="13">
        <v>190000</v>
      </c>
      <c r="F225" s="13">
        <v>0.9</v>
      </c>
      <c r="G225" s="13" t="s">
        <v>1279</v>
      </c>
    </row>
    <row r="226" spans="1:7" x14ac:dyDescent="0.3">
      <c r="A226" s="13" t="s">
        <v>1203</v>
      </c>
      <c r="B226" s="13" t="s">
        <v>282</v>
      </c>
      <c r="C226" s="13">
        <v>244</v>
      </c>
      <c r="D226" s="14">
        <v>51.000939520000003</v>
      </c>
      <c r="E226" s="13">
        <v>95800</v>
      </c>
      <c r="F226" s="13">
        <v>0.9</v>
      </c>
      <c r="G226" s="13" t="s">
        <v>1279</v>
      </c>
    </row>
    <row r="227" spans="1:7" x14ac:dyDescent="0.3">
      <c r="A227" s="13" t="s">
        <v>1204</v>
      </c>
      <c r="B227" s="13" t="s">
        <v>283</v>
      </c>
      <c r="C227" s="13">
        <v>114</v>
      </c>
      <c r="D227" s="14">
        <v>34.722915229999998</v>
      </c>
      <c r="E227" s="13">
        <v>69700</v>
      </c>
      <c r="F227" s="13">
        <v>0.9</v>
      </c>
      <c r="G227" s="13" t="s">
        <v>1279</v>
      </c>
    </row>
    <row r="228" spans="1:7" x14ac:dyDescent="0.3">
      <c r="A228" s="13" t="s">
        <v>1205</v>
      </c>
      <c r="B228" s="13" t="s">
        <v>284</v>
      </c>
      <c r="C228" s="13">
        <v>500</v>
      </c>
      <c r="D228" s="14">
        <v>72.663562830000004</v>
      </c>
      <c r="E228" s="13">
        <v>174000</v>
      </c>
      <c r="F228" s="13">
        <v>0.9</v>
      </c>
      <c r="G228" s="13" t="s">
        <v>1279</v>
      </c>
    </row>
    <row r="229" spans="1:7" x14ac:dyDescent="0.3">
      <c r="A229" s="13" t="s">
        <v>1206</v>
      </c>
      <c r="B229" s="13" t="s">
        <v>285</v>
      </c>
      <c r="C229" s="13">
        <v>215</v>
      </c>
      <c r="D229" s="14">
        <v>25.389910149999999</v>
      </c>
      <c r="E229" s="13">
        <v>62400</v>
      </c>
      <c r="F229" s="13">
        <v>0.9</v>
      </c>
      <c r="G229" s="13" t="s">
        <v>1279</v>
      </c>
    </row>
    <row r="230" spans="1:7" x14ac:dyDescent="0.3">
      <c r="A230" s="13" t="s">
        <v>1207</v>
      </c>
      <c r="B230" s="13" t="s">
        <v>286</v>
      </c>
      <c r="C230" s="13">
        <v>672</v>
      </c>
      <c r="D230" s="14">
        <v>129.4550739</v>
      </c>
      <c r="E230" s="13">
        <v>247000</v>
      </c>
      <c r="F230" s="13">
        <v>0.9</v>
      </c>
      <c r="G230" s="13" t="s">
        <v>1279</v>
      </c>
    </row>
    <row r="231" spans="1:7" x14ac:dyDescent="0.3">
      <c r="A231" s="13" t="s">
        <v>1208</v>
      </c>
      <c r="B231" s="13" t="s">
        <v>287</v>
      </c>
      <c r="C231" s="13">
        <v>330</v>
      </c>
      <c r="D231" s="14">
        <v>30.278477460000001</v>
      </c>
      <c r="E231" s="13">
        <v>81600</v>
      </c>
      <c r="F231" s="13">
        <v>0.9</v>
      </c>
      <c r="G231" s="13" t="s">
        <v>1279</v>
      </c>
    </row>
    <row r="232" spans="1:7" x14ac:dyDescent="0.3">
      <c r="A232" s="13" t="s">
        <v>1209</v>
      </c>
      <c r="B232" s="13" t="s">
        <v>288</v>
      </c>
      <c r="C232" s="13">
        <v>324</v>
      </c>
      <c r="D232" s="14">
        <v>99.307629120000001</v>
      </c>
      <c r="E232" s="13">
        <v>184000</v>
      </c>
      <c r="F232" s="13">
        <v>0.9</v>
      </c>
      <c r="G232" s="13" t="s">
        <v>1279</v>
      </c>
    </row>
    <row r="233" spans="1:7" x14ac:dyDescent="0.3">
      <c r="A233" s="13" t="s">
        <v>1210</v>
      </c>
      <c r="B233" s="13" t="s">
        <v>289</v>
      </c>
      <c r="C233" s="13">
        <v>96</v>
      </c>
      <c r="D233" s="14">
        <v>43.051638390000001</v>
      </c>
      <c r="E233" s="13">
        <v>79900</v>
      </c>
      <c r="F233" s="13">
        <v>0.9</v>
      </c>
      <c r="G233" s="13" t="s">
        <v>1279</v>
      </c>
    </row>
    <row r="234" spans="1:7" x14ac:dyDescent="0.3">
      <c r="A234" s="13" t="s">
        <v>1211</v>
      </c>
      <c r="B234" s="13" t="s">
        <v>290</v>
      </c>
      <c r="C234" s="13">
        <v>361</v>
      </c>
      <c r="D234" s="14">
        <v>70.473036669999999</v>
      </c>
      <c r="E234" s="13">
        <v>134000</v>
      </c>
      <c r="F234" s="13">
        <v>0.9</v>
      </c>
      <c r="G234" s="13" t="s">
        <v>1279</v>
      </c>
    </row>
    <row r="235" spans="1:7" x14ac:dyDescent="0.3">
      <c r="A235" s="13" t="s">
        <v>1212</v>
      </c>
      <c r="B235" s="13" t="s">
        <v>291</v>
      </c>
      <c r="C235" s="13">
        <v>677</v>
      </c>
      <c r="D235" s="14">
        <v>93.568396879999995</v>
      </c>
      <c r="E235" s="13">
        <v>229000</v>
      </c>
      <c r="F235" s="13">
        <v>0.9</v>
      </c>
      <c r="G235" s="13" t="s">
        <v>1279</v>
      </c>
    </row>
    <row r="236" spans="1:7" x14ac:dyDescent="0.3">
      <c r="A236" s="13" t="s">
        <v>1213</v>
      </c>
      <c r="B236" s="13" t="s">
        <v>292</v>
      </c>
      <c r="C236" s="13">
        <v>256</v>
      </c>
      <c r="D236" s="14">
        <v>43.770956300000002</v>
      </c>
      <c r="E236" s="13">
        <v>85200</v>
      </c>
      <c r="F236" s="13">
        <v>0.9</v>
      </c>
      <c r="G236" s="13" t="s">
        <v>1279</v>
      </c>
    </row>
    <row r="237" spans="1:7" x14ac:dyDescent="0.3">
      <c r="A237" s="13" t="s">
        <v>1214</v>
      </c>
      <c r="B237" s="13" t="s">
        <v>293</v>
      </c>
      <c r="C237" s="13">
        <v>100</v>
      </c>
      <c r="D237" s="14">
        <v>35.527797679999999</v>
      </c>
      <c r="E237" s="13">
        <v>66400</v>
      </c>
      <c r="F237" s="13">
        <v>0.9</v>
      </c>
      <c r="G237" s="13" t="s">
        <v>1279</v>
      </c>
    </row>
    <row r="238" spans="1:7" x14ac:dyDescent="0.3">
      <c r="A238" s="13" t="s">
        <v>1215</v>
      </c>
      <c r="B238" s="13" t="s">
        <v>294</v>
      </c>
      <c r="C238" s="13">
        <v>375</v>
      </c>
      <c r="D238" s="14">
        <v>88.33804773</v>
      </c>
      <c r="E238" s="13">
        <v>186000</v>
      </c>
      <c r="F238" s="13">
        <v>0.9</v>
      </c>
      <c r="G238" s="13" t="s">
        <v>1279</v>
      </c>
    </row>
    <row r="239" spans="1:7" x14ac:dyDescent="0.3">
      <c r="A239" s="13" t="s">
        <v>1216</v>
      </c>
      <c r="B239" s="13" t="s">
        <v>295</v>
      </c>
      <c r="C239" s="13">
        <v>588</v>
      </c>
      <c r="D239" s="14">
        <v>114.2831329</v>
      </c>
      <c r="E239" s="13">
        <v>220000</v>
      </c>
      <c r="F239" s="13">
        <v>0.9</v>
      </c>
      <c r="G239" s="13" t="s">
        <v>1279</v>
      </c>
    </row>
    <row r="240" spans="1:7" x14ac:dyDescent="0.3">
      <c r="A240" s="13" t="s">
        <v>1217</v>
      </c>
      <c r="B240" s="13" t="s">
        <v>296</v>
      </c>
      <c r="C240" s="13">
        <v>87</v>
      </c>
      <c r="D240" s="14">
        <v>29.742579070000001</v>
      </c>
      <c r="E240" s="13">
        <v>55900</v>
      </c>
      <c r="F240" s="13">
        <v>0.9</v>
      </c>
      <c r="G240" s="13" t="s">
        <v>1279</v>
      </c>
    </row>
    <row r="241" spans="1:7" x14ac:dyDescent="0.3">
      <c r="A241" s="13" t="s">
        <v>1218</v>
      </c>
      <c r="B241" s="13" t="s">
        <v>297</v>
      </c>
      <c r="C241" s="13">
        <v>183</v>
      </c>
      <c r="D241" s="14">
        <v>24.850213239999999</v>
      </c>
      <c r="E241" s="13">
        <v>61000</v>
      </c>
      <c r="F241" s="13">
        <v>0.9</v>
      </c>
      <c r="G241" s="13" t="s">
        <v>1279</v>
      </c>
    </row>
    <row r="242" spans="1:7" x14ac:dyDescent="0.3">
      <c r="A242" s="13" t="s">
        <v>1219</v>
      </c>
      <c r="B242" s="13" t="s">
        <v>298</v>
      </c>
      <c r="C242" s="13">
        <v>511</v>
      </c>
      <c r="D242" s="14">
        <v>49.242938549999998</v>
      </c>
      <c r="E242" s="13">
        <v>104000</v>
      </c>
      <c r="F242" s="13">
        <v>0.9</v>
      </c>
      <c r="G242" s="13" t="s">
        <v>1279</v>
      </c>
    </row>
    <row r="243" spans="1:7" x14ac:dyDescent="0.3">
      <c r="A243" s="13" t="s">
        <v>1220</v>
      </c>
      <c r="B243" s="13" t="s">
        <v>299</v>
      </c>
      <c r="C243" s="13">
        <v>176</v>
      </c>
      <c r="D243" s="14">
        <v>33.481804820000001</v>
      </c>
      <c r="E243" s="13">
        <v>73500</v>
      </c>
      <c r="F243" s="13">
        <v>0.9</v>
      </c>
      <c r="G243" s="13" t="s">
        <v>1279</v>
      </c>
    </row>
    <row r="244" spans="1:7" x14ac:dyDescent="0.3">
      <c r="A244" s="13" t="s">
        <v>1221</v>
      </c>
      <c r="B244" s="13" t="s">
        <v>300</v>
      </c>
      <c r="C244" s="13">
        <v>236</v>
      </c>
      <c r="D244" s="14">
        <v>38.80296912</v>
      </c>
      <c r="E244" s="13">
        <v>72100</v>
      </c>
      <c r="F244" s="13">
        <v>0.9</v>
      </c>
      <c r="G244" s="13" t="s">
        <v>1279</v>
      </c>
    </row>
    <row r="245" spans="1:7" x14ac:dyDescent="0.3">
      <c r="A245" s="13" t="s">
        <v>1222</v>
      </c>
      <c r="B245" s="13" t="s">
        <v>301</v>
      </c>
      <c r="C245" s="13">
        <v>275</v>
      </c>
      <c r="D245" s="14">
        <v>93.929102880000002</v>
      </c>
      <c r="E245" s="13">
        <v>174000</v>
      </c>
      <c r="F245" s="13">
        <v>0.9</v>
      </c>
      <c r="G245" s="13" t="s">
        <v>1279</v>
      </c>
    </row>
    <row r="246" spans="1:7" x14ac:dyDescent="0.3">
      <c r="A246" s="13" t="s">
        <v>1223</v>
      </c>
      <c r="B246" s="13" t="s">
        <v>302</v>
      </c>
      <c r="C246" s="13">
        <v>113</v>
      </c>
      <c r="D246" s="14">
        <v>25.105375819999999</v>
      </c>
      <c r="E246" s="13">
        <v>48100</v>
      </c>
      <c r="F246" s="13">
        <v>0.9</v>
      </c>
      <c r="G246" s="13" t="s">
        <v>1279</v>
      </c>
    </row>
    <row r="247" spans="1:7" x14ac:dyDescent="0.3">
      <c r="A247" s="13" t="s">
        <v>1224</v>
      </c>
      <c r="B247" s="13" t="s">
        <v>303</v>
      </c>
      <c r="C247" s="13">
        <v>426</v>
      </c>
      <c r="D247" s="14">
        <v>49.819074919999998</v>
      </c>
      <c r="E247" s="13">
        <v>102000</v>
      </c>
      <c r="F247" s="13">
        <v>0.9</v>
      </c>
      <c r="G247" s="13" t="s">
        <v>1279</v>
      </c>
    </row>
    <row r="248" spans="1:7" x14ac:dyDescent="0.3">
      <c r="A248" s="13" t="s">
        <v>1225</v>
      </c>
      <c r="B248" s="13" t="s">
        <v>304</v>
      </c>
      <c r="C248" s="13">
        <v>398</v>
      </c>
      <c r="D248" s="14">
        <v>43.798652939999997</v>
      </c>
      <c r="E248" s="13">
        <v>90500</v>
      </c>
      <c r="F248" s="13">
        <v>0.9</v>
      </c>
      <c r="G248" s="13" t="s">
        <v>1279</v>
      </c>
    </row>
    <row r="249" spans="1:7" x14ac:dyDescent="0.3">
      <c r="A249" s="13" t="s">
        <v>1226</v>
      </c>
      <c r="B249" s="13" t="s">
        <v>305</v>
      </c>
      <c r="C249" s="13">
        <v>516</v>
      </c>
      <c r="D249" s="14">
        <v>64.313571069999995</v>
      </c>
      <c r="E249" s="13">
        <v>164000</v>
      </c>
      <c r="F249" s="13">
        <v>0.9</v>
      </c>
      <c r="G249" s="13" t="s">
        <v>1279</v>
      </c>
    </row>
    <row r="250" spans="1:7" x14ac:dyDescent="0.3">
      <c r="A250" s="13" t="s">
        <v>1227</v>
      </c>
      <c r="B250" s="13" t="s">
        <v>306</v>
      </c>
      <c r="C250" s="13">
        <v>136</v>
      </c>
      <c r="D250" s="14">
        <v>28.580889039999999</v>
      </c>
      <c r="E250" s="13">
        <v>54500</v>
      </c>
      <c r="F250" s="13">
        <v>0.9</v>
      </c>
      <c r="G250" s="13" t="s">
        <v>1279</v>
      </c>
    </row>
    <row r="251" spans="1:7" x14ac:dyDescent="0.3">
      <c r="A251" s="13" t="s">
        <v>1228</v>
      </c>
      <c r="B251" s="13" t="s">
        <v>307</v>
      </c>
      <c r="C251" s="13">
        <v>89</v>
      </c>
      <c r="D251" s="14">
        <v>17.242752450000001</v>
      </c>
      <c r="E251" s="13">
        <v>38600</v>
      </c>
      <c r="F251" s="13">
        <v>0.9</v>
      </c>
      <c r="G251" s="13" t="s">
        <v>1279</v>
      </c>
    </row>
    <row r="252" spans="1:7" x14ac:dyDescent="0.3">
      <c r="A252" s="13" t="s">
        <v>1229</v>
      </c>
      <c r="B252" s="13" t="s">
        <v>308</v>
      </c>
      <c r="C252" s="13">
        <v>331</v>
      </c>
      <c r="D252" s="14">
        <v>51.053646129999997</v>
      </c>
      <c r="E252" s="13">
        <v>122000</v>
      </c>
      <c r="F252" s="13">
        <v>0.9</v>
      </c>
      <c r="G252" s="13" t="s">
        <v>1279</v>
      </c>
    </row>
    <row r="253" spans="1:7" x14ac:dyDescent="0.3">
      <c r="A253" s="13" t="s">
        <v>1230</v>
      </c>
      <c r="B253" s="13" t="s">
        <v>309</v>
      </c>
      <c r="C253" s="13">
        <v>2582</v>
      </c>
      <c r="D253" s="14">
        <v>233.93978379999999</v>
      </c>
      <c r="E253" s="13">
        <v>493000</v>
      </c>
      <c r="F253" s="13">
        <v>0.9</v>
      </c>
      <c r="G253" s="13" t="s">
        <v>1279</v>
      </c>
    </row>
    <row r="254" spans="1:7" x14ac:dyDescent="0.3">
      <c r="A254" s="13" t="s">
        <v>1231</v>
      </c>
      <c r="B254" s="13" t="s">
        <v>311</v>
      </c>
      <c r="C254" s="13">
        <v>748</v>
      </c>
      <c r="D254" s="14">
        <v>140.34570389999999</v>
      </c>
      <c r="E254" s="13">
        <v>299000</v>
      </c>
      <c r="F254" s="13">
        <v>0.9</v>
      </c>
      <c r="G254" s="13" t="s">
        <v>1279</v>
      </c>
    </row>
    <row r="255" spans="1:7" x14ac:dyDescent="0.3">
      <c r="A255" s="13" t="s">
        <v>1232</v>
      </c>
      <c r="B255" s="13" t="s">
        <v>312</v>
      </c>
      <c r="C255" s="13">
        <v>682</v>
      </c>
      <c r="D255" s="14">
        <v>34.676203870000002</v>
      </c>
      <c r="E255" s="13">
        <v>651000</v>
      </c>
      <c r="F255" s="13">
        <v>0.9</v>
      </c>
      <c r="G255" s="13" t="s">
        <v>1279</v>
      </c>
    </row>
    <row r="256" spans="1:7" x14ac:dyDescent="0.3">
      <c r="A256" s="13" t="s">
        <v>1233</v>
      </c>
      <c r="B256" s="13" t="s">
        <v>313</v>
      </c>
      <c r="C256" s="13">
        <v>1167</v>
      </c>
      <c r="D256" s="14">
        <v>198.33603389999999</v>
      </c>
      <c r="E256" s="13">
        <v>385000</v>
      </c>
      <c r="F256" s="13">
        <v>0.9</v>
      </c>
      <c r="G256" s="13" t="s">
        <v>1279</v>
      </c>
    </row>
    <row r="257" spans="1:7" x14ac:dyDescent="0.3">
      <c r="A257" s="13" t="s">
        <v>1234</v>
      </c>
      <c r="B257" s="13" t="s">
        <v>314</v>
      </c>
      <c r="C257" s="13">
        <v>618</v>
      </c>
      <c r="D257" s="14">
        <v>104.4264622</v>
      </c>
      <c r="E257" s="13">
        <v>241000</v>
      </c>
      <c r="F257" s="13">
        <v>0.9</v>
      </c>
      <c r="G257" s="13" t="s">
        <v>1279</v>
      </c>
    </row>
    <row r="258" spans="1:7" x14ac:dyDescent="0.3">
      <c r="A258" s="13" t="s">
        <v>1235</v>
      </c>
      <c r="B258" s="13" t="s">
        <v>315</v>
      </c>
      <c r="C258" s="13">
        <v>781</v>
      </c>
      <c r="D258" s="14">
        <v>89.404824469999994</v>
      </c>
      <c r="E258" s="13">
        <v>181000</v>
      </c>
      <c r="F258" s="13">
        <v>0.9</v>
      </c>
      <c r="G258" s="13" t="s">
        <v>1279</v>
      </c>
    </row>
    <row r="259" spans="1:7" x14ac:dyDescent="0.3">
      <c r="A259" s="13" t="s">
        <v>1236</v>
      </c>
      <c r="B259" s="13" t="s">
        <v>316</v>
      </c>
      <c r="C259" s="13">
        <v>1073</v>
      </c>
      <c r="D259" s="14">
        <v>100.27829389999999</v>
      </c>
      <c r="E259" s="13">
        <v>215000</v>
      </c>
      <c r="F259" s="13">
        <v>0.9</v>
      </c>
      <c r="G259" s="13" t="s">
        <v>1279</v>
      </c>
    </row>
    <row r="260" spans="1:7" x14ac:dyDescent="0.3">
      <c r="A260" s="13" t="s">
        <v>1237</v>
      </c>
      <c r="B260" s="13" t="s">
        <v>317</v>
      </c>
      <c r="C260" s="13">
        <v>2116</v>
      </c>
      <c r="D260" s="14">
        <v>198.35118919999999</v>
      </c>
      <c r="E260" s="13">
        <v>434000</v>
      </c>
      <c r="F260" s="13">
        <v>0.9</v>
      </c>
      <c r="G260" s="13" t="s">
        <v>1279</v>
      </c>
    </row>
    <row r="261" spans="1:7" x14ac:dyDescent="0.3">
      <c r="A261" s="13" t="s">
        <v>1238</v>
      </c>
      <c r="B261" s="13" t="s">
        <v>318</v>
      </c>
      <c r="C261" s="13">
        <v>1063</v>
      </c>
      <c r="D261" s="14">
        <v>99.216075189999998</v>
      </c>
      <c r="E261" s="13">
        <v>219000</v>
      </c>
      <c r="F261" s="13">
        <v>0.9</v>
      </c>
      <c r="G261" s="13" t="s">
        <v>1279</v>
      </c>
    </row>
    <row r="262" spans="1:7" x14ac:dyDescent="0.3">
      <c r="A262" s="13" t="s">
        <v>1239</v>
      </c>
      <c r="B262" s="13" t="s">
        <v>319</v>
      </c>
      <c r="C262" s="13">
        <v>165</v>
      </c>
      <c r="D262" s="14">
        <v>33.186365070000001</v>
      </c>
      <c r="E262" s="13">
        <v>63100</v>
      </c>
      <c r="F262" s="13">
        <v>0.9</v>
      </c>
      <c r="G262" s="13" t="s">
        <v>1279</v>
      </c>
    </row>
    <row r="263" spans="1:7" x14ac:dyDescent="0.3">
      <c r="A263" s="13" t="s">
        <v>1240</v>
      </c>
      <c r="B263" s="13" t="s">
        <v>320</v>
      </c>
      <c r="C263" s="13">
        <v>129</v>
      </c>
      <c r="D263" s="14">
        <v>32.986500890000002</v>
      </c>
      <c r="E263" s="13">
        <v>62300</v>
      </c>
      <c r="F263" s="13">
        <v>0.9</v>
      </c>
      <c r="G263" s="13" t="s">
        <v>1279</v>
      </c>
    </row>
    <row r="264" spans="1:7" x14ac:dyDescent="0.3">
      <c r="A264" s="13" t="s">
        <v>1241</v>
      </c>
      <c r="B264" s="13" t="s">
        <v>321</v>
      </c>
      <c r="C264" s="13">
        <v>80</v>
      </c>
      <c r="D264" s="14">
        <v>31.680071779999999</v>
      </c>
      <c r="E264" s="13">
        <v>58300</v>
      </c>
      <c r="F264" s="13">
        <v>0.9</v>
      </c>
      <c r="G264" s="13" t="s">
        <v>1279</v>
      </c>
    </row>
    <row r="265" spans="1:7" x14ac:dyDescent="0.3">
      <c r="A265" s="13" t="s">
        <v>1242</v>
      </c>
      <c r="B265" s="13" t="s">
        <v>322</v>
      </c>
      <c r="C265" s="13">
        <v>1071</v>
      </c>
      <c r="D265" s="14">
        <v>126.0340793</v>
      </c>
      <c r="E265" s="13">
        <v>265000</v>
      </c>
      <c r="F265" s="13">
        <v>0.9</v>
      </c>
      <c r="G265" s="13" t="s">
        <v>1279</v>
      </c>
    </row>
    <row r="266" spans="1:7" x14ac:dyDescent="0.3">
      <c r="A266" s="13" t="s">
        <v>1243</v>
      </c>
      <c r="B266" s="13" t="s">
        <v>323</v>
      </c>
      <c r="C266" s="13">
        <v>109</v>
      </c>
      <c r="D266" s="14">
        <v>39.917703320000001</v>
      </c>
      <c r="E266" s="13">
        <v>73300</v>
      </c>
      <c r="F266" s="13">
        <v>0.9</v>
      </c>
      <c r="G266" s="13" t="s">
        <v>1279</v>
      </c>
    </row>
    <row r="267" spans="1:7" x14ac:dyDescent="0.3">
      <c r="A267" s="13" t="s">
        <v>1244</v>
      </c>
      <c r="B267" s="13" t="s">
        <v>324</v>
      </c>
      <c r="C267" s="13">
        <v>646</v>
      </c>
      <c r="D267" s="14">
        <v>89.800757250000004</v>
      </c>
      <c r="E267" s="13">
        <v>181000</v>
      </c>
      <c r="F267" s="13">
        <v>0.9</v>
      </c>
      <c r="G267" s="13" t="s">
        <v>1279</v>
      </c>
    </row>
    <row r="268" spans="1:7" x14ac:dyDescent="0.3">
      <c r="A268" s="13" t="s">
        <v>1245</v>
      </c>
      <c r="B268" s="13" t="s">
        <v>325</v>
      </c>
      <c r="C268" s="13">
        <v>453</v>
      </c>
      <c r="D268" s="14">
        <v>94.274050209999999</v>
      </c>
      <c r="E268" s="13">
        <v>202000</v>
      </c>
      <c r="F268" s="13">
        <v>0.9</v>
      </c>
      <c r="G268" s="13" t="s">
        <v>1279</v>
      </c>
    </row>
    <row r="269" spans="1:7" x14ac:dyDescent="0.3">
      <c r="A269" s="13" t="s">
        <v>1246</v>
      </c>
      <c r="B269" s="13" t="s">
        <v>326</v>
      </c>
      <c r="C269" s="13">
        <v>276</v>
      </c>
      <c r="D269" s="14">
        <v>43.143463330000003</v>
      </c>
      <c r="E269" s="13">
        <v>82800</v>
      </c>
      <c r="F269" s="13">
        <v>0.9</v>
      </c>
      <c r="G269" s="13" t="s">
        <v>1279</v>
      </c>
    </row>
    <row r="270" spans="1:7" x14ac:dyDescent="0.3">
      <c r="A270" s="13" t="s">
        <v>1247</v>
      </c>
      <c r="B270" s="13" t="s">
        <v>327</v>
      </c>
      <c r="C270" s="13">
        <v>580</v>
      </c>
      <c r="D270" s="14">
        <v>51.461091690000003</v>
      </c>
      <c r="E270" s="13">
        <v>113000</v>
      </c>
      <c r="F270" s="13">
        <v>0.9</v>
      </c>
      <c r="G270" s="13" t="s">
        <v>1279</v>
      </c>
    </row>
    <row r="271" spans="1:7" x14ac:dyDescent="0.3">
      <c r="A271" s="13" t="s">
        <v>1248</v>
      </c>
      <c r="B271" s="13" t="s">
        <v>328</v>
      </c>
      <c r="C271" s="13">
        <v>398</v>
      </c>
      <c r="D271" s="14">
        <v>68.308801270000004</v>
      </c>
      <c r="E271" s="13">
        <v>134000</v>
      </c>
      <c r="F271" s="13">
        <v>0.9</v>
      </c>
      <c r="G271" s="13" t="s">
        <v>1279</v>
      </c>
    </row>
    <row r="272" spans="1:7" x14ac:dyDescent="0.3">
      <c r="A272" s="13" t="s">
        <v>1249</v>
      </c>
      <c r="B272" s="13" t="s">
        <v>329</v>
      </c>
      <c r="C272" s="13">
        <v>612</v>
      </c>
      <c r="D272" s="14">
        <v>107.48198360000001</v>
      </c>
      <c r="E272" s="13">
        <v>238000</v>
      </c>
      <c r="F272" s="13">
        <v>0.9</v>
      </c>
      <c r="G272" s="13" t="s">
        <v>1279</v>
      </c>
    </row>
    <row r="273" spans="1:7" x14ac:dyDescent="0.3">
      <c r="A273" s="13" t="s">
        <v>1250</v>
      </c>
      <c r="B273" s="13" t="s">
        <v>330</v>
      </c>
      <c r="C273" s="13">
        <v>197</v>
      </c>
      <c r="D273" s="14">
        <v>30.2300483</v>
      </c>
      <c r="E273" s="13">
        <v>57100</v>
      </c>
      <c r="F273" s="13">
        <v>0.9</v>
      </c>
      <c r="G273" s="13" t="s">
        <v>1279</v>
      </c>
    </row>
    <row r="274" spans="1:7" x14ac:dyDescent="0.3">
      <c r="A274" s="13" t="s">
        <v>1251</v>
      </c>
      <c r="B274" s="13" t="s">
        <v>331</v>
      </c>
      <c r="C274" s="13">
        <v>575</v>
      </c>
      <c r="D274" s="14">
        <v>52.124035419999998</v>
      </c>
      <c r="E274" s="13">
        <v>148000</v>
      </c>
      <c r="F274" s="13">
        <v>0.9</v>
      </c>
      <c r="G274" s="13" t="s">
        <v>1279</v>
      </c>
    </row>
    <row r="275" spans="1:7" x14ac:dyDescent="0.3">
      <c r="A275" s="13" t="s">
        <v>1252</v>
      </c>
      <c r="B275" s="13" t="s">
        <v>332</v>
      </c>
      <c r="C275" s="13">
        <v>169</v>
      </c>
      <c r="D275" s="14">
        <v>44.55600811</v>
      </c>
      <c r="E275" s="13">
        <v>81800</v>
      </c>
      <c r="F275" s="13">
        <v>0.9</v>
      </c>
      <c r="G275" s="13" t="s">
        <v>1279</v>
      </c>
    </row>
    <row r="276" spans="1:7" x14ac:dyDescent="0.3">
      <c r="A276" s="13" t="s">
        <v>1253</v>
      </c>
      <c r="B276" s="13" t="s">
        <v>333</v>
      </c>
      <c r="C276" s="13">
        <v>552</v>
      </c>
      <c r="D276" s="14">
        <v>71.338945330000001</v>
      </c>
      <c r="E276" s="13">
        <v>141000</v>
      </c>
      <c r="F276" s="13">
        <v>0.9</v>
      </c>
      <c r="G276" s="13" t="s">
        <v>1279</v>
      </c>
    </row>
    <row r="277" spans="1:7" x14ac:dyDescent="0.3">
      <c r="A277" s="13" t="s">
        <v>1254</v>
      </c>
      <c r="B277" s="13" t="s">
        <v>334</v>
      </c>
      <c r="C277" s="13">
        <v>214</v>
      </c>
      <c r="D277" s="14">
        <v>37.42029454</v>
      </c>
      <c r="E277" s="13">
        <v>72300</v>
      </c>
      <c r="F277" s="13">
        <v>0.9</v>
      </c>
      <c r="G277" s="13" t="s">
        <v>1279</v>
      </c>
    </row>
    <row r="278" spans="1:7" x14ac:dyDescent="0.3">
      <c r="A278" s="13" t="s">
        <v>1255</v>
      </c>
      <c r="B278" s="13" t="s">
        <v>335</v>
      </c>
      <c r="C278" s="13">
        <v>268</v>
      </c>
      <c r="D278" s="14">
        <v>40.096689499999997</v>
      </c>
      <c r="E278" s="13">
        <v>82000</v>
      </c>
      <c r="F278" s="13">
        <v>0.9</v>
      </c>
      <c r="G278" s="13" t="s">
        <v>1279</v>
      </c>
    </row>
    <row r="279" spans="1:7" x14ac:dyDescent="0.3">
      <c r="A279" s="13" t="s">
        <v>1256</v>
      </c>
      <c r="B279" s="13" t="s">
        <v>336</v>
      </c>
      <c r="C279" s="13">
        <v>208</v>
      </c>
      <c r="D279" s="14">
        <v>31.604084360000002</v>
      </c>
      <c r="E279" s="13">
        <v>64800</v>
      </c>
      <c r="F279" s="13">
        <v>0.9</v>
      </c>
      <c r="G279" s="13" t="s">
        <v>1279</v>
      </c>
    </row>
    <row r="280" spans="1:7" x14ac:dyDescent="0.3">
      <c r="A280" s="13" t="s">
        <v>1257</v>
      </c>
      <c r="B280" s="13" t="s">
        <v>337</v>
      </c>
      <c r="C280" s="13">
        <v>434</v>
      </c>
      <c r="D280" s="14">
        <v>60.675622699999998</v>
      </c>
      <c r="E280" s="13">
        <v>148000</v>
      </c>
      <c r="F280" s="13">
        <v>0.9</v>
      </c>
      <c r="G280" s="13" t="s">
        <v>1279</v>
      </c>
    </row>
    <row r="281" spans="1:7" x14ac:dyDescent="0.3">
      <c r="A281" s="13" t="s">
        <v>1258</v>
      </c>
      <c r="B281" s="13" t="s">
        <v>338</v>
      </c>
      <c r="C281" s="13">
        <v>604</v>
      </c>
      <c r="D281" s="14">
        <v>96.14402776</v>
      </c>
      <c r="E281" s="13">
        <v>194000</v>
      </c>
      <c r="F281" s="13">
        <v>0.9</v>
      </c>
      <c r="G281" s="13" t="s">
        <v>1279</v>
      </c>
    </row>
    <row r="282" spans="1:7" x14ac:dyDescent="0.3">
      <c r="A282" s="13" t="s">
        <v>1259</v>
      </c>
      <c r="B282" s="13" t="s">
        <v>339</v>
      </c>
      <c r="C282" s="13">
        <v>195</v>
      </c>
      <c r="D282" s="14">
        <v>35.535683650000003</v>
      </c>
      <c r="E282" s="13">
        <v>68900</v>
      </c>
      <c r="F282" s="13">
        <v>0.9</v>
      </c>
      <c r="G282" s="13" t="s">
        <v>1279</v>
      </c>
    </row>
    <row r="283" spans="1:7" x14ac:dyDescent="0.3">
      <c r="A283" s="13" t="s">
        <v>1260</v>
      </c>
      <c r="B283" s="13" t="s">
        <v>340</v>
      </c>
      <c r="C283" s="13">
        <v>143</v>
      </c>
      <c r="D283" s="14">
        <v>44.479144060000003</v>
      </c>
      <c r="E283" s="13">
        <v>78400</v>
      </c>
      <c r="F283" s="13">
        <v>0.9</v>
      </c>
      <c r="G283" s="13" t="s">
        <v>1279</v>
      </c>
    </row>
    <row r="284" spans="1:7" x14ac:dyDescent="0.3">
      <c r="A284" s="13" t="s">
        <v>1261</v>
      </c>
      <c r="B284" s="13" t="s">
        <v>341</v>
      </c>
      <c r="C284" s="13">
        <v>663</v>
      </c>
      <c r="D284" s="14">
        <v>95.748858810000002</v>
      </c>
      <c r="E284" s="13">
        <v>232000</v>
      </c>
      <c r="F284" s="13">
        <v>0.9</v>
      </c>
      <c r="G284" s="13" t="s">
        <v>1279</v>
      </c>
    </row>
    <row r="285" spans="1:7" x14ac:dyDescent="0.3">
      <c r="A285" s="13" t="s">
        <v>1262</v>
      </c>
      <c r="B285" s="13" t="s">
        <v>342</v>
      </c>
      <c r="C285" s="13">
        <v>480</v>
      </c>
      <c r="D285" s="14">
        <v>107.006719</v>
      </c>
      <c r="E285" s="13">
        <v>202000</v>
      </c>
      <c r="F285" s="13">
        <v>0.9</v>
      </c>
      <c r="G285" s="13" t="s">
        <v>1279</v>
      </c>
    </row>
    <row r="286" spans="1:7" x14ac:dyDescent="0.3">
      <c r="A286" s="13" t="s">
        <v>1263</v>
      </c>
      <c r="B286" s="13" t="s">
        <v>343</v>
      </c>
      <c r="C286" s="13">
        <v>343</v>
      </c>
      <c r="D286" s="14">
        <v>64.917878329999994</v>
      </c>
      <c r="E286" s="13">
        <v>123000</v>
      </c>
      <c r="F286" s="13">
        <v>0.9</v>
      </c>
      <c r="G286" s="13" t="s">
        <v>1279</v>
      </c>
    </row>
    <row r="287" spans="1:7" x14ac:dyDescent="0.3">
      <c r="A287" s="13" t="s">
        <v>1264</v>
      </c>
      <c r="B287" s="13" t="s">
        <v>344</v>
      </c>
      <c r="C287" s="13">
        <v>137</v>
      </c>
      <c r="D287" s="14">
        <v>37.489846829999998</v>
      </c>
      <c r="E287" s="13">
        <v>76500</v>
      </c>
      <c r="F287" s="13">
        <v>0.9</v>
      </c>
      <c r="G287" s="13" t="s">
        <v>1279</v>
      </c>
    </row>
    <row r="288" spans="1:7" x14ac:dyDescent="0.3">
      <c r="A288" s="13" t="s">
        <v>1265</v>
      </c>
      <c r="B288" s="13" t="s">
        <v>345</v>
      </c>
      <c r="C288" s="13">
        <v>536</v>
      </c>
      <c r="D288" s="14">
        <v>98.654984479999996</v>
      </c>
      <c r="E288" s="13">
        <v>189000</v>
      </c>
      <c r="F288" s="13">
        <v>0.9</v>
      </c>
      <c r="G288" s="13" t="s">
        <v>1279</v>
      </c>
    </row>
    <row r="289" spans="1:7" x14ac:dyDescent="0.3">
      <c r="A289" s="13" t="s">
        <v>1266</v>
      </c>
      <c r="B289" s="13" t="s">
        <v>346</v>
      </c>
      <c r="C289" s="13">
        <v>464</v>
      </c>
      <c r="D289" s="14">
        <v>46.397831609999997</v>
      </c>
      <c r="E289" s="13">
        <v>123000</v>
      </c>
      <c r="F289" s="13">
        <v>0.9</v>
      </c>
      <c r="G289" s="13" t="s">
        <v>1279</v>
      </c>
    </row>
    <row r="290" spans="1:7" x14ac:dyDescent="0.3">
      <c r="A290" s="13" t="s">
        <v>1267</v>
      </c>
      <c r="B290" s="13" t="s">
        <v>347</v>
      </c>
      <c r="C290" s="13">
        <v>344</v>
      </c>
      <c r="D290" s="14">
        <v>84.773139720000003</v>
      </c>
      <c r="E290" s="13">
        <v>164000</v>
      </c>
      <c r="F290" s="13">
        <v>0.9</v>
      </c>
      <c r="G290" s="13" t="s">
        <v>1279</v>
      </c>
    </row>
    <row r="291" spans="1:7" x14ac:dyDescent="0.3">
      <c r="A291" s="13" t="s">
        <v>1268</v>
      </c>
      <c r="B291" s="13" t="s">
        <v>348</v>
      </c>
      <c r="C291" s="13">
        <v>463</v>
      </c>
      <c r="D291" s="14">
        <v>66.602073559999994</v>
      </c>
      <c r="E291" s="13">
        <v>162000</v>
      </c>
      <c r="F291" s="13">
        <v>0.9</v>
      </c>
      <c r="G291" s="13" t="s">
        <v>1279</v>
      </c>
    </row>
    <row r="292" spans="1:7" x14ac:dyDescent="0.3">
      <c r="A292" s="13" t="s">
        <v>1269</v>
      </c>
      <c r="B292" s="13" t="s">
        <v>349</v>
      </c>
      <c r="C292" s="13">
        <v>551</v>
      </c>
      <c r="D292" s="14">
        <v>65.163483720000002</v>
      </c>
      <c r="E292" s="13">
        <v>131000</v>
      </c>
      <c r="F292" s="13">
        <v>0.9</v>
      </c>
      <c r="G292" s="13" t="s">
        <v>1279</v>
      </c>
    </row>
    <row r="293" spans="1:7" x14ac:dyDescent="0.3">
      <c r="A293" s="13" t="s">
        <v>1270</v>
      </c>
      <c r="B293" s="13" t="s">
        <v>350</v>
      </c>
      <c r="C293" s="13">
        <v>151</v>
      </c>
      <c r="D293" s="14">
        <v>43.942646009999997</v>
      </c>
      <c r="E293" s="13">
        <v>88700</v>
      </c>
      <c r="F293" s="13">
        <v>0.9</v>
      </c>
      <c r="G293" s="13" t="s">
        <v>1279</v>
      </c>
    </row>
    <row r="294" spans="1:7" x14ac:dyDescent="0.3">
      <c r="A294" s="13" t="s">
        <v>1271</v>
      </c>
      <c r="B294" s="13" t="s">
        <v>351</v>
      </c>
      <c r="C294" s="13">
        <v>264</v>
      </c>
      <c r="D294" s="14">
        <v>76.647532620000007</v>
      </c>
      <c r="E294" s="13">
        <v>146000</v>
      </c>
      <c r="F294" s="13">
        <v>0.9</v>
      </c>
      <c r="G294" s="13" t="s">
        <v>1279</v>
      </c>
    </row>
    <row r="295" spans="1:7" x14ac:dyDescent="0.3">
      <c r="A295" s="13" t="s">
        <v>1272</v>
      </c>
      <c r="B295" s="13" t="s">
        <v>352</v>
      </c>
      <c r="C295" s="13">
        <v>103</v>
      </c>
      <c r="D295" s="14">
        <v>31.16241179</v>
      </c>
      <c r="E295" s="13">
        <v>57900</v>
      </c>
      <c r="F295" s="13">
        <v>0.9</v>
      </c>
      <c r="G295" s="13" t="s">
        <v>1279</v>
      </c>
    </row>
    <row r="296" spans="1:7" x14ac:dyDescent="0.3">
      <c r="A296" s="13" t="s">
        <v>1273</v>
      </c>
      <c r="B296" s="13" t="s">
        <v>353</v>
      </c>
      <c r="C296" s="13">
        <v>1466</v>
      </c>
      <c r="D296" s="14">
        <v>113.5571192</v>
      </c>
      <c r="E296" s="13">
        <v>253000</v>
      </c>
      <c r="F296" s="13">
        <v>0.9</v>
      </c>
      <c r="G296" s="13" t="s">
        <v>1279</v>
      </c>
    </row>
    <row r="297" spans="1:7" x14ac:dyDescent="0.3">
      <c r="A297" s="13" t="s">
        <v>1274</v>
      </c>
      <c r="B297" s="13" t="s">
        <v>354</v>
      </c>
      <c r="C297" s="13">
        <v>463</v>
      </c>
      <c r="D297" s="14">
        <v>61.264279899999998</v>
      </c>
      <c r="E297" s="13">
        <v>123000</v>
      </c>
      <c r="F297" s="13">
        <v>0.9</v>
      </c>
      <c r="G297" s="13" t="s">
        <v>1279</v>
      </c>
    </row>
    <row r="298" spans="1:7" x14ac:dyDescent="0.3">
      <c r="A298" s="13" t="s">
        <v>1275</v>
      </c>
      <c r="B298" s="13" t="s">
        <v>355</v>
      </c>
      <c r="C298" s="13">
        <v>113</v>
      </c>
      <c r="D298" s="14">
        <v>47.070858190000003</v>
      </c>
      <c r="E298" s="13">
        <v>85700</v>
      </c>
      <c r="F298" s="13">
        <v>0.9</v>
      </c>
      <c r="G298" s="13" t="s">
        <v>1279</v>
      </c>
    </row>
    <row r="299" spans="1:7" x14ac:dyDescent="0.3">
      <c r="A299" s="13" t="s">
        <v>1276</v>
      </c>
      <c r="B299" s="13" t="s">
        <v>356</v>
      </c>
      <c r="C299" s="13">
        <v>119</v>
      </c>
      <c r="D299" s="14">
        <v>32.64550826</v>
      </c>
      <c r="E299" s="13">
        <v>59900</v>
      </c>
      <c r="F299" s="13">
        <v>0.9</v>
      </c>
      <c r="G299" s="13" t="s">
        <v>1279</v>
      </c>
    </row>
    <row r="300" spans="1:7" x14ac:dyDescent="0.3">
      <c r="A300" s="13" t="s">
        <v>1277</v>
      </c>
      <c r="B300" s="13" t="s">
        <v>357</v>
      </c>
      <c r="C300" s="13">
        <v>746</v>
      </c>
      <c r="D300" s="14">
        <v>143.3609313</v>
      </c>
      <c r="E300" s="13">
        <v>306000</v>
      </c>
      <c r="F300" s="13">
        <v>0.9</v>
      </c>
      <c r="G300" s="13" t="s">
        <v>1279</v>
      </c>
    </row>
    <row r="301" spans="1:7" x14ac:dyDescent="0.3">
      <c r="A301" s="13" t="s">
        <v>1278</v>
      </c>
      <c r="B301" s="13" t="s">
        <v>358</v>
      </c>
      <c r="C301" s="13">
        <v>2700</v>
      </c>
      <c r="D301" s="14">
        <v>239.37286449999999</v>
      </c>
      <c r="E301" s="13">
        <v>520000</v>
      </c>
      <c r="F301" s="13">
        <v>0.9</v>
      </c>
      <c r="G301" s="13" t="s">
        <v>1279</v>
      </c>
    </row>
  </sheetData>
  <dataValidations count="1">
    <dataValidation type="list" allowBlank="1" showInputMessage="1" showErrorMessage="1" sqref="G2:G301" xr:uid="{C1E37811-9F34-4156-9261-293D86D98AAA}">
      <formula1>"Gas-blend, LPG, Biomethane, Hydrogen"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C5B60-FB94-474C-BE30-102AB4DBFE56}">
  <sheetPr codeName="Foglio4"/>
  <dimension ref="A1:N301"/>
  <sheetViews>
    <sheetView topLeftCell="A290" workbookViewId="0">
      <selection activeCell="A302" sqref="A302:XFD476"/>
    </sheetView>
  </sheetViews>
  <sheetFormatPr defaultRowHeight="14.4" x14ac:dyDescent="0.3"/>
  <cols>
    <col min="1" max="1" width="29.109375" bestFit="1" customWidth="1"/>
    <col min="2" max="2" width="12.5546875" bestFit="1" customWidth="1"/>
    <col min="3" max="3" width="20" bestFit="1" customWidth="1"/>
    <col min="4" max="4" width="18.33203125" bestFit="1" customWidth="1"/>
    <col min="5" max="5" width="30.33203125" bestFit="1" customWidth="1"/>
    <col min="6" max="6" width="24.109375" bestFit="1" customWidth="1"/>
    <col min="7" max="7" width="4.6640625" bestFit="1" customWidth="1"/>
    <col min="8" max="8" width="34.6640625" bestFit="1" customWidth="1"/>
    <col min="9" max="9" width="40.88671875" bestFit="1" customWidth="1"/>
    <col min="10" max="10" width="51.44140625" bestFit="1" customWidth="1"/>
    <col min="11" max="11" width="42.21875" bestFit="1" customWidth="1"/>
    <col min="12" max="12" width="38.88671875" bestFit="1" customWidth="1"/>
    <col min="13" max="13" width="42.77734375" bestFit="1" customWidth="1"/>
    <col min="14" max="14" width="47.44140625" bestFit="1" customWidth="1"/>
  </cols>
  <sheetData>
    <row r="1" spans="1:14" s="11" customFormat="1" ht="28.8" x14ac:dyDescent="0.3">
      <c r="A1" s="12" t="s">
        <v>359</v>
      </c>
      <c r="B1" s="12" t="s">
        <v>360</v>
      </c>
      <c r="C1" s="12" t="s">
        <v>35</v>
      </c>
      <c r="D1" s="12" t="s">
        <v>370</v>
      </c>
      <c r="E1" s="12" t="s">
        <v>371</v>
      </c>
      <c r="F1" s="12" t="s">
        <v>362</v>
      </c>
      <c r="G1" s="12" t="s">
        <v>372</v>
      </c>
      <c r="H1" s="12" t="s">
        <v>363</v>
      </c>
      <c r="I1" s="12" t="s">
        <v>364</v>
      </c>
      <c r="J1" s="12" t="s">
        <v>365</v>
      </c>
      <c r="K1" s="12" t="s">
        <v>366</v>
      </c>
      <c r="L1" s="12" t="s">
        <v>367</v>
      </c>
      <c r="M1" s="12" t="s">
        <v>368</v>
      </c>
      <c r="N1" s="12" t="s">
        <v>369</v>
      </c>
    </row>
    <row r="2" spans="1:14" x14ac:dyDescent="0.3">
      <c r="A2" s="13" t="s">
        <v>373</v>
      </c>
      <c r="B2" s="13" t="s">
        <v>48</v>
      </c>
      <c r="C2" s="13">
        <v>14742</v>
      </c>
      <c r="D2" s="13">
        <v>342.5</v>
      </c>
      <c r="E2" s="13">
        <f>F2/G2</f>
        <v>142571.42857142858</v>
      </c>
      <c r="F2" s="13">
        <v>499000</v>
      </c>
      <c r="G2" s="13">
        <v>3.5</v>
      </c>
      <c r="H2" s="13">
        <f>(F2/G2)-SUM(I2:N2)</f>
        <v>142571.42857142858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</row>
    <row r="3" spans="1:14" x14ac:dyDescent="0.3">
      <c r="A3" s="13" t="s">
        <v>374</v>
      </c>
      <c r="B3" s="13" t="s">
        <v>50</v>
      </c>
      <c r="C3" s="13">
        <v>2761</v>
      </c>
      <c r="D3" s="13">
        <v>96.8</v>
      </c>
      <c r="E3" s="13">
        <f t="shared" ref="E3:E66" si="0">F3/G3</f>
        <v>38000</v>
      </c>
      <c r="F3" s="13">
        <v>133000</v>
      </c>
      <c r="G3" s="13">
        <v>3.5</v>
      </c>
      <c r="H3" s="13">
        <f t="shared" ref="H3:H66" si="1">(F3/G3)-SUM(I3:N3)</f>
        <v>38000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</row>
    <row r="4" spans="1:14" x14ac:dyDescent="0.3">
      <c r="A4" s="13" t="s">
        <v>375</v>
      </c>
      <c r="B4" s="13" t="s">
        <v>52</v>
      </c>
      <c r="C4" s="13">
        <v>5178</v>
      </c>
      <c r="D4" s="13">
        <v>122.1</v>
      </c>
      <c r="E4" s="13">
        <f t="shared" si="0"/>
        <v>44285.714285714283</v>
      </c>
      <c r="F4" s="13">
        <v>155000</v>
      </c>
      <c r="G4" s="13">
        <v>3.5</v>
      </c>
      <c r="H4" s="13">
        <f t="shared" si="1"/>
        <v>44285.714285714283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</row>
    <row r="5" spans="1:14" x14ac:dyDescent="0.3">
      <c r="A5" s="13" t="s">
        <v>376</v>
      </c>
      <c r="B5" s="13" t="s">
        <v>53</v>
      </c>
      <c r="C5" s="13">
        <v>8816</v>
      </c>
      <c r="D5" s="13">
        <v>195.3</v>
      </c>
      <c r="E5" s="13">
        <f t="shared" si="0"/>
        <v>74000</v>
      </c>
      <c r="F5" s="13">
        <v>259000</v>
      </c>
      <c r="G5" s="13">
        <v>3.5</v>
      </c>
      <c r="H5" s="13">
        <f t="shared" si="1"/>
        <v>74000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</row>
    <row r="6" spans="1:14" x14ac:dyDescent="0.3">
      <c r="A6" s="13" t="s">
        <v>377</v>
      </c>
      <c r="B6" s="13" t="s">
        <v>56</v>
      </c>
      <c r="C6" s="13">
        <v>443</v>
      </c>
      <c r="D6" s="13">
        <v>13</v>
      </c>
      <c r="E6" s="13">
        <f t="shared" si="0"/>
        <v>4400</v>
      </c>
      <c r="F6" s="13">
        <v>15400</v>
      </c>
      <c r="G6" s="13">
        <v>3.5</v>
      </c>
      <c r="H6" s="13">
        <f t="shared" si="1"/>
        <v>4400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</row>
    <row r="7" spans="1:14" x14ac:dyDescent="0.3">
      <c r="A7" s="13" t="s">
        <v>378</v>
      </c>
      <c r="B7" s="13" t="s">
        <v>57</v>
      </c>
      <c r="C7" s="13">
        <v>367</v>
      </c>
      <c r="D7" s="13">
        <v>11.4</v>
      </c>
      <c r="E7" s="13">
        <f t="shared" si="0"/>
        <v>4542.8571428571431</v>
      </c>
      <c r="F7" s="13">
        <v>15900</v>
      </c>
      <c r="G7" s="13">
        <v>3.5</v>
      </c>
      <c r="H7" s="13">
        <f t="shared" si="1"/>
        <v>4542.8571428571431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</row>
    <row r="8" spans="1:14" x14ac:dyDescent="0.3">
      <c r="A8" s="13" t="s">
        <v>379</v>
      </c>
      <c r="B8" s="13" t="s">
        <v>59</v>
      </c>
      <c r="C8" s="13">
        <v>168</v>
      </c>
      <c r="D8" s="13">
        <v>7.6</v>
      </c>
      <c r="E8" s="13">
        <f t="shared" si="0"/>
        <v>2357.1428571428573</v>
      </c>
      <c r="F8" s="13">
        <v>8250</v>
      </c>
      <c r="G8" s="13">
        <v>3.5</v>
      </c>
      <c r="H8" s="13">
        <f t="shared" si="1"/>
        <v>2357.1428571428573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</row>
    <row r="9" spans="1:14" x14ac:dyDescent="0.3">
      <c r="A9" s="13" t="s">
        <v>380</v>
      </c>
      <c r="B9" s="13" t="s">
        <v>61</v>
      </c>
      <c r="C9" s="13">
        <v>252</v>
      </c>
      <c r="D9" s="13">
        <v>13.1</v>
      </c>
      <c r="E9" s="13">
        <f t="shared" si="0"/>
        <v>3514.2857142857142</v>
      </c>
      <c r="F9" s="13">
        <v>12300</v>
      </c>
      <c r="G9" s="13">
        <v>3.5</v>
      </c>
      <c r="H9" s="13">
        <f t="shared" si="1"/>
        <v>3514.2857142857142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</row>
    <row r="10" spans="1:14" x14ac:dyDescent="0.3">
      <c r="A10" s="13" t="s">
        <v>381</v>
      </c>
      <c r="B10" s="13" t="s">
        <v>62</v>
      </c>
      <c r="C10" s="13">
        <v>273</v>
      </c>
      <c r="D10" s="13">
        <v>7.8</v>
      </c>
      <c r="E10" s="13">
        <f t="shared" si="0"/>
        <v>2831.4285714285716</v>
      </c>
      <c r="F10" s="13">
        <v>9910</v>
      </c>
      <c r="G10" s="13">
        <v>3.5</v>
      </c>
      <c r="H10" s="13">
        <f t="shared" si="1"/>
        <v>2831.4285714285716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</row>
    <row r="11" spans="1:14" x14ac:dyDescent="0.3">
      <c r="A11" s="13" t="s">
        <v>382</v>
      </c>
      <c r="B11" s="13" t="s">
        <v>63</v>
      </c>
      <c r="C11" s="13">
        <v>804</v>
      </c>
      <c r="D11" s="13">
        <v>30.6</v>
      </c>
      <c r="E11" s="13">
        <f t="shared" si="0"/>
        <v>7257.1428571428569</v>
      </c>
      <c r="F11" s="13">
        <v>25400</v>
      </c>
      <c r="G11" s="13">
        <v>3.5</v>
      </c>
      <c r="H11" s="13">
        <f t="shared" si="1"/>
        <v>7257.1428571428569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</row>
    <row r="12" spans="1:14" x14ac:dyDescent="0.3">
      <c r="A12" s="13" t="s">
        <v>383</v>
      </c>
      <c r="B12" s="13" t="s">
        <v>64</v>
      </c>
      <c r="C12" s="13">
        <v>96</v>
      </c>
      <c r="D12" s="13">
        <v>4.5</v>
      </c>
      <c r="E12" s="13">
        <f t="shared" si="0"/>
        <v>1442.8571428571429</v>
      </c>
      <c r="F12" s="13">
        <v>5050</v>
      </c>
      <c r="G12" s="13">
        <v>3.5</v>
      </c>
      <c r="H12" s="13">
        <f t="shared" si="1"/>
        <v>1442.8571428571429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</row>
    <row r="13" spans="1:14" x14ac:dyDescent="0.3">
      <c r="A13" s="13" t="s">
        <v>384</v>
      </c>
      <c r="B13" s="13" t="s">
        <v>65</v>
      </c>
      <c r="C13" s="13">
        <v>223</v>
      </c>
      <c r="D13" s="13">
        <v>8.5</v>
      </c>
      <c r="E13" s="13">
        <f t="shared" si="0"/>
        <v>1588.5714285714287</v>
      </c>
      <c r="F13" s="13">
        <v>5560</v>
      </c>
      <c r="G13" s="13">
        <v>3.5</v>
      </c>
      <c r="H13" s="13">
        <f t="shared" si="1"/>
        <v>1588.5714285714287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</row>
    <row r="14" spans="1:14" x14ac:dyDescent="0.3">
      <c r="A14" s="13" t="s">
        <v>385</v>
      </c>
      <c r="B14" s="13" t="s">
        <v>66</v>
      </c>
      <c r="C14" s="13">
        <v>206</v>
      </c>
      <c r="D14" s="13">
        <v>9.4</v>
      </c>
      <c r="E14" s="13">
        <f t="shared" si="0"/>
        <v>2048.5714285714284</v>
      </c>
      <c r="F14" s="13">
        <v>7170</v>
      </c>
      <c r="G14" s="13">
        <v>3.5</v>
      </c>
      <c r="H14" s="13">
        <f t="shared" si="1"/>
        <v>2048.5714285714284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</row>
    <row r="15" spans="1:14" x14ac:dyDescent="0.3">
      <c r="A15" s="13" t="s">
        <v>386</v>
      </c>
      <c r="B15" s="13" t="s">
        <v>67</v>
      </c>
      <c r="C15" s="13">
        <v>284</v>
      </c>
      <c r="D15" s="13">
        <v>9.4</v>
      </c>
      <c r="E15" s="13">
        <f t="shared" si="0"/>
        <v>3000</v>
      </c>
      <c r="F15" s="13">
        <v>10500</v>
      </c>
      <c r="G15" s="13">
        <v>3.5</v>
      </c>
      <c r="H15" s="13">
        <f t="shared" si="1"/>
        <v>3000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</row>
    <row r="16" spans="1:14" x14ac:dyDescent="0.3">
      <c r="A16" s="13" t="s">
        <v>387</v>
      </c>
      <c r="B16" s="13" t="s">
        <v>68</v>
      </c>
      <c r="C16" s="13">
        <v>206</v>
      </c>
      <c r="D16" s="13">
        <v>13.3</v>
      </c>
      <c r="E16" s="13">
        <f t="shared" si="0"/>
        <v>3085.7142857142858</v>
      </c>
      <c r="F16" s="13">
        <v>10800</v>
      </c>
      <c r="G16" s="13">
        <v>3.5</v>
      </c>
      <c r="H16" s="13">
        <f t="shared" si="1"/>
        <v>3085.7142857142858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</row>
    <row r="17" spans="1:14" x14ac:dyDescent="0.3">
      <c r="A17" s="13" t="s">
        <v>388</v>
      </c>
      <c r="B17" s="13" t="s">
        <v>69</v>
      </c>
      <c r="C17" s="13">
        <v>513</v>
      </c>
      <c r="D17" s="13">
        <v>15.6</v>
      </c>
      <c r="E17" s="13">
        <f t="shared" si="0"/>
        <v>3171.4285714285716</v>
      </c>
      <c r="F17" s="13">
        <v>11100</v>
      </c>
      <c r="G17" s="13">
        <v>3.5</v>
      </c>
      <c r="H17" s="13">
        <f t="shared" si="1"/>
        <v>3171.4285714285716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</row>
    <row r="18" spans="1:14" x14ac:dyDescent="0.3">
      <c r="A18" s="13" t="s">
        <v>389</v>
      </c>
      <c r="B18" s="13" t="s">
        <v>70</v>
      </c>
      <c r="C18" s="13">
        <v>276</v>
      </c>
      <c r="D18" s="13">
        <v>10</v>
      </c>
      <c r="E18" s="13">
        <f t="shared" si="0"/>
        <v>2411.4285714285716</v>
      </c>
      <c r="F18" s="13">
        <v>8440</v>
      </c>
      <c r="G18" s="13">
        <v>3.5</v>
      </c>
      <c r="H18" s="13">
        <f t="shared" si="1"/>
        <v>2411.4285714285716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</row>
    <row r="19" spans="1:14" x14ac:dyDescent="0.3">
      <c r="A19" s="13" t="s">
        <v>390</v>
      </c>
      <c r="B19" s="13" t="s">
        <v>71</v>
      </c>
      <c r="C19" s="13">
        <v>379</v>
      </c>
      <c r="D19" s="13">
        <v>11.1</v>
      </c>
      <c r="E19" s="13">
        <f t="shared" si="0"/>
        <v>2454.2857142857142</v>
      </c>
      <c r="F19" s="13">
        <v>8590</v>
      </c>
      <c r="G19" s="13">
        <v>3.5</v>
      </c>
      <c r="H19" s="13">
        <f t="shared" si="1"/>
        <v>2454.2857142857142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</row>
    <row r="20" spans="1:14" x14ac:dyDescent="0.3">
      <c r="A20" s="13" t="s">
        <v>391</v>
      </c>
      <c r="B20" s="13" t="s">
        <v>72</v>
      </c>
      <c r="C20" s="13">
        <v>111</v>
      </c>
      <c r="D20" s="13">
        <v>6</v>
      </c>
      <c r="E20" s="13">
        <f t="shared" si="0"/>
        <v>2157.1428571428573</v>
      </c>
      <c r="F20" s="13">
        <v>7550</v>
      </c>
      <c r="G20" s="13">
        <v>3.5</v>
      </c>
      <c r="H20" s="13">
        <f t="shared" si="1"/>
        <v>2157.1428571428573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</row>
    <row r="21" spans="1:14" x14ac:dyDescent="0.3">
      <c r="A21" s="13" t="s">
        <v>392</v>
      </c>
      <c r="B21" s="13" t="s">
        <v>73</v>
      </c>
      <c r="C21" s="13">
        <v>530</v>
      </c>
      <c r="D21" s="13">
        <v>21.5</v>
      </c>
      <c r="E21" s="13">
        <f t="shared" si="0"/>
        <v>5485.7142857142853</v>
      </c>
      <c r="F21" s="13">
        <v>19200</v>
      </c>
      <c r="G21" s="13">
        <v>3.5</v>
      </c>
      <c r="H21" s="13">
        <f t="shared" si="1"/>
        <v>5485.7142857142853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</row>
    <row r="22" spans="1:14" x14ac:dyDescent="0.3">
      <c r="A22" s="13" t="s">
        <v>393</v>
      </c>
      <c r="B22" s="13" t="s">
        <v>74</v>
      </c>
      <c r="C22" s="13">
        <v>197</v>
      </c>
      <c r="D22" s="13">
        <v>8.8000000000000007</v>
      </c>
      <c r="E22" s="13">
        <f t="shared" si="0"/>
        <v>3171.4285714285716</v>
      </c>
      <c r="F22" s="13">
        <v>11100</v>
      </c>
      <c r="G22" s="13">
        <v>3.5</v>
      </c>
      <c r="H22" s="13">
        <f t="shared" si="1"/>
        <v>3171.4285714285716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</row>
    <row r="23" spans="1:14" x14ac:dyDescent="0.3">
      <c r="A23" s="13" t="s">
        <v>394</v>
      </c>
      <c r="B23" s="13" t="s">
        <v>75</v>
      </c>
      <c r="C23" s="13">
        <v>1086</v>
      </c>
      <c r="D23" s="13">
        <v>32.299999999999997</v>
      </c>
      <c r="E23" s="13">
        <f t="shared" si="0"/>
        <v>6200</v>
      </c>
      <c r="F23" s="13">
        <v>21700</v>
      </c>
      <c r="G23" s="13">
        <v>3.5</v>
      </c>
      <c r="H23" s="13">
        <f t="shared" si="1"/>
        <v>6200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</row>
    <row r="24" spans="1:14" x14ac:dyDescent="0.3">
      <c r="A24" s="13" t="s">
        <v>395</v>
      </c>
      <c r="B24" s="13" t="s">
        <v>76</v>
      </c>
      <c r="C24" s="13">
        <v>1104</v>
      </c>
      <c r="D24" s="13">
        <v>35.4</v>
      </c>
      <c r="E24" s="13">
        <f t="shared" si="0"/>
        <v>8057.1428571428569</v>
      </c>
      <c r="F24" s="13">
        <v>28200</v>
      </c>
      <c r="G24" s="13">
        <v>3.5</v>
      </c>
      <c r="H24" s="13">
        <f t="shared" si="1"/>
        <v>8057.1428571428569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</row>
    <row r="25" spans="1:14" x14ac:dyDescent="0.3">
      <c r="A25" s="13" t="s">
        <v>396</v>
      </c>
      <c r="B25" s="13" t="s">
        <v>77</v>
      </c>
      <c r="C25" s="13">
        <v>2999</v>
      </c>
      <c r="D25" s="13">
        <v>101.8</v>
      </c>
      <c r="E25" s="13">
        <f t="shared" si="0"/>
        <v>19628.571428571428</v>
      </c>
      <c r="F25" s="13">
        <v>68700</v>
      </c>
      <c r="G25" s="13">
        <v>3.5</v>
      </c>
      <c r="H25" s="13">
        <f t="shared" si="1"/>
        <v>19628.571428571428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4" x14ac:dyDescent="0.3">
      <c r="A26" s="13" t="s">
        <v>397</v>
      </c>
      <c r="B26" s="13" t="s">
        <v>78</v>
      </c>
      <c r="C26" s="13">
        <v>247</v>
      </c>
      <c r="D26" s="13">
        <v>9.3000000000000007</v>
      </c>
      <c r="E26" s="13">
        <f t="shared" si="0"/>
        <v>2317.1428571428573</v>
      </c>
      <c r="F26" s="13">
        <v>8110</v>
      </c>
      <c r="G26" s="13">
        <v>3.5</v>
      </c>
      <c r="H26" s="13">
        <f t="shared" si="1"/>
        <v>2317.1428571428573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</row>
    <row r="27" spans="1:14" x14ac:dyDescent="0.3">
      <c r="A27" s="13" t="s">
        <v>398</v>
      </c>
      <c r="B27" s="13" t="s">
        <v>79</v>
      </c>
      <c r="C27" s="13">
        <v>640</v>
      </c>
      <c r="D27" s="13">
        <v>18.399999999999999</v>
      </c>
      <c r="E27" s="13">
        <f t="shared" si="0"/>
        <v>6200</v>
      </c>
      <c r="F27" s="13">
        <v>21700</v>
      </c>
      <c r="G27" s="13">
        <v>3.5</v>
      </c>
      <c r="H27" s="13">
        <f t="shared" si="1"/>
        <v>6200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</row>
    <row r="28" spans="1:14" x14ac:dyDescent="0.3">
      <c r="A28" s="13" t="s">
        <v>399</v>
      </c>
      <c r="B28" s="13" t="s">
        <v>81</v>
      </c>
      <c r="C28" s="13">
        <v>396</v>
      </c>
      <c r="D28" s="13">
        <v>16.7</v>
      </c>
      <c r="E28" s="13">
        <f t="shared" si="0"/>
        <v>4000</v>
      </c>
      <c r="F28" s="13">
        <v>14000</v>
      </c>
      <c r="G28" s="13">
        <v>3.5</v>
      </c>
      <c r="H28" s="13">
        <f t="shared" si="1"/>
        <v>4000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</row>
    <row r="29" spans="1:14" x14ac:dyDescent="0.3">
      <c r="A29" s="13" t="s">
        <v>400</v>
      </c>
      <c r="B29" s="13" t="s">
        <v>82</v>
      </c>
      <c r="C29" s="13">
        <v>472</v>
      </c>
      <c r="D29" s="13">
        <v>14.1</v>
      </c>
      <c r="E29" s="13">
        <f t="shared" si="0"/>
        <v>2785.7142857142858</v>
      </c>
      <c r="F29" s="13">
        <v>9750</v>
      </c>
      <c r="G29" s="13">
        <v>3.5</v>
      </c>
      <c r="H29" s="13">
        <f t="shared" si="1"/>
        <v>2785.7142857142858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</row>
    <row r="30" spans="1:14" x14ac:dyDescent="0.3">
      <c r="A30" s="13" t="s">
        <v>401</v>
      </c>
      <c r="B30" s="13" t="s">
        <v>83</v>
      </c>
      <c r="C30" s="13">
        <v>601</v>
      </c>
      <c r="D30" s="13">
        <v>17.100000000000001</v>
      </c>
      <c r="E30" s="13">
        <f t="shared" si="0"/>
        <v>3142.8571428571427</v>
      </c>
      <c r="F30" s="13">
        <v>11000</v>
      </c>
      <c r="G30" s="13">
        <v>3.5</v>
      </c>
      <c r="H30" s="13">
        <f t="shared" si="1"/>
        <v>3142.8571428571427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</row>
    <row r="31" spans="1:14" x14ac:dyDescent="0.3">
      <c r="A31" s="13" t="s">
        <v>402</v>
      </c>
      <c r="B31" s="13" t="s">
        <v>84</v>
      </c>
      <c r="C31" s="13">
        <v>679</v>
      </c>
      <c r="D31" s="13">
        <v>28.2</v>
      </c>
      <c r="E31" s="13">
        <f t="shared" si="0"/>
        <v>6542.8571428571431</v>
      </c>
      <c r="F31" s="13">
        <v>22900</v>
      </c>
      <c r="G31" s="13">
        <v>3.5</v>
      </c>
      <c r="H31" s="13">
        <f t="shared" si="1"/>
        <v>6542.8571428571431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</row>
    <row r="32" spans="1:14" x14ac:dyDescent="0.3">
      <c r="A32" s="13" t="s">
        <v>403</v>
      </c>
      <c r="B32" s="13" t="s">
        <v>85</v>
      </c>
      <c r="C32" s="13">
        <v>249</v>
      </c>
      <c r="D32" s="13">
        <v>15</v>
      </c>
      <c r="E32" s="13">
        <f t="shared" si="0"/>
        <v>3942.8571428571427</v>
      </c>
      <c r="F32" s="13">
        <v>13800</v>
      </c>
      <c r="G32" s="13">
        <v>3.5</v>
      </c>
      <c r="H32" s="13">
        <f t="shared" si="1"/>
        <v>3942.8571428571427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</row>
    <row r="33" spans="1:14" x14ac:dyDescent="0.3">
      <c r="A33" s="13" t="s">
        <v>404</v>
      </c>
      <c r="B33" s="13" t="s">
        <v>86</v>
      </c>
      <c r="C33" s="13">
        <v>823</v>
      </c>
      <c r="D33" s="13">
        <v>28.2</v>
      </c>
      <c r="E33" s="13">
        <f t="shared" si="0"/>
        <v>5971.4285714285716</v>
      </c>
      <c r="F33" s="13">
        <v>20900</v>
      </c>
      <c r="G33" s="13">
        <v>3.5</v>
      </c>
      <c r="H33" s="13">
        <f t="shared" si="1"/>
        <v>5971.4285714285716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</row>
    <row r="34" spans="1:14" x14ac:dyDescent="0.3">
      <c r="A34" s="13" t="s">
        <v>405</v>
      </c>
      <c r="B34" s="13" t="s">
        <v>87</v>
      </c>
      <c r="C34" s="13">
        <v>89</v>
      </c>
      <c r="D34" s="13">
        <v>6.2</v>
      </c>
      <c r="E34" s="13">
        <f t="shared" si="0"/>
        <v>1654.2857142857142</v>
      </c>
      <c r="F34" s="13">
        <v>5790</v>
      </c>
      <c r="G34" s="13">
        <v>3.5</v>
      </c>
      <c r="H34" s="13">
        <f t="shared" si="1"/>
        <v>1654.2857142857142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</row>
    <row r="35" spans="1:14" x14ac:dyDescent="0.3">
      <c r="A35" s="13" t="s">
        <v>406</v>
      </c>
      <c r="B35" s="13" t="s">
        <v>88</v>
      </c>
      <c r="C35" s="13">
        <v>539</v>
      </c>
      <c r="D35" s="13">
        <v>22.9</v>
      </c>
      <c r="E35" s="13">
        <f t="shared" si="0"/>
        <v>5628.5714285714284</v>
      </c>
      <c r="F35" s="13">
        <v>19700</v>
      </c>
      <c r="G35" s="13">
        <v>3.5</v>
      </c>
      <c r="H35" s="13">
        <f t="shared" si="1"/>
        <v>5628.5714285714284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</row>
    <row r="36" spans="1:14" x14ac:dyDescent="0.3">
      <c r="A36" s="13" t="s">
        <v>407</v>
      </c>
      <c r="B36" s="13" t="s">
        <v>89</v>
      </c>
      <c r="C36" s="13">
        <v>339</v>
      </c>
      <c r="D36" s="13">
        <v>16.5</v>
      </c>
      <c r="E36" s="13">
        <f t="shared" si="0"/>
        <v>4342.8571428571431</v>
      </c>
      <c r="F36" s="13">
        <v>15200</v>
      </c>
      <c r="G36" s="13">
        <v>3.5</v>
      </c>
      <c r="H36" s="13">
        <f t="shared" si="1"/>
        <v>4342.8571428571431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</row>
    <row r="37" spans="1:14" x14ac:dyDescent="0.3">
      <c r="A37" s="13" t="s">
        <v>408</v>
      </c>
      <c r="B37" s="13" t="s">
        <v>90</v>
      </c>
      <c r="C37" s="13">
        <v>155</v>
      </c>
      <c r="D37" s="13">
        <v>10.5</v>
      </c>
      <c r="E37" s="13">
        <f t="shared" si="0"/>
        <v>2782.8571428571427</v>
      </c>
      <c r="F37" s="13">
        <v>9740</v>
      </c>
      <c r="G37" s="13">
        <v>3.5</v>
      </c>
      <c r="H37" s="13">
        <f t="shared" si="1"/>
        <v>2782.8571428571427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</row>
    <row r="38" spans="1:14" x14ac:dyDescent="0.3">
      <c r="A38" s="13" t="s">
        <v>409</v>
      </c>
      <c r="B38" s="13" t="s">
        <v>91</v>
      </c>
      <c r="C38" s="13">
        <v>1245</v>
      </c>
      <c r="D38" s="13">
        <v>37.5</v>
      </c>
      <c r="E38" s="13">
        <f t="shared" si="0"/>
        <v>6971.4285714285716</v>
      </c>
      <c r="F38" s="13">
        <v>24400</v>
      </c>
      <c r="G38" s="13">
        <v>3.5</v>
      </c>
      <c r="H38" s="13">
        <f t="shared" si="1"/>
        <v>6971.4285714285716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</row>
    <row r="39" spans="1:14" x14ac:dyDescent="0.3">
      <c r="A39" s="13" t="s">
        <v>410</v>
      </c>
      <c r="B39" s="13" t="s">
        <v>92</v>
      </c>
      <c r="C39" s="13">
        <v>349</v>
      </c>
      <c r="D39" s="13">
        <v>13</v>
      </c>
      <c r="E39" s="13">
        <f t="shared" si="0"/>
        <v>3114.2857142857142</v>
      </c>
      <c r="F39" s="13">
        <v>10900</v>
      </c>
      <c r="G39" s="13">
        <v>3.5</v>
      </c>
      <c r="H39" s="13">
        <f t="shared" si="1"/>
        <v>3114.2857142857142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</row>
    <row r="40" spans="1:14" x14ac:dyDescent="0.3">
      <c r="A40" s="13" t="s">
        <v>411</v>
      </c>
      <c r="B40" s="13" t="s">
        <v>93</v>
      </c>
      <c r="C40" s="13">
        <v>1050</v>
      </c>
      <c r="D40" s="13">
        <v>38.5</v>
      </c>
      <c r="E40" s="13">
        <f t="shared" si="0"/>
        <v>7885.7142857142853</v>
      </c>
      <c r="F40" s="13">
        <v>27600</v>
      </c>
      <c r="G40" s="13">
        <v>3.5</v>
      </c>
      <c r="H40" s="13">
        <f t="shared" si="1"/>
        <v>7885.7142857142853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</row>
    <row r="41" spans="1:14" x14ac:dyDescent="0.3">
      <c r="A41" s="13" t="s">
        <v>412</v>
      </c>
      <c r="B41" s="13" t="s">
        <v>94</v>
      </c>
      <c r="C41" s="13">
        <v>529</v>
      </c>
      <c r="D41" s="13">
        <v>20.100000000000001</v>
      </c>
      <c r="E41" s="13">
        <f t="shared" si="0"/>
        <v>4714.2857142857147</v>
      </c>
      <c r="F41" s="13">
        <v>16500</v>
      </c>
      <c r="G41" s="13">
        <v>3.5</v>
      </c>
      <c r="H41" s="13">
        <f t="shared" si="1"/>
        <v>4714.2857142857147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</row>
    <row r="42" spans="1:14" x14ac:dyDescent="0.3">
      <c r="A42" s="13" t="s">
        <v>413</v>
      </c>
      <c r="B42" s="13" t="s">
        <v>95</v>
      </c>
      <c r="C42" s="13">
        <v>116</v>
      </c>
      <c r="D42" s="13">
        <v>8.6999999999999993</v>
      </c>
      <c r="E42" s="13">
        <f t="shared" si="0"/>
        <v>2405.7142857142858</v>
      </c>
      <c r="F42" s="13">
        <v>8420</v>
      </c>
      <c r="G42" s="13">
        <v>3.5</v>
      </c>
      <c r="H42" s="13">
        <f t="shared" si="1"/>
        <v>2405.7142857142858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</row>
    <row r="43" spans="1:14" x14ac:dyDescent="0.3">
      <c r="A43" s="13" t="s">
        <v>414</v>
      </c>
      <c r="B43" s="13" t="s">
        <v>96</v>
      </c>
      <c r="C43" s="13">
        <v>293</v>
      </c>
      <c r="D43" s="13">
        <v>11.4</v>
      </c>
      <c r="E43" s="13">
        <f t="shared" si="0"/>
        <v>2537.1428571428573</v>
      </c>
      <c r="F43" s="13">
        <v>8880</v>
      </c>
      <c r="G43" s="13">
        <v>3.5</v>
      </c>
      <c r="H43" s="13">
        <f t="shared" si="1"/>
        <v>2537.1428571428573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</row>
    <row r="44" spans="1:14" x14ac:dyDescent="0.3">
      <c r="A44" s="13" t="s">
        <v>415</v>
      </c>
      <c r="B44" s="13" t="s">
        <v>97</v>
      </c>
      <c r="C44" s="13">
        <v>182</v>
      </c>
      <c r="D44" s="13">
        <v>8.6</v>
      </c>
      <c r="E44" s="13">
        <f t="shared" si="0"/>
        <v>2182.8571428571427</v>
      </c>
      <c r="F44" s="13">
        <v>7640</v>
      </c>
      <c r="G44" s="13">
        <v>3.5</v>
      </c>
      <c r="H44" s="13">
        <f t="shared" si="1"/>
        <v>2182.8571428571427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</row>
    <row r="45" spans="1:14" x14ac:dyDescent="0.3">
      <c r="A45" s="13" t="s">
        <v>416</v>
      </c>
      <c r="B45" s="13" t="s">
        <v>99</v>
      </c>
      <c r="C45" s="13">
        <v>106</v>
      </c>
      <c r="D45" s="13">
        <v>6.3</v>
      </c>
      <c r="E45" s="13">
        <f t="shared" si="0"/>
        <v>1265.7142857142858</v>
      </c>
      <c r="F45" s="13">
        <v>4430</v>
      </c>
      <c r="G45" s="13">
        <v>3.5</v>
      </c>
      <c r="H45" s="13">
        <f t="shared" si="1"/>
        <v>1265.7142857142858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</row>
    <row r="46" spans="1:14" x14ac:dyDescent="0.3">
      <c r="A46" s="13" t="s">
        <v>417</v>
      </c>
      <c r="B46" s="13" t="s">
        <v>100</v>
      </c>
      <c r="C46" s="13">
        <v>213</v>
      </c>
      <c r="D46" s="13">
        <v>9.6999999999999993</v>
      </c>
      <c r="E46" s="13">
        <f t="shared" si="0"/>
        <v>2374.2857142857142</v>
      </c>
      <c r="F46" s="13">
        <v>8310</v>
      </c>
      <c r="G46" s="13">
        <v>3.5</v>
      </c>
      <c r="H46" s="13">
        <f t="shared" si="1"/>
        <v>2374.2857142857142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</row>
    <row r="47" spans="1:14" x14ac:dyDescent="0.3">
      <c r="A47" s="13" t="s">
        <v>418</v>
      </c>
      <c r="B47" s="13" t="s">
        <v>101</v>
      </c>
      <c r="C47" s="13">
        <v>276</v>
      </c>
      <c r="D47" s="13">
        <v>9.1999999999999993</v>
      </c>
      <c r="E47" s="13">
        <f t="shared" si="0"/>
        <v>3714.2857142857142</v>
      </c>
      <c r="F47" s="13">
        <v>13000</v>
      </c>
      <c r="G47" s="13">
        <v>3.5</v>
      </c>
      <c r="H47" s="13">
        <f t="shared" si="1"/>
        <v>3714.2857142857142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</row>
    <row r="48" spans="1:14" x14ac:dyDescent="0.3">
      <c r="A48" s="13" t="s">
        <v>419</v>
      </c>
      <c r="B48" s="13" t="s">
        <v>103</v>
      </c>
      <c r="C48" s="13">
        <v>1440</v>
      </c>
      <c r="D48" s="13">
        <v>35</v>
      </c>
      <c r="E48" s="13">
        <f t="shared" si="0"/>
        <v>14485.714285714286</v>
      </c>
      <c r="F48" s="13">
        <v>50700</v>
      </c>
      <c r="G48" s="13">
        <v>3.5</v>
      </c>
      <c r="H48" s="13">
        <f t="shared" si="1"/>
        <v>14485.714285714286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</row>
    <row r="49" spans="1:14" x14ac:dyDescent="0.3">
      <c r="A49" s="13" t="s">
        <v>420</v>
      </c>
      <c r="B49" s="13" t="s">
        <v>105</v>
      </c>
      <c r="C49" s="13">
        <v>1431</v>
      </c>
      <c r="D49" s="13">
        <v>149.6</v>
      </c>
      <c r="E49" s="13">
        <f t="shared" si="0"/>
        <v>124571.42857142857</v>
      </c>
      <c r="F49" s="13">
        <v>436000</v>
      </c>
      <c r="G49" s="13">
        <v>3.5</v>
      </c>
      <c r="H49" s="13">
        <f t="shared" si="1"/>
        <v>124571.42857142857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3">
      <c r="A50" s="13" t="s">
        <v>421</v>
      </c>
      <c r="B50" s="13" t="s">
        <v>106</v>
      </c>
      <c r="C50" s="13">
        <v>540</v>
      </c>
      <c r="D50" s="13">
        <v>19.5</v>
      </c>
      <c r="E50" s="13">
        <f t="shared" si="0"/>
        <v>4657.1428571428569</v>
      </c>
      <c r="F50" s="13">
        <v>16300</v>
      </c>
      <c r="G50" s="13">
        <v>3.5</v>
      </c>
      <c r="H50" s="13">
        <f t="shared" si="1"/>
        <v>4657.1428571428569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</row>
    <row r="51" spans="1:14" x14ac:dyDescent="0.3">
      <c r="A51" s="13" t="s">
        <v>422</v>
      </c>
      <c r="B51" s="13" t="s">
        <v>107</v>
      </c>
      <c r="C51" s="13">
        <v>94</v>
      </c>
      <c r="D51" s="13">
        <v>4.9000000000000004</v>
      </c>
      <c r="E51" s="13">
        <f t="shared" si="0"/>
        <v>1302.8571428571429</v>
      </c>
      <c r="F51" s="13">
        <v>4560</v>
      </c>
      <c r="G51" s="13">
        <v>3.5</v>
      </c>
      <c r="H51" s="13">
        <f t="shared" si="1"/>
        <v>1302.8571428571429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</row>
    <row r="52" spans="1:14" x14ac:dyDescent="0.3">
      <c r="A52" s="13" t="s">
        <v>423</v>
      </c>
      <c r="B52" s="13" t="s">
        <v>108</v>
      </c>
      <c r="C52" s="13">
        <v>288</v>
      </c>
      <c r="D52" s="13">
        <v>13</v>
      </c>
      <c r="E52" s="13">
        <f t="shared" si="0"/>
        <v>2600</v>
      </c>
      <c r="F52" s="13">
        <v>9100</v>
      </c>
      <c r="G52" s="13">
        <v>3.5</v>
      </c>
      <c r="H52" s="13">
        <f t="shared" si="1"/>
        <v>2600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</row>
    <row r="53" spans="1:14" x14ac:dyDescent="0.3">
      <c r="A53" s="13" t="s">
        <v>424</v>
      </c>
      <c r="B53" s="13" t="s">
        <v>109</v>
      </c>
      <c r="C53" s="13">
        <v>996</v>
      </c>
      <c r="D53" s="13">
        <v>29.1</v>
      </c>
      <c r="E53" s="13">
        <f t="shared" si="0"/>
        <v>11428.571428571429</v>
      </c>
      <c r="F53" s="13">
        <v>40000</v>
      </c>
      <c r="G53" s="13">
        <v>3.5</v>
      </c>
      <c r="H53" s="13">
        <f t="shared" si="1"/>
        <v>11428.571428571429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</row>
    <row r="54" spans="1:14" x14ac:dyDescent="0.3">
      <c r="A54" s="13" t="s">
        <v>425</v>
      </c>
      <c r="B54" s="13" t="s">
        <v>110</v>
      </c>
      <c r="C54" s="13">
        <v>95</v>
      </c>
      <c r="D54" s="13">
        <v>4.7</v>
      </c>
      <c r="E54" s="13">
        <f t="shared" si="0"/>
        <v>1057.1428571428571</v>
      </c>
      <c r="F54" s="13">
        <v>3700</v>
      </c>
      <c r="G54" s="13">
        <v>3.5</v>
      </c>
      <c r="H54" s="13">
        <f t="shared" si="1"/>
        <v>1057.1428571428571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</row>
    <row r="55" spans="1:14" x14ac:dyDescent="0.3">
      <c r="A55" s="13" t="s">
        <v>426</v>
      </c>
      <c r="B55" s="13" t="s">
        <v>111</v>
      </c>
      <c r="C55" s="13">
        <v>1832</v>
      </c>
      <c r="D55" s="13">
        <v>61.2</v>
      </c>
      <c r="E55" s="13">
        <f t="shared" si="0"/>
        <v>12742.857142857143</v>
      </c>
      <c r="F55" s="13">
        <v>44600</v>
      </c>
      <c r="G55" s="13">
        <v>3.5</v>
      </c>
      <c r="H55" s="13">
        <f t="shared" si="1"/>
        <v>12742.857142857143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</row>
    <row r="56" spans="1:14" x14ac:dyDescent="0.3">
      <c r="A56" s="13" t="s">
        <v>427</v>
      </c>
      <c r="B56" s="13" t="s">
        <v>112</v>
      </c>
      <c r="C56" s="13">
        <v>996</v>
      </c>
      <c r="D56" s="13">
        <v>28.4</v>
      </c>
      <c r="E56" s="13">
        <f t="shared" si="0"/>
        <v>6171.4285714285716</v>
      </c>
      <c r="F56" s="13">
        <v>21600</v>
      </c>
      <c r="G56" s="13">
        <v>3.5</v>
      </c>
      <c r="H56" s="13">
        <f t="shared" si="1"/>
        <v>6171.4285714285716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</row>
    <row r="57" spans="1:14" x14ac:dyDescent="0.3">
      <c r="A57" s="13" t="s">
        <v>428</v>
      </c>
      <c r="B57" s="13" t="s">
        <v>113</v>
      </c>
      <c r="C57" s="13">
        <v>572</v>
      </c>
      <c r="D57" s="13">
        <v>21.3</v>
      </c>
      <c r="E57" s="13">
        <f t="shared" si="0"/>
        <v>5342.8571428571431</v>
      </c>
      <c r="F57" s="13">
        <v>18700</v>
      </c>
      <c r="G57" s="13">
        <v>3.5</v>
      </c>
      <c r="H57" s="13">
        <f t="shared" si="1"/>
        <v>5342.8571428571431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</row>
    <row r="58" spans="1:14" x14ac:dyDescent="0.3">
      <c r="A58" s="13" t="s">
        <v>429</v>
      </c>
      <c r="B58" s="13" t="s">
        <v>114</v>
      </c>
      <c r="C58" s="13">
        <v>116</v>
      </c>
      <c r="D58" s="13">
        <v>7.3</v>
      </c>
      <c r="E58" s="13">
        <f t="shared" si="0"/>
        <v>1982.8571428571429</v>
      </c>
      <c r="F58" s="13">
        <v>6940</v>
      </c>
      <c r="G58" s="13">
        <v>3.5</v>
      </c>
      <c r="H58" s="13">
        <f t="shared" si="1"/>
        <v>1982.8571428571429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</row>
    <row r="59" spans="1:14" x14ac:dyDescent="0.3">
      <c r="A59" s="13" t="s">
        <v>430</v>
      </c>
      <c r="B59" s="13" t="s">
        <v>115</v>
      </c>
      <c r="C59" s="13">
        <v>738</v>
      </c>
      <c r="D59" s="13">
        <v>20.6</v>
      </c>
      <c r="E59" s="13">
        <f t="shared" si="0"/>
        <v>7971.4285714285716</v>
      </c>
      <c r="F59" s="13">
        <v>27900</v>
      </c>
      <c r="G59" s="13">
        <v>3.5</v>
      </c>
      <c r="H59" s="13">
        <f t="shared" si="1"/>
        <v>7971.4285714285716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3">
      <c r="A60" s="13" t="s">
        <v>431</v>
      </c>
      <c r="B60" s="13" t="s">
        <v>116</v>
      </c>
      <c r="C60" s="13">
        <v>1728</v>
      </c>
      <c r="D60" s="13">
        <v>55.7</v>
      </c>
      <c r="E60" s="13">
        <f t="shared" si="0"/>
        <v>10485.714285714286</v>
      </c>
      <c r="F60" s="13">
        <v>36700</v>
      </c>
      <c r="G60" s="13">
        <v>3.5</v>
      </c>
      <c r="H60" s="13">
        <f t="shared" si="1"/>
        <v>10485.714285714286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3">
      <c r="A61" s="13" t="s">
        <v>432</v>
      </c>
      <c r="B61" s="13" t="s">
        <v>117</v>
      </c>
      <c r="C61" s="13">
        <v>345</v>
      </c>
      <c r="D61" s="13">
        <v>17.5</v>
      </c>
      <c r="E61" s="13">
        <f t="shared" si="0"/>
        <v>4657.1428571428569</v>
      </c>
      <c r="F61" s="13">
        <v>16300</v>
      </c>
      <c r="G61" s="13">
        <v>3.5</v>
      </c>
      <c r="H61" s="13">
        <f t="shared" si="1"/>
        <v>4657.1428571428569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3">
      <c r="A62" s="13" t="s">
        <v>433</v>
      </c>
      <c r="B62" s="13" t="s">
        <v>118</v>
      </c>
      <c r="C62" s="13">
        <v>507</v>
      </c>
      <c r="D62" s="13">
        <v>10.8</v>
      </c>
      <c r="E62" s="13">
        <f t="shared" si="0"/>
        <v>4285.7142857142853</v>
      </c>
      <c r="F62" s="13">
        <v>15000</v>
      </c>
      <c r="G62" s="13">
        <v>3.5</v>
      </c>
      <c r="H62" s="13">
        <f t="shared" si="1"/>
        <v>4285.7142857142853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3">
      <c r="A63" s="13" t="s">
        <v>434</v>
      </c>
      <c r="B63" s="13" t="s">
        <v>119</v>
      </c>
      <c r="C63" s="13">
        <v>191</v>
      </c>
      <c r="D63" s="13">
        <v>7.4</v>
      </c>
      <c r="E63" s="13">
        <f t="shared" si="0"/>
        <v>2914.2857142857142</v>
      </c>
      <c r="F63" s="13">
        <v>10200</v>
      </c>
      <c r="G63" s="13">
        <v>3.5</v>
      </c>
      <c r="H63" s="13">
        <f t="shared" si="1"/>
        <v>2914.2857142857142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3">
      <c r="A64" s="13" t="s">
        <v>435</v>
      </c>
      <c r="B64" s="13" t="s">
        <v>120</v>
      </c>
      <c r="C64" s="13">
        <v>231</v>
      </c>
      <c r="D64" s="13">
        <v>12.6</v>
      </c>
      <c r="E64" s="13">
        <f t="shared" si="0"/>
        <v>3000</v>
      </c>
      <c r="F64" s="13">
        <v>10500</v>
      </c>
      <c r="G64" s="13">
        <v>3.5</v>
      </c>
      <c r="H64" s="13">
        <f t="shared" si="1"/>
        <v>3000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3">
      <c r="A65" s="13" t="s">
        <v>436</v>
      </c>
      <c r="B65" s="13" t="s">
        <v>121</v>
      </c>
      <c r="C65" s="13">
        <v>857</v>
      </c>
      <c r="D65" s="13">
        <v>30.7</v>
      </c>
      <c r="E65" s="13">
        <f t="shared" si="0"/>
        <v>6942.8571428571431</v>
      </c>
      <c r="F65" s="13">
        <v>24300</v>
      </c>
      <c r="G65" s="13">
        <v>3.5</v>
      </c>
      <c r="H65" s="13">
        <f t="shared" si="1"/>
        <v>6942.8571428571431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3">
      <c r="A66" s="13" t="s">
        <v>437</v>
      </c>
      <c r="B66" s="13" t="s">
        <v>122</v>
      </c>
      <c r="C66" s="13">
        <v>321</v>
      </c>
      <c r="D66" s="13">
        <v>14.3</v>
      </c>
      <c r="E66" s="13">
        <f t="shared" si="0"/>
        <v>3542.8571428571427</v>
      </c>
      <c r="F66" s="13">
        <v>12400</v>
      </c>
      <c r="G66" s="13">
        <v>3.5</v>
      </c>
      <c r="H66" s="13">
        <f t="shared" si="1"/>
        <v>3542.8571428571427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3">
      <c r="A67" s="13" t="s">
        <v>438</v>
      </c>
      <c r="B67" s="13" t="s">
        <v>123</v>
      </c>
      <c r="C67" s="13">
        <v>712</v>
      </c>
      <c r="D67" s="13">
        <v>28</v>
      </c>
      <c r="E67" s="13">
        <f t="shared" ref="E67:E130" si="2">F67/G67</f>
        <v>6657.1428571428569</v>
      </c>
      <c r="F67" s="13">
        <v>23300</v>
      </c>
      <c r="G67" s="13">
        <v>3.5</v>
      </c>
      <c r="H67" s="13">
        <f t="shared" ref="H67:H130" si="3">(F67/G67)-SUM(I67:N67)</f>
        <v>6657.1428571428569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3">
      <c r="A68" s="13" t="s">
        <v>439</v>
      </c>
      <c r="B68" s="13" t="s">
        <v>124</v>
      </c>
      <c r="C68" s="13">
        <v>502</v>
      </c>
      <c r="D68" s="13">
        <v>16.399999999999999</v>
      </c>
      <c r="E68" s="13">
        <f t="shared" si="2"/>
        <v>3600</v>
      </c>
      <c r="F68" s="13">
        <v>12600</v>
      </c>
      <c r="G68" s="13">
        <v>3.5</v>
      </c>
      <c r="H68" s="13">
        <f t="shared" si="3"/>
        <v>3600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3">
      <c r="A69" s="13" t="s">
        <v>440</v>
      </c>
      <c r="B69" s="13" t="s">
        <v>125</v>
      </c>
      <c r="C69" s="13">
        <v>850</v>
      </c>
      <c r="D69" s="13">
        <v>20.6</v>
      </c>
      <c r="E69" s="13">
        <f t="shared" si="2"/>
        <v>8457.1428571428569</v>
      </c>
      <c r="F69" s="13">
        <v>29600</v>
      </c>
      <c r="G69" s="13">
        <v>3.5</v>
      </c>
      <c r="H69" s="13">
        <f t="shared" si="3"/>
        <v>8457.1428571428569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3">
      <c r="A70" s="13" t="s">
        <v>441</v>
      </c>
      <c r="B70" s="13" t="s">
        <v>126</v>
      </c>
      <c r="C70" s="13">
        <v>763</v>
      </c>
      <c r="D70" s="13">
        <v>26.4</v>
      </c>
      <c r="E70" s="13">
        <f t="shared" si="2"/>
        <v>5371.4285714285716</v>
      </c>
      <c r="F70" s="13">
        <v>18800</v>
      </c>
      <c r="G70" s="13">
        <v>3.5</v>
      </c>
      <c r="H70" s="13">
        <f t="shared" si="3"/>
        <v>5371.4285714285716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3">
      <c r="A71" s="13" t="s">
        <v>442</v>
      </c>
      <c r="B71" s="13" t="s">
        <v>127</v>
      </c>
      <c r="C71" s="13">
        <v>126</v>
      </c>
      <c r="D71" s="13">
        <v>7.3</v>
      </c>
      <c r="E71" s="13">
        <f t="shared" si="2"/>
        <v>1557.1428571428571</v>
      </c>
      <c r="F71" s="13">
        <v>5450</v>
      </c>
      <c r="G71" s="13">
        <v>3.5</v>
      </c>
      <c r="H71" s="13">
        <f t="shared" si="3"/>
        <v>1557.1428571428571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3">
      <c r="A72" s="13" t="s">
        <v>443</v>
      </c>
      <c r="B72" s="13" t="s">
        <v>128</v>
      </c>
      <c r="C72" s="13">
        <v>1790</v>
      </c>
      <c r="D72" s="13">
        <v>49.2</v>
      </c>
      <c r="E72" s="13">
        <f t="shared" si="2"/>
        <v>17028.571428571428</v>
      </c>
      <c r="F72" s="13">
        <v>59600</v>
      </c>
      <c r="G72" s="13">
        <v>3.5</v>
      </c>
      <c r="H72" s="13">
        <f t="shared" si="3"/>
        <v>17028.571428571428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3">
      <c r="A73" s="13" t="s">
        <v>444</v>
      </c>
      <c r="B73" s="13" t="s">
        <v>129</v>
      </c>
      <c r="C73" s="13">
        <v>195</v>
      </c>
      <c r="D73" s="13">
        <v>9.5</v>
      </c>
      <c r="E73" s="13">
        <f t="shared" si="2"/>
        <v>3342.8571428571427</v>
      </c>
      <c r="F73" s="13">
        <v>11700</v>
      </c>
      <c r="G73" s="13">
        <v>3.5</v>
      </c>
      <c r="H73" s="13">
        <f t="shared" si="3"/>
        <v>3342.8571428571427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3">
      <c r="A74" s="13" t="s">
        <v>445</v>
      </c>
      <c r="B74" s="13" t="s">
        <v>130</v>
      </c>
      <c r="C74" s="13">
        <v>325</v>
      </c>
      <c r="D74" s="13">
        <v>18.100000000000001</v>
      </c>
      <c r="E74" s="13">
        <f t="shared" si="2"/>
        <v>4914.2857142857147</v>
      </c>
      <c r="F74" s="13">
        <v>17200</v>
      </c>
      <c r="G74" s="13">
        <v>3.5</v>
      </c>
      <c r="H74" s="13">
        <f t="shared" si="3"/>
        <v>4914.2857142857147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3">
      <c r="A75" s="13" t="s">
        <v>446</v>
      </c>
      <c r="B75" s="13" t="s">
        <v>131</v>
      </c>
      <c r="C75" s="13">
        <v>238</v>
      </c>
      <c r="D75" s="13">
        <v>9.3000000000000007</v>
      </c>
      <c r="E75" s="13">
        <f t="shared" si="2"/>
        <v>1774.2857142857142</v>
      </c>
      <c r="F75" s="13">
        <v>6210</v>
      </c>
      <c r="G75" s="13">
        <v>3.5</v>
      </c>
      <c r="H75" s="13">
        <f t="shared" si="3"/>
        <v>1774.2857142857142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3">
      <c r="A76" s="13" t="s">
        <v>447</v>
      </c>
      <c r="B76" s="13" t="s">
        <v>132</v>
      </c>
      <c r="C76" s="13">
        <v>175</v>
      </c>
      <c r="D76" s="13">
        <v>6</v>
      </c>
      <c r="E76" s="13">
        <f t="shared" si="2"/>
        <v>2374.2857142857142</v>
      </c>
      <c r="F76" s="13">
        <v>8310</v>
      </c>
      <c r="G76" s="13">
        <v>3.5</v>
      </c>
      <c r="H76" s="13">
        <f t="shared" si="3"/>
        <v>2374.2857142857142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3">
      <c r="A77" s="13" t="s">
        <v>448</v>
      </c>
      <c r="B77" s="13" t="s">
        <v>133</v>
      </c>
      <c r="C77" s="13">
        <v>1455</v>
      </c>
      <c r="D77" s="13">
        <v>42.6</v>
      </c>
      <c r="E77" s="13">
        <f t="shared" si="2"/>
        <v>7885.7142857142853</v>
      </c>
      <c r="F77" s="13">
        <v>27600</v>
      </c>
      <c r="G77" s="13">
        <v>3.5</v>
      </c>
      <c r="H77" s="13">
        <f t="shared" si="3"/>
        <v>7885.7142857142853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3">
      <c r="A78" s="13" t="s">
        <v>449</v>
      </c>
      <c r="B78" s="13" t="s">
        <v>134</v>
      </c>
      <c r="C78" s="13">
        <v>958</v>
      </c>
      <c r="D78" s="13">
        <v>29.3</v>
      </c>
      <c r="E78" s="13">
        <f t="shared" si="2"/>
        <v>11114.285714285714</v>
      </c>
      <c r="F78" s="13">
        <v>38900</v>
      </c>
      <c r="G78" s="13">
        <v>3.5</v>
      </c>
      <c r="H78" s="13">
        <f t="shared" si="3"/>
        <v>11114.285714285714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3">
      <c r="A79" s="13" t="s">
        <v>450</v>
      </c>
      <c r="B79" s="13" t="s">
        <v>135</v>
      </c>
      <c r="C79" s="13">
        <v>1072</v>
      </c>
      <c r="D79" s="13">
        <v>30.2</v>
      </c>
      <c r="E79" s="13">
        <f t="shared" si="2"/>
        <v>11571.428571428571</v>
      </c>
      <c r="F79" s="13">
        <v>40500</v>
      </c>
      <c r="G79" s="13">
        <v>3.5</v>
      </c>
      <c r="H79" s="13">
        <f t="shared" si="3"/>
        <v>11571.428571428571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3">
      <c r="A80" s="13" t="s">
        <v>451</v>
      </c>
      <c r="B80" s="13" t="s">
        <v>136</v>
      </c>
      <c r="C80" s="13">
        <v>254</v>
      </c>
      <c r="D80" s="13">
        <v>10</v>
      </c>
      <c r="E80" s="13">
        <f t="shared" si="2"/>
        <v>2245.7142857142858</v>
      </c>
      <c r="F80" s="13">
        <v>7860</v>
      </c>
      <c r="G80" s="13">
        <v>3.5</v>
      </c>
      <c r="H80" s="13">
        <f t="shared" si="3"/>
        <v>2245.7142857142858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3">
      <c r="A81" s="13" t="s">
        <v>452</v>
      </c>
      <c r="B81" s="13" t="s">
        <v>137</v>
      </c>
      <c r="C81" s="13">
        <v>898</v>
      </c>
      <c r="D81" s="13">
        <v>26.9</v>
      </c>
      <c r="E81" s="13">
        <f t="shared" si="2"/>
        <v>10514.285714285714</v>
      </c>
      <c r="F81" s="13">
        <v>36800</v>
      </c>
      <c r="G81" s="13">
        <v>3.5</v>
      </c>
      <c r="H81" s="13">
        <f t="shared" si="3"/>
        <v>10514.285714285714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</row>
    <row r="82" spans="1:14" x14ac:dyDescent="0.3">
      <c r="A82" s="13" t="s">
        <v>453</v>
      </c>
      <c r="B82" s="13" t="s">
        <v>138</v>
      </c>
      <c r="C82" s="13">
        <v>598</v>
      </c>
      <c r="D82" s="13">
        <v>26.7</v>
      </c>
      <c r="E82" s="13">
        <f t="shared" si="2"/>
        <v>8685.7142857142862</v>
      </c>
      <c r="F82" s="13">
        <v>30400</v>
      </c>
      <c r="G82" s="13">
        <v>3.5</v>
      </c>
      <c r="H82" s="13">
        <f t="shared" si="3"/>
        <v>8685.7142857142862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</row>
    <row r="83" spans="1:14" x14ac:dyDescent="0.3">
      <c r="A83" s="13" t="s">
        <v>454</v>
      </c>
      <c r="B83" s="13" t="s">
        <v>139</v>
      </c>
      <c r="C83" s="13">
        <v>427</v>
      </c>
      <c r="D83" s="13">
        <v>15.3</v>
      </c>
      <c r="E83" s="13">
        <f t="shared" si="2"/>
        <v>3085.7142857142858</v>
      </c>
      <c r="F83" s="13">
        <v>10800</v>
      </c>
      <c r="G83" s="13">
        <v>3.5</v>
      </c>
      <c r="H83" s="13">
        <f t="shared" si="3"/>
        <v>3085.7142857142858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</row>
    <row r="84" spans="1:14" x14ac:dyDescent="0.3">
      <c r="A84" s="13" t="s">
        <v>455</v>
      </c>
      <c r="B84" s="13" t="s">
        <v>140</v>
      </c>
      <c r="C84" s="13">
        <v>382</v>
      </c>
      <c r="D84" s="13">
        <v>12.3</v>
      </c>
      <c r="E84" s="13">
        <f t="shared" si="2"/>
        <v>4885.7142857142853</v>
      </c>
      <c r="F84" s="13">
        <v>17100</v>
      </c>
      <c r="G84" s="13">
        <v>3.5</v>
      </c>
      <c r="H84" s="13">
        <f t="shared" si="3"/>
        <v>4885.7142857142853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</row>
    <row r="85" spans="1:14" x14ac:dyDescent="0.3">
      <c r="A85" s="13" t="s">
        <v>456</v>
      </c>
      <c r="B85" s="13" t="s">
        <v>141</v>
      </c>
      <c r="C85" s="13">
        <v>566</v>
      </c>
      <c r="D85" s="13">
        <v>24.6</v>
      </c>
      <c r="E85" s="13">
        <f t="shared" si="2"/>
        <v>6457.1428571428569</v>
      </c>
      <c r="F85" s="13">
        <v>22600</v>
      </c>
      <c r="G85" s="13">
        <v>3.5</v>
      </c>
      <c r="H85" s="13">
        <f t="shared" si="3"/>
        <v>6457.1428571428569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</row>
    <row r="86" spans="1:14" x14ac:dyDescent="0.3">
      <c r="A86" s="13" t="s">
        <v>457</v>
      </c>
      <c r="B86" s="13" t="s">
        <v>142</v>
      </c>
      <c r="C86" s="13">
        <v>651</v>
      </c>
      <c r="D86" s="13">
        <v>21.6</v>
      </c>
      <c r="E86" s="13">
        <f t="shared" si="2"/>
        <v>7000</v>
      </c>
      <c r="F86" s="13">
        <v>24500</v>
      </c>
      <c r="G86" s="13">
        <v>3.5</v>
      </c>
      <c r="H86" s="13">
        <f t="shared" si="3"/>
        <v>7000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</row>
    <row r="87" spans="1:14" x14ac:dyDescent="0.3">
      <c r="A87" s="13" t="s">
        <v>458</v>
      </c>
      <c r="B87" s="13" t="s">
        <v>143</v>
      </c>
      <c r="C87" s="13">
        <v>201</v>
      </c>
      <c r="D87" s="13">
        <v>9.8000000000000007</v>
      </c>
      <c r="E87" s="13">
        <f t="shared" si="2"/>
        <v>2202.8571428571427</v>
      </c>
      <c r="F87" s="13">
        <v>7710</v>
      </c>
      <c r="G87" s="13">
        <v>3.5</v>
      </c>
      <c r="H87" s="13">
        <f t="shared" si="3"/>
        <v>2202.8571428571427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</row>
    <row r="88" spans="1:14" x14ac:dyDescent="0.3">
      <c r="A88" s="13" t="s">
        <v>459</v>
      </c>
      <c r="B88" s="13" t="s">
        <v>144</v>
      </c>
      <c r="C88" s="13">
        <v>262</v>
      </c>
      <c r="D88" s="13">
        <v>10</v>
      </c>
      <c r="E88" s="13">
        <f t="shared" si="2"/>
        <v>2125.7142857142858</v>
      </c>
      <c r="F88" s="13">
        <v>7440</v>
      </c>
      <c r="G88" s="13">
        <v>3.5</v>
      </c>
      <c r="H88" s="13">
        <f t="shared" si="3"/>
        <v>2125.7142857142858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3">
      <c r="A89" s="13" t="s">
        <v>460</v>
      </c>
      <c r="B89" s="13" t="s">
        <v>145</v>
      </c>
      <c r="C89" s="13">
        <v>2698</v>
      </c>
      <c r="D89" s="13">
        <v>73.7</v>
      </c>
      <c r="E89" s="13">
        <f t="shared" si="2"/>
        <v>29428.571428571428</v>
      </c>
      <c r="F89" s="13">
        <v>103000</v>
      </c>
      <c r="G89" s="13">
        <v>3.5</v>
      </c>
      <c r="H89" s="13">
        <f t="shared" si="3"/>
        <v>29428.571428571428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3">
      <c r="A90" s="13" t="s">
        <v>461</v>
      </c>
      <c r="B90" s="13" t="s">
        <v>146</v>
      </c>
      <c r="C90" s="13">
        <v>502</v>
      </c>
      <c r="D90" s="13">
        <v>16.899999999999999</v>
      </c>
      <c r="E90" s="13">
        <f t="shared" si="2"/>
        <v>6857.1428571428569</v>
      </c>
      <c r="F90" s="13">
        <v>24000</v>
      </c>
      <c r="G90" s="13">
        <v>3.5</v>
      </c>
      <c r="H90" s="13">
        <f t="shared" si="3"/>
        <v>6857.1428571428569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3">
      <c r="A91" s="13" t="s">
        <v>462</v>
      </c>
      <c r="B91" s="13" t="s">
        <v>147</v>
      </c>
      <c r="C91" s="13">
        <v>1594</v>
      </c>
      <c r="D91" s="13">
        <v>57.8</v>
      </c>
      <c r="E91" s="13">
        <f t="shared" si="2"/>
        <v>11714.285714285714</v>
      </c>
      <c r="F91" s="13">
        <v>41000</v>
      </c>
      <c r="G91" s="13">
        <v>3.5</v>
      </c>
      <c r="H91" s="13">
        <f t="shared" si="3"/>
        <v>11714.285714285714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3">
      <c r="A92" s="13" t="s">
        <v>463</v>
      </c>
      <c r="B92" s="13" t="s">
        <v>148</v>
      </c>
      <c r="C92" s="13">
        <v>216</v>
      </c>
      <c r="D92" s="13">
        <v>22.6</v>
      </c>
      <c r="E92" s="13">
        <f t="shared" si="2"/>
        <v>19428.571428571428</v>
      </c>
      <c r="F92" s="13">
        <v>68000</v>
      </c>
      <c r="G92" s="13">
        <v>3.5</v>
      </c>
      <c r="H92" s="13">
        <f t="shared" si="3"/>
        <v>19428.571428571428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3">
      <c r="A93" s="13" t="s">
        <v>464</v>
      </c>
      <c r="B93" s="13" t="s">
        <v>149</v>
      </c>
      <c r="C93" s="13">
        <v>129</v>
      </c>
      <c r="D93" s="13">
        <v>6.4</v>
      </c>
      <c r="E93" s="13">
        <f t="shared" si="2"/>
        <v>1460</v>
      </c>
      <c r="F93" s="13">
        <v>5110</v>
      </c>
      <c r="G93" s="13">
        <v>3.5</v>
      </c>
      <c r="H93" s="13">
        <f t="shared" si="3"/>
        <v>1460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3">
      <c r="A94" s="13" t="s">
        <v>465</v>
      </c>
      <c r="B94" s="13" t="s">
        <v>150</v>
      </c>
      <c r="C94" s="13">
        <v>368</v>
      </c>
      <c r="D94" s="13">
        <v>19.5</v>
      </c>
      <c r="E94" s="13">
        <f t="shared" si="2"/>
        <v>4428.5714285714284</v>
      </c>
      <c r="F94" s="13">
        <v>15500</v>
      </c>
      <c r="G94" s="13">
        <v>3.5</v>
      </c>
      <c r="H94" s="13">
        <f t="shared" si="3"/>
        <v>4428.5714285714284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3">
      <c r="A95" s="13" t="s">
        <v>466</v>
      </c>
      <c r="B95" s="13" t="s">
        <v>151</v>
      </c>
      <c r="C95" s="13">
        <v>142</v>
      </c>
      <c r="D95" s="13">
        <v>7.2</v>
      </c>
      <c r="E95" s="13">
        <f t="shared" si="2"/>
        <v>2234.2857142857142</v>
      </c>
      <c r="F95" s="13">
        <v>7820</v>
      </c>
      <c r="G95" s="13">
        <v>3.5</v>
      </c>
      <c r="H95" s="13">
        <f t="shared" si="3"/>
        <v>2234.2857142857142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3">
      <c r="A96" s="13" t="s">
        <v>467</v>
      </c>
      <c r="B96" s="13" t="s">
        <v>152</v>
      </c>
      <c r="C96" s="13">
        <v>1292</v>
      </c>
      <c r="D96" s="13">
        <v>48.4</v>
      </c>
      <c r="E96" s="13">
        <f t="shared" si="2"/>
        <v>10028.571428571429</v>
      </c>
      <c r="F96" s="13">
        <v>35100</v>
      </c>
      <c r="G96" s="13">
        <v>3.5</v>
      </c>
      <c r="H96" s="13">
        <f t="shared" si="3"/>
        <v>10028.571428571429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3">
      <c r="A97" s="13" t="s">
        <v>468</v>
      </c>
      <c r="B97" s="13" t="s">
        <v>153</v>
      </c>
      <c r="C97" s="13">
        <v>1719</v>
      </c>
      <c r="D97" s="13">
        <v>59.7</v>
      </c>
      <c r="E97" s="13">
        <f t="shared" si="2"/>
        <v>11342.857142857143</v>
      </c>
      <c r="F97" s="13">
        <v>39700</v>
      </c>
      <c r="G97" s="13">
        <v>3.5</v>
      </c>
      <c r="H97" s="13">
        <f t="shared" si="3"/>
        <v>11342.857142857143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</row>
    <row r="98" spans="1:14" x14ac:dyDescent="0.3">
      <c r="A98" s="13" t="s">
        <v>469</v>
      </c>
      <c r="B98" s="13" t="s">
        <v>154</v>
      </c>
      <c r="C98" s="13">
        <v>1704</v>
      </c>
      <c r="D98" s="13">
        <v>43.4</v>
      </c>
      <c r="E98" s="13">
        <f t="shared" si="2"/>
        <v>15514.285714285714</v>
      </c>
      <c r="F98" s="13">
        <v>54300</v>
      </c>
      <c r="G98" s="13">
        <v>3.5</v>
      </c>
      <c r="H98" s="13">
        <f t="shared" si="3"/>
        <v>15514.285714285714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3">
      <c r="A99" s="13" t="s">
        <v>470</v>
      </c>
      <c r="B99" s="13" t="s">
        <v>155</v>
      </c>
      <c r="C99" s="13">
        <v>3061</v>
      </c>
      <c r="D99" s="13">
        <v>81.599999999999994</v>
      </c>
      <c r="E99" s="13">
        <f t="shared" si="2"/>
        <v>32857.142857142855</v>
      </c>
      <c r="F99" s="13">
        <v>115000</v>
      </c>
      <c r="G99" s="13">
        <v>3.5</v>
      </c>
      <c r="H99" s="13">
        <f t="shared" si="3"/>
        <v>32857.142857142855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3">
      <c r="A100" s="13" t="s">
        <v>471</v>
      </c>
      <c r="B100" s="13" t="s">
        <v>156</v>
      </c>
      <c r="C100" s="13">
        <v>3519</v>
      </c>
      <c r="D100" s="13">
        <v>73.099999999999994</v>
      </c>
      <c r="E100" s="13">
        <f t="shared" si="2"/>
        <v>27714.285714285714</v>
      </c>
      <c r="F100" s="13">
        <v>97000</v>
      </c>
      <c r="G100" s="13">
        <v>3.5</v>
      </c>
      <c r="H100" s="13">
        <f t="shared" si="3"/>
        <v>27714.285714285714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3">
      <c r="A101" s="13" t="s">
        <v>472</v>
      </c>
      <c r="B101" s="13" t="s">
        <v>157</v>
      </c>
      <c r="C101" s="13">
        <v>648</v>
      </c>
      <c r="D101" s="13">
        <v>20</v>
      </c>
      <c r="E101" s="13">
        <f t="shared" si="2"/>
        <v>8171.4285714285716</v>
      </c>
      <c r="F101" s="13">
        <v>28600</v>
      </c>
      <c r="G101" s="13">
        <v>3.5</v>
      </c>
      <c r="H101" s="13">
        <f t="shared" si="3"/>
        <v>8171.4285714285716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3">
      <c r="A102" s="13" t="s">
        <v>473</v>
      </c>
      <c r="B102" s="13" t="s">
        <v>158</v>
      </c>
      <c r="C102" s="13">
        <v>698</v>
      </c>
      <c r="D102" s="13">
        <v>62.9</v>
      </c>
      <c r="E102" s="13">
        <f t="shared" si="2"/>
        <v>61142.857142857145</v>
      </c>
      <c r="F102" s="13">
        <v>214000</v>
      </c>
      <c r="G102" s="13">
        <v>3.5</v>
      </c>
      <c r="H102" s="13">
        <f t="shared" si="3"/>
        <v>61142.857142857145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3">
      <c r="A103" s="13" t="s">
        <v>474</v>
      </c>
      <c r="B103" s="13" t="s">
        <v>159</v>
      </c>
      <c r="C103" s="13">
        <v>343</v>
      </c>
      <c r="D103" s="13">
        <v>14.9</v>
      </c>
      <c r="E103" s="13">
        <f t="shared" si="2"/>
        <v>3200</v>
      </c>
      <c r="F103" s="13">
        <v>11200</v>
      </c>
      <c r="G103" s="13">
        <v>3.5</v>
      </c>
      <c r="H103" s="13">
        <f t="shared" si="3"/>
        <v>3200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</row>
    <row r="104" spans="1:14" x14ac:dyDescent="0.3">
      <c r="A104" s="13" t="s">
        <v>475</v>
      </c>
      <c r="B104" s="13" t="s">
        <v>160</v>
      </c>
      <c r="C104" s="13">
        <v>516</v>
      </c>
      <c r="D104" s="13">
        <v>18.399999999999999</v>
      </c>
      <c r="E104" s="13">
        <f t="shared" si="2"/>
        <v>3828.5714285714284</v>
      </c>
      <c r="F104" s="13">
        <v>13400</v>
      </c>
      <c r="G104" s="13">
        <v>3.5</v>
      </c>
      <c r="H104" s="13">
        <f t="shared" si="3"/>
        <v>3828.5714285714284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</row>
    <row r="105" spans="1:14" x14ac:dyDescent="0.3">
      <c r="A105" s="13" t="s">
        <v>476</v>
      </c>
      <c r="B105" s="13" t="s">
        <v>161</v>
      </c>
      <c r="C105" s="13">
        <v>662</v>
      </c>
      <c r="D105" s="13">
        <v>22</v>
      </c>
      <c r="E105" s="13">
        <f t="shared" si="2"/>
        <v>8571.4285714285706</v>
      </c>
      <c r="F105" s="13">
        <v>30000</v>
      </c>
      <c r="G105" s="13">
        <v>3.5</v>
      </c>
      <c r="H105" s="13">
        <f t="shared" si="3"/>
        <v>8571.4285714285706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</row>
    <row r="106" spans="1:14" x14ac:dyDescent="0.3">
      <c r="A106" s="13" t="s">
        <v>477</v>
      </c>
      <c r="B106" s="13" t="s">
        <v>162</v>
      </c>
      <c r="C106" s="13">
        <v>704</v>
      </c>
      <c r="D106" s="13">
        <v>24.2</v>
      </c>
      <c r="E106" s="13">
        <f t="shared" si="2"/>
        <v>4828.5714285714284</v>
      </c>
      <c r="F106" s="13">
        <v>16900</v>
      </c>
      <c r="G106" s="13">
        <v>3.5</v>
      </c>
      <c r="H106" s="13">
        <f t="shared" si="3"/>
        <v>4828.5714285714284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</row>
    <row r="107" spans="1:14" x14ac:dyDescent="0.3">
      <c r="A107" s="13" t="s">
        <v>478</v>
      </c>
      <c r="B107" s="13" t="s">
        <v>163</v>
      </c>
      <c r="C107" s="13">
        <v>1101</v>
      </c>
      <c r="D107" s="13">
        <v>25.4</v>
      </c>
      <c r="E107" s="13">
        <f t="shared" si="2"/>
        <v>9771.4285714285706</v>
      </c>
      <c r="F107" s="13">
        <v>34200</v>
      </c>
      <c r="G107" s="13">
        <v>3.5</v>
      </c>
      <c r="H107" s="13">
        <f t="shared" si="3"/>
        <v>9771.4285714285706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x14ac:dyDescent="0.3">
      <c r="A108" s="13" t="s">
        <v>479</v>
      </c>
      <c r="B108" s="13" t="s">
        <v>164</v>
      </c>
      <c r="C108" s="13">
        <v>376</v>
      </c>
      <c r="D108" s="13">
        <v>20.399999999999999</v>
      </c>
      <c r="E108" s="13">
        <f t="shared" si="2"/>
        <v>5514.2857142857147</v>
      </c>
      <c r="F108" s="13">
        <v>19300</v>
      </c>
      <c r="G108" s="13">
        <v>3.5</v>
      </c>
      <c r="H108" s="13">
        <f t="shared" si="3"/>
        <v>5514.2857142857147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x14ac:dyDescent="0.3">
      <c r="A109" s="13" t="s">
        <v>480</v>
      </c>
      <c r="B109" s="13" t="s">
        <v>165</v>
      </c>
      <c r="C109" s="13">
        <v>1039</v>
      </c>
      <c r="D109" s="13">
        <v>36.200000000000003</v>
      </c>
      <c r="E109" s="13">
        <f t="shared" si="2"/>
        <v>7085.7142857142853</v>
      </c>
      <c r="F109" s="13">
        <v>24800</v>
      </c>
      <c r="G109" s="13">
        <v>3.5</v>
      </c>
      <c r="H109" s="13">
        <f t="shared" si="3"/>
        <v>7085.7142857142853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</row>
    <row r="110" spans="1:14" x14ac:dyDescent="0.3">
      <c r="A110" s="13" t="s">
        <v>481</v>
      </c>
      <c r="B110" s="13" t="s">
        <v>166</v>
      </c>
      <c r="C110" s="13">
        <v>195</v>
      </c>
      <c r="D110" s="13">
        <v>19.600000000000001</v>
      </c>
      <c r="E110" s="13">
        <f t="shared" si="2"/>
        <v>17857.142857142859</v>
      </c>
      <c r="F110" s="13">
        <v>62500</v>
      </c>
      <c r="G110" s="13">
        <v>3.5</v>
      </c>
      <c r="H110" s="13">
        <f t="shared" si="3"/>
        <v>17857.142857142859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</row>
    <row r="111" spans="1:14" x14ac:dyDescent="0.3">
      <c r="A111" s="13" t="s">
        <v>482</v>
      </c>
      <c r="B111" s="13" t="s">
        <v>167</v>
      </c>
      <c r="C111" s="13">
        <v>4137</v>
      </c>
      <c r="D111" s="13">
        <v>110</v>
      </c>
      <c r="E111" s="13">
        <f t="shared" si="2"/>
        <v>45142.857142857145</v>
      </c>
      <c r="F111" s="13">
        <v>158000</v>
      </c>
      <c r="G111" s="13">
        <v>3.5</v>
      </c>
      <c r="H111" s="13">
        <f t="shared" si="3"/>
        <v>45142.857142857145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x14ac:dyDescent="0.3">
      <c r="A112" s="13" t="s">
        <v>483</v>
      </c>
      <c r="B112" s="13" t="s">
        <v>168</v>
      </c>
      <c r="C112" s="13">
        <v>4487</v>
      </c>
      <c r="D112" s="13">
        <v>117.9</v>
      </c>
      <c r="E112" s="13">
        <f t="shared" si="2"/>
        <v>48000</v>
      </c>
      <c r="F112" s="13">
        <v>168000</v>
      </c>
      <c r="G112" s="13">
        <v>3.5</v>
      </c>
      <c r="H112" s="13">
        <f t="shared" si="3"/>
        <v>48000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x14ac:dyDescent="0.3">
      <c r="A113" s="13" t="s">
        <v>484</v>
      </c>
      <c r="B113" s="13" t="s">
        <v>169</v>
      </c>
      <c r="C113" s="13">
        <v>912</v>
      </c>
      <c r="D113" s="13">
        <v>29.8</v>
      </c>
      <c r="E113" s="13">
        <f t="shared" si="2"/>
        <v>12028.571428571429</v>
      </c>
      <c r="F113" s="13">
        <v>42100</v>
      </c>
      <c r="G113" s="13">
        <v>3.5</v>
      </c>
      <c r="H113" s="13">
        <f t="shared" si="3"/>
        <v>12028.571428571429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3">
      <c r="A114" s="13" t="s">
        <v>485</v>
      </c>
      <c r="B114" s="13" t="s">
        <v>170</v>
      </c>
      <c r="C114" s="13">
        <v>2052</v>
      </c>
      <c r="D114" s="13">
        <v>192</v>
      </c>
      <c r="E114" s="13">
        <f t="shared" si="2"/>
        <v>181714.28571428571</v>
      </c>
      <c r="F114" s="13">
        <v>636000</v>
      </c>
      <c r="G114" s="13">
        <v>3.5</v>
      </c>
      <c r="H114" s="13">
        <f t="shared" si="3"/>
        <v>181714.28571428571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3">
      <c r="A115" s="13" t="s">
        <v>486</v>
      </c>
      <c r="B115" s="13" t="s">
        <v>171</v>
      </c>
      <c r="C115" s="13">
        <v>375</v>
      </c>
      <c r="D115" s="13">
        <v>22.1</v>
      </c>
      <c r="E115" s="13">
        <f t="shared" si="2"/>
        <v>5857.1428571428569</v>
      </c>
      <c r="F115" s="13">
        <v>20500</v>
      </c>
      <c r="G115" s="13">
        <v>3.5</v>
      </c>
      <c r="H115" s="13">
        <f t="shared" si="3"/>
        <v>5857.1428571428569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3">
      <c r="A116" s="13" t="s">
        <v>487</v>
      </c>
      <c r="B116" s="13" t="s">
        <v>172</v>
      </c>
      <c r="C116" s="13">
        <v>147</v>
      </c>
      <c r="D116" s="13">
        <v>9.4</v>
      </c>
      <c r="E116" s="13">
        <f t="shared" si="2"/>
        <v>2148.5714285714284</v>
      </c>
      <c r="F116" s="13">
        <v>7520</v>
      </c>
      <c r="G116" s="13">
        <v>3.5</v>
      </c>
      <c r="H116" s="13">
        <f t="shared" si="3"/>
        <v>2148.5714285714284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3">
      <c r="A117" s="13" t="s">
        <v>488</v>
      </c>
      <c r="B117" s="13" t="s">
        <v>173</v>
      </c>
      <c r="C117" s="13">
        <v>2428</v>
      </c>
      <c r="D117" s="13">
        <v>88</v>
      </c>
      <c r="E117" s="13">
        <f t="shared" si="2"/>
        <v>20428.571428571428</v>
      </c>
      <c r="F117" s="13">
        <v>71500</v>
      </c>
      <c r="G117" s="13">
        <v>3.5</v>
      </c>
      <c r="H117" s="13">
        <f t="shared" si="3"/>
        <v>20428.571428571428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3">
      <c r="A118" s="13" t="s">
        <v>489</v>
      </c>
      <c r="B118" s="13" t="s">
        <v>174</v>
      </c>
      <c r="C118" s="13">
        <v>1045</v>
      </c>
      <c r="D118" s="13">
        <v>33.4</v>
      </c>
      <c r="E118" s="13">
        <f t="shared" si="2"/>
        <v>6628.5714285714284</v>
      </c>
      <c r="F118" s="13">
        <v>23200</v>
      </c>
      <c r="G118" s="13">
        <v>3.5</v>
      </c>
      <c r="H118" s="13">
        <f t="shared" si="3"/>
        <v>6628.5714285714284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3">
      <c r="A119" s="13" t="s">
        <v>490</v>
      </c>
      <c r="B119" s="13" t="s">
        <v>175</v>
      </c>
      <c r="C119" s="13">
        <v>1119</v>
      </c>
      <c r="D119" s="13">
        <v>46.3</v>
      </c>
      <c r="E119" s="13">
        <f t="shared" si="2"/>
        <v>11342.857142857143</v>
      </c>
      <c r="F119" s="13">
        <v>39700</v>
      </c>
      <c r="G119" s="13">
        <v>3.5</v>
      </c>
      <c r="H119" s="13">
        <f t="shared" si="3"/>
        <v>11342.857142857143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x14ac:dyDescent="0.3">
      <c r="A120" s="13" t="s">
        <v>491</v>
      </c>
      <c r="B120" s="13" t="s">
        <v>176</v>
      </c>
      <c r="C120" s="13">
        <v>514</v>
      </c>
      <c r="D120" s="13">
        <v>25.5</v>
      </c>
      <c r="E120" s="13">
        <f t="shared" si="2"/>
        <v>6771.4285714285716</v>
      </c>
      <c r="F120" s="13">
        <v>23700</v>
      </c>
      <c r="G120" s="13">
        <v>3.5</v>
      </c>
      <c r="H120" s="13">
        <f t="shared" si="3"/>
        <v>6771.4285714285716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3">
      <c r="A121" s="13" t="s">
        <v>492</v>
      </c>
      <c r="B121" s="13" t="s">
        <v>177</v>
      </c>
      <c r="C121" s="13">
        <v>286</v>
      </c>
      <c r="D121" s="13">
        <v>11.2</v>
      </c>
      <c r="E121" s="13">
        <f t="shared" si="2"/>
        <v>3714.2857142857142</v>
      </c>
      <c r="F121" s="13">
        <v>13000</v>
      </c>
      <c r="G121" s="13">
        <v>3.5</v>
      </c>
      <c r="H121" s="13">
        <f t="shared" si="3"/>
        <v>3714.2857142857142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</row>
    <row r="122" spans="1:14" x14ac:dyDescent="0.3">
      <c r="A122" s="13" t="s">
        <v>493</v>
      </c>
      <c r="B122" s="13" t="s">
        <v>178</v>
      </c>
      <c r="C122" s="13">
        <v>2806</v>
      </c>
      <c r="D122" s="13">
        <v>93.2</v>
      </c>
      <c r="E122" s="13">
        <f t="shared" si="2"/>
        <v>21514.285714285714</v>
      </c>
      <c r="F122" s="13">
        <v>75300</v>
      </c>
      <c r="G122" s="13">
        <v>3.5</v>
      </c>
      <c r="H122" s="13">
        <f t="shared" si="3"/>
        <v>21514.285714285714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</row>
    <row r="123" spans="1:14" x14ac:dyDescent="0.3">
      <c r="A123" s="13" t="s">
        <v>494</v>
      </c>
      <c r="B123" s="13" t="s">
        <v>179</v>
      </c>
      <c r="C123" s="13">
        <v>1470</v>
      </c>
      <c r="D123" s="13">
        <v>60.1</v>
      </c>
      <c r="E123" s="13">
        <f t="shared" si="2"/>
        <v>14885.714285714286</v>
      </c>
      <c r="F123" s="13">
        <v>52100</v>
      </c>
      <c r="G123" s="13">
        <v>3.5</v>
      </c>
      <c r="H123" s="13">
        <f t="shared" si="3"/>
        <v>14885.714285714286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3">
      <c r="A124" s="13" t="s">
        <v>495</v>
      </c>
      <c r="B124" s="13" t="s">
        <v>180</v>
      </c>
      <c r="C124" s="13">
        <v>2039</v>
      </c>
      <c r="D124" s="13">
        <v>48.7</v>
      </c>
      <c r="E124" s="13">
        <f t="shared" si="2"/>
        <v>18200</v>
      </c>
      <c r="F124" s="13">
        <v>63700</v>
      </c>
      <c r="G124" s="13">
        <v>3.5</v>
      </c>
      <c r="H124" s="13">
        <f t="shared" si="3"/>
        <v>18200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3">
      <c r="A125" s="13" t="s">
        <v>496</v>
      </c>
      <c r="B125" s="13" t="s">
        <v>181</v>
      </c>
      <c r="C125" s="13">
        <v>2856</v>
      </c>
      <c r="D125" s="13">
        <v>105</v>
      </c>
      <c r="E125" s="13">
        <f t="shared" si="2"/>
        <v>20828.571428571428</v>
      </c>
      <c r="F125" s="13">
        <v>72900</v>
      </c>
      <c r="G125" s="13">
        <v>3.5</v>
      </c>
      <c r="H125" s="13">
        <f t="shared" si="3"/>
        <v>20828.571428571428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</row>
    <row r="126" spans="1:14" x14ac:dyDescent="0.3">
      <c r="A126" s="13" t="s">
        <v>497</v>
      </c>
      <c r="B126" s="13" t="s">
        <v>182</v>
      </c>
      <c r="C126" s="13">
        <v>4511</v>
      </c>
      <c r="D126" s="13">
        <v>107</v>
      </c>
      <c r="E126" s="13">
        <f t="shared" si="2"/>
        <v>38857.142857142855</v>
      </c>
      <c r="F126" s="13">
        <v>136000</v>
      </c>
      <c r="G126" s="13">
        <v>3.5</v>
      </c>
      <c r="H126" s="13">
        <f t="shared" si="3"/>
        <v>38857.142857142855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</row>
    <row r="127" spans="1:14" x14ac:dyDescent="0.3">
      <c r="A127" s="13" t="s">
        <v>498</v>
      </c>
      <c r="B127" s="13" t="s">
        <v>183</v>
      </c>
      <c r="C127" s="13">
        <v>1548</v>
      </c>
      <c r="D127" s="13">
        <v>51.3</v>
      </c>
      <c r="E127" s="13">
        <f t="shared" si="2"/>
        <v>9971.4285714285706</v>
      </c>
      <c r="F127" s="13">
        <v>34900</v>
      </c>
      <c r="G127" s="13">
        <v>3.5</v>
      </c>
      <c r="H127" s="13">
        <f t="shared" si="3"/>
        <v>9971.4285714285706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</row>
    <row r="128" spans="1:14" x14ac:dyDescent="0.3">
      <c r="A128" s="13" t="s">
        <v>499</v>
      </c>
      <c r="B128" s="13" t="s">
        <v>184</v>
      </c>
      <c r="C128" s="13">
        <v>1163</v>
      </c>
      <c r="D128" s="13">
        <v>38.9</v>
      </c>
      <c r="E128" s="13">
        <f t="shared" si="2"/>
        <v>9314.2857142857138</v>
      </c>
      <c r="F128" s="13">
        <v>32600</v>
      </c>
      <c r="G128" s="13">
        <v>3.5</v>
      </c>
      <c r="H128" s="13">
        <f t="shared" si="3"/>
        <v>9314.2857142857138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</row>
    <row r="129" spans="1:14" x14ac:dyDescent="0.3">
      <c r="A129" s="13" t="s">
        <v>500</v>
      </c>
      <c r="B129" s="13" t="s">
        <v>185</v>
      </c>
      <c r="C129" s="13">
        <v>3049</v>
      </c>
      <c r="D129" s="13">
        <v>90</v>
      </c>
      <c r="E129" s="13">
        <f t="shared" si="2"/>
        <v>17685.714285714286</v>
      </c>
      <c r="F129" s="13">
        <v>61900</v>
      </c>
      <c r="G129" s="13">
        <v>3.5</v>
      </c>
      <c r="H129" s="13">
        <f t="shared" si="3"/>
        <v>17685.714285714286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</row>
    <row r="130" spans="1:14" x14ac:dyDescent="0.3">
      <c r="A130" s="13" t="s">
        <v>501</v>
      </c>
      <c r="B130" s="13" t="s">
        <v>186</v>
      </c>
      <c r="C130" s="13">
        <v>9968</v>
      </c>
      <c r="D130" s="13">
        <v>293.5</v>
      </c>
      <c r="E130" s="13">
        <f t="shared" si="2"/>
        <v>61714.285714285717</v>
      </c>
      <c r="F130" s="13">
        <v>216000</v>
      </c>
      <c r="G130" s="13">
        <v>3.5</v>
      </c>
      <c r="H130" s="13">
        <f t="shared" si="3"/>
        <v>61714.285714285717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</row>
    <row r="131" spans="1:14" x14ac:dyDescent="0.3">
      <c r="A131" s="13" t="s">
        <v>502</v>
      </c>
      <c r="B131" s="13" t="s">
        <v>187</v>
      </c>
      <c r="C131" s="13">
        <v>2596</v>
      </c>
      <c r="D131" s="13">
        <v>64.7</v>
      </c>
      <c r="E131" s="13">
        <f t="shared" ref="E131:E194" si="4">F131/G131</f>
        <v>26457.142857142859</v>
      </c>
      <c r="F131" s="13">
        <v>92600</v>
      </c>
      <c r="G131" s="13">
        <v>3.5</v>
      </c>
      <c r="H131" s="13">
        <f t="shared" ref="H131:H194" si="5">(F131/G131)-SUM(I131:N131)</f>
        <v>26457.142857142859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</row>
    <row r="132" spans="1:14" x14ac:dyDescent="0.3">
      <c r="A132" s="13" t="s">
        <v>503</v>
      </c>
      <c r="B132" s="13" t="s">
        <v>188</v>
      </c>
      <c r="C132" s="13">
        <v>2233</v>
      </c>
      <c r="D132" s="13">
        <v>82.1</v>
      </c>
      <c r="E132" s="13">
        <f t="shared" si="4"/>
        <v>18057.142857142859</v>
      </c>
      <c r="F132" s="13">
        <v>63200</v>
      </c>
      <c r="G132" s="13">
        <v>3.5</v>
      </c>
      <c r="H132" s="13">
        <f t="shared" si="5"/>
        <v>18057.142857142859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</row>
    <row r="133" spans="1:14" x14ac:dyDescent="0.3">
      <c r="A133" s="13" t="s">
        <v>504</v>
      </c>
      <c r="B133" s="13" t="s">
        <v>189</v>
      </c>
      <c r="C133" s="13">
        <v>4696</v>
      </c>
      <c r="D133" s="13">
        <v>153.5</v>
      </c>
      <c r="E133" s="13">
        <f t="shared" si="4"/>
        <v>32857.142857142855</v>
      </c>
      <c r="F133" s="13">
        <v>115000</v>
      </c>
      <c r="G133" s="13">
        <v>3.5</v>
      </c>
      <c r="H133" s="13">
        <f t="shared" si="5"/>
        <v>32857.142857142855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</row>
    <row r="134" spans="1:14" x14ac:dyDescent="0.3">
      <c r="A134" s="13" t="s">
        <v>505</v>
      </c>
      <c r="B134" s="13" t="s">
        <v>190</v>
      </c>
      <c r="C134" s="13">
        <v>1516</v>
      </c>
      <c r="D134" s="13">
        <v>59.3</v>
      </c>
      <c r="E134" s="13">
        <f t="shared" si="4"/>
        <v>14000</v>
      </c>
      <c r="F134" s="13">
        <v>49000</v>
      </c>
      <c r="G134" s="13">
        <v>3.5</v>
      </c>
      <c r="H134" s="13">
        <f t="shared" si="5"/>
        <v>14000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</row>
    <row r="135" spans="1:14" x14ac:dyDescent="0.3">
      <c r="A135" s="13" t="s">
        <v>506</v>
      </c>
      <c r="B135" s="13" t="s">
        <v>191</v>
      </c>
      <c r="C135" s="13">
        <v>6694</v>
      </c>
      <c r="D135" s="13">
        <v>161.80000000000001</v>
      </c>
      <c r="E135" s="13">
        <f t="shared" si="4"/>
        <v>64857.142857142855</v>
      </c>
      <c r="F135" s="13">
        <v>227000</v>
      </c>
      <c r="G135" s="13">
        <v>3.5</v>
      </c>
      <c r="H135" s="13">
        <f t="shared" si="5"/>
        <v>64857.142857142855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</row>
    <row r="136" spans="1:14" x14ac:dyDescent="0.3">
      <c r="A136" s="13" t="s">
        <v>507</v>
      </c>
      <c r="B136" s="13" t="s">
        <v>192</v>
      </c>
      <c r="C136" s="13">
        <v>2034</v>
      </c>
      <c r="D136" s="13">
        <v>64.599999999999994</v>
      </c>
      <c r="E136" s="13">
        <f t="shared" si="4"/>
        <v>25142.857142857141</v>
      </c>
      <c r="F136" s="13">
        <v>88000</v>
      </c>
      <c r="G136" s="13">
        <v>3.5</v>
      </c>
      <c r="H136" s="13">
        <f t="shared" si="5"/>
        <v>25142.857142857141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</row>
    <row r="137" spans="1:14" x14ac:dyDescent="0.3">
      <c r="A137" s="13" t="s">
        <v>508</v>
      </c>
      <c r="B137" s="13" t="s">
        <v>193</v>
      </c>
      <c r="C137" s="13">
        <v>381</v>
      </c>
      <c r="D137" s="13">
        <v>15.9</v>
      </c>
      <c r="E137" s="13">
        <f t="shared" si="4"/>
        <v>3285.7142857142858</v>
      </c>
      <c r="F137" s="13">
        <v>11500</v>
      </c>
      <c r="G137" s="13">
        <v>3.5</v>
      </c>
      <c r="H137" s="13">
        <f t="shared" si="5"/>
        <v>3285.7142857142858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</row>
    <row r="138" spans="1:14" x14ac:dyDescent="0.3">
      <c r="A138" s="13" t="s">
        <v>509</v>
      </c>
      <c r="B138" s="13" t="s">
        <v>194</v>
      </c>
      <c r="C138" s="13">
        <v>206</v>
      </c>
      <c r="D138" s="13">
        <v>7.9</v>
      </c>
      <c r="E138" s="13">
        <f t="shared" si="4"/>
        <v>1985.7142857142858</v>
      </c>
      <c r="F138" s="13">
        <v>6950</v>
      </c>
      <c r="G138" s="13">
        <v>3.5</v>
      </c>
      <c r="H138" s="13">
        <f t="shared" si="5"/>
        <v>1985.7142857142858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</row>
    <row r="139" spans="1:14" x14ac:dyDescent="0.3">
      <c r="A139" s="13" t="s">
        <v>510</v>
      </c>
      <c r="B139" s="13" t="s">
        <v>195</v>
      </c>
      <c r="C139" s="13">
        <v>498</v>
      </c>
      <c r="D139" s="13">
        <v>50.4</v>
      </c>
      <c r="E139" s="13">
        <f t="shared" si="4"/>
        <v>43428.571428571428</v>
      </c>
      <c r="F139" s="13">
        <v>152000</v>
      </c>
      <c r="G139" s="13">
        <v>3.5</v>
      </c>
      <c r="H139" s="13">
        <f t="shared" si="5"/>
        <v>43428.571428571428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</row>
    <row r="140" spans="1:14" x14ac:dyDescent="0.3">
      <c r="A140" s="13" t="s">
        <v>511</v>
      </c>
      <c r="B140" s="13" t="s">
        <v>196</v>
      </c>
      <c r="C140" s="13">
        <v>324</v>
      </c>
      <c r="D140" s="13">
        <v>11</v>
      </c>
      <c r="E140" s="13">
        <f t="shared" si="4"/>
        <v>4028.5714285714284</v>
      </c>
      <c r="F140" s="13">
        <v>14100</v>
      </c>
      <c r="G140" s="13">
        <v>3.5</v>
      </c>
      <c r="H140" s="13">
        <f t="shared" si="5"/>
        <v>4028.5714285714284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</row>
    <row r="141" spans="1:14" x14ac:dyDescent="0.3">
      <c r="A141" s="13" t="s">
        <v>512</v>
      </c>
      <c r="B141" s="13" t="s">
        <v>197</v>
      </c>
      <c r="C141" s="13">
        <v>342</v>
      </c>
      <c r="D141" s="13">
        <v>11.6</v>
      </c>
      <c r="E141" s="13">
        <f t="shared" si="4"/>
        <v>4428.5714285714284</v>
      </c>
      <c r="F141" s="13">
        <v>15500</v>
      </c>
      <c r="G141" s="13">
        <v>3.5</v>
      </c>
      <c r="H141" s="13">
        <f t="shared" si="5"/>
        <v>4428.5714285714284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x14ac:dyDescent="0.3">
      <c r="A142" s="13" t="s">
        <v>513</v>
      </c>
      <c r="B142" s="13" t="s">
        <v>198</v>
      </c>
      <c r="C142" s="13">
        <v>475</v>
      </c>
      <c r="D142" s="13">
        <v>18.7</v>
      </c>
      <c r="E142" s="13">
        <f t="shared" si="4"/>
        <v>4514.2857142857147</v>
      </c>
      <c r="F142" s="13">
        <v>15800</v>
      </c>
      <c r="G142" s="13">
        <v>3.5</v>
      </c>
      <c r="H142" s="13">
        <f t="shared" si="5"/>
        <v>4514.2857142857147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</row>
    <row r="143" spans="1:14" x14ac:dyDescent="0.3">
      <c r="A143" s="13" t="s">
        <v>514</v>
      </c>
      <c r="B143" s="13" t="s">
        <v>199</v>
      </c>
      <c r="C143" s="13">
        <v>112</v>
      </c>
      <c r="D143" s="13">
        <v>7.3</v>
      </c>
      <c r="E143" s="13">
        <f t="shared" si="4"/>
        <v>2002.8571428571429</v>
      </c>
      <c r="F143" s="13">
        <v>7010</v>
      </c>
      <c r="G143" s="13">
        <v>3.5</v>
      </c>
      <c r="H143" s="13">
        <f t="shared" si="5"/>
        <v>2002.8571428571429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</row>
    <row r="144" spans="1:14" x14ac:dyDescent="0.3">
      <c r="A144" s="13" t="s">
        <v>515</v>
      </c>
      <c r="B144" s="13" t="s">
        <v>200</v>
      </c>
      <c r="C144" s="13">
        <v>432</v>
      </c>
      <c r="D144" s="13">
        <v>17.600000000000001</v>
      </c>
      <c r="E144" s="13">
        <f t="shared" si="4"/>
        <v>4285.7142857142853</v>
      </c>
      <c r="F144" s="13">
        <v>15000</v>
      </c>
      <c r="G144" s="13">
        <v>3.5</v>
      </c>
      <c r="H144" s="13">
        <f t="shared" si="5"/>
        <v>4285.7142857142853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x14ac:dyDescent="0.3">
      <c r="A145" s="13" t="s">
        <v>516</v>
      </c>
      <c r="B145" s="13" t="s">
        <v>201</v>
      </c>
      <c r="C145" s="13">
        <v>147</v>
      </c>
      <c r="D145" s="13">
        <v>6.8</v>
      </c>
      <c r="E145" s="13">
        <f t="shared" si="4"/>
        <v>1694.2857142857142</v>
      </c>
      <c r="F145" s="13">
        <v>5930</v>
      </c>
      <c r="G145" s="13">
        <v>3.5</v>
      </c>
      <c r="H145" s="13">
        <f t="shared" si="5"/>
        <v>1694.2857142857142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</row>
    <row r="146" spans="1:14" x14ac:dyDescent="0.3">
      <c r="A146" s="13" t="s">
        <v>517</v>
      </c>
      <c r="B146" s="13" t="s">
        <v>202</v>
      </c>
      <c r="C146" s="13">
        <v>208</v>
      </c>
      <c r="D146" s="13">
        <v>8.6</v>
      </c>
      <c r="E146" s="13">
        <f t="shared" si="4"/>
        <v>1802.8571428571429</v>
      </c>
      <c r="F146" s="13">
        <v>6310</v>
      </c>
      <c r="G146" s="13">
        <v>3.5</v>
      </c>
      <c r="H146" s="13">
        <f t="shared" si="5"/>
        <v>1802.8571428571429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</row>
    <row r="147" spans="1:14" x14ac:dyDescent="0.3">
      <c r="A147" s="13" t="s">
        <v>518</v>
      </c>
      <c r="B147" s="13" t="s">
        <v>203</v>
      </c>
      <c r="C147" s="13">
        <v>552</v>
      </c>
      <c r="D147" s="13">
        <v>16.399999999999999</v>
      </c>
      <c r="E147" s="13">
        <f t="shared" si="4"/>
        <v>6600</v>
      </c>
      <c r="F147" s="13">
        <v>23100</v>
      </c>
      <c r="G147" s="13">
        <v>3.5</v>
      </c>
      <c r="H147" s="13">
        <f t="shared" si="5"/>
        <v>6600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x14ac:dyDescent="0.3">
      <c r="A148" s="13" t="s">
        <v>519</v>
      </c>
      <c r="B148" s="13" t="s">
        <v>204</v>
      </c>
      <c r="C148" s="13">
        <v>556</v>
      </c>
      <c r="D148" s="13">
        <v>20.399999999999999</v>
      </c>
      <c r="E148" s="13">
        <f t="shared" si="4"/>
        <v>5028.5714285714284</v>
      </c>
      <c r="F148" s="13">
        <v>17600</v>
      </c>
      <c r="G148" s="13">
        <v>3.5</v>
      </c>
      <c r="H148" s="13">
        <f t="shared" si="5"/>
        <v>5028.5714285714284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</row>
    <row r="149" spans="1:14" x14ac:dyDescent="0.3">
      <c r="A149" s="13" t="s">
        <v>520</v>
      </c>
      <c r="B149" s="13" t="s">
        <v>205</v>
      </c>
      <c r="C149" s="13">
        <v>318</v>
      </c>
      <c r="D149" s="13">
        <v>11.7</v>
      </c>
      <c r="E149" s="13">
        <f t="shared" si="4"/>
        <v>4142.8571428571431</v>
      </c>
      <c r="F149" s="13">
        <v>14500</v>
      </c>
      <c r="G149" s="13">
        <v>3.5</v>
      </c>
      <c r="H149" s="13">
        <f t="shared" si="5"/>
        <v>4142.8571428571431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3">
      <c r="A150" s="13" t="s">
        <v>521</v>
      </c>
      <c r="B150" s="13" t="s">
        <v>206</v>
      </c>
      <c r="C150" s="13">
        <v>91</v>
      </c>
      <c r="D150" s="13">
        <v>4.0999999999999996</v>
      </c>
      <c r="E150" s="13">
        <f t="shared" si="4"/>
        <v>1520</v>
      </c>
      <c r="F150" s="13">
        <v>5320</v>
      </c>
      <c r="G150" s="13">
        <v>3.5</v>
      </c>
      <c r="H150" s="13">
        <f t="shared" si="5"/>
        <v>1520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3">
      <c r="A151" s="13" t="s">
        <v>522</v>
      </c>
      <c r="B151" s="13" t="s">
        <v>207</v>
      </c>
      <c r="C151" s="13">
        <v>266</v>
      </c>
      <c r="D151" s="13">
        <v>7.1</v>
      </c>
      <c r="E151" s="13">
        <f t="shared" si="4"/>
        <v>2971.4285714285716</v>
      </c>
      <c r="F151" s="13">
        <v>10400</v>
      </c>
      <c r="G151" s="13">
        <v>3.5</v>
      </c>
      <c r="H151" s="13">
        <f t="shared" si="5"/>
        <v>2971.4285714285716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</row>
    <row r="152" spans="1:14" x14ac:dyDescent="0.3">
      <c r="A152" s="13" t="s">
        <v>523</v>
      </c>
      <c r="B152" s="13" t="s">
        <v>208</v>
      </c>
      <c r="C152" s="13">
        <v>584</v>
      </c>
      <c r="D152" s="13">
        <v>19.2</v>
      </c>
      <c r="E152" s="13">
        <f t="shared" si="4"/>
        <v>3800</v>
      </c>
      <c r="F152" s="13">
        <v>13300</v>
      </c>
      <c r="G152" s="13">
        <v>3.5</v>
      </c>
      <c r="H152" s="13">
        <f t="shared" si="5"/>
        <v>3800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3">
      <c r="A153" s="13" t="s">
        <v>524</v>
      </c>
      <c r="B153" s="13" t="s">
        <v>209</v>
      </c>
      <c r="C153" s="13">
        <v>223</v>
      </c>
      <c r="D153" s="13">
        <v>7.7</v>
      </c>
      <c r="E153" s="13">
        <f t="shared" si="4"/>
        <v>3028.5714285714284</v>
      </c>
      <c r="F153" s="13">
        <v>10600</v>
      </c>
      <c r="G153" s="13">
        <v>3.5</v>
      </c>
      <c r="H153" s="13">
        <f t="shared" si="5"/>
        <v>3028.5714285714284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</row>
    <row r="154" spans="1:14" x14ac:dyDescent="0.3">
      <c r="A154" s="13" t="s">
        <v>525</v>
      </c>
      <c r="B154" s="13" t="s">
        <v>210</v>
      </c>
      <c r="C154" s="13">
        <v>127</v>
      </c>
      <c r="D154" s="13">
        <v>4.8</v>
      </c>
      <c r="E154" s="13">
        <f t="shared" si="4"/>
        <v>1785.7142857142858</v>
      </c>
      <c r="F154" s="13">
        <v>6250</v>
      </c>
      <c r="G154" s="13">
        <v>3.5</v>
      </c>
      <c r="H154" s="13">
        <f t="shared" si="5"/>
        <v>1785.7142857142858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</row>
    <row r="155" spans="1:14" x14ac:dyDescent="0.3">
      <c r="A155" s="13" t="s">
        <v>526</v>
      </c>
      <c r="B155" s="13" t="s">
        <v>211</v>
      </c>
      <c r="C155" s="13">
        <v>850</v>
      </c>
      <c r="D155" s="13">
        <v>29.1</v>
      </c>
      <c r="E155" s="13">
        <f t="shared" si="4"/>
        <v>7085.7142857142853</v>
      </c>
      <c r="F155" s="13">
        <v>24800</v>
      </c>
      <c r="G155" s="13">
        <v>3.5</v>
      </c>
      <c r="H155" s="13">
        <f t="shared" si="5"/>
        <v>7085.7142857142853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3">
      <c r="A156" s="13" t="s">
        <v>527</v>
      </c>
      <c r="B156" s="13" t="s">
        <v>212</v>
      </c>
      <c r="C156" s="13">
        <v>412</v>
      </c>
      <c r="D156" s="13">
        <v>13.6</v>
      </c>
      <c r="E156" s="13">
        <f t="shared" si="4"/>
        <v>2660</v>
      </c>
      <c r="F156" s="13">
        <v>9310</v>
      </c>
      <c r="G156" s="13">
        <v>3.5</v>
      </c>
      <c r="H156" s="13">
        <f t="shared" si="5"/>
        <v>2660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x14ac:dyDescent="0.3">
      <c r="A157" s="13" t="s">
        <v>528</v>
      </c>
      <c r="B157" s="13" t="s">
        <v>213</v>
      </c>
      <c r="C157" s="13">
        <v>1279</v>
      </c>
      <c r="D157" s="13">
        <v>39.4</v>
      </c>
      <c r="E157" s="13">
        <f t="shared" si="4"/>
        <v>7714.2857142857147</v>
      </c>
      <c r="F157" s="13">
        <v>27000</v>
      </c>
      <c r="G157" s="13">
        <v>3.5</v>
      </c>
      <c r="H157" s="13">
        <f t="shared" si="5"/>
        <v>7714.2857142857147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</row>
    <row r="158" spans="1:14" x14ac:dyDescent="0.3">
      <c r="A158" s="13" t="s">
        <v>529</v>
      </c>
      <c r="B158" s="13" t="s">
        <v>214</v>
      </c>
      <c r="C158" s="13">
        <v>1109</v>
      </c>
      <c r="D158" s="13">
        <v>39.1</v>
      </c>
      <c r="E158" s="13">
        <f t="shared" si="4"/>
        <v>7228.5714285714284</v>
      </c>
      <c r="F158" s="13">
        <v>25300</v>
      </c>
      <c r="G158" s="13">
        <v>3.5</v>
      </c>
      <c r="H158" s="13">
        <f t="shared" si="5"/>
        <v>7228.5714285714284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</row>
    <row r="159" spans="1:14" x14ac:dyDescent="0.3">
      <c r="A159" s="13" t="s">
        <v>530</v>
      </c>
      <c r="B159" s="13" t="s">
        <v>215</v>
      </c>
      <c r="C159" s="13">
        <v>993</v>
      </c>
      <c r="D159" s="13">
        <v>30.4</v>
      </c>
      <c r="E159" s="13">
        <f t="shared" si="4"/>
        <v>6685.7142857142853</v>
      </c>
      <c r="F159" s="13">
        <v>23400</v>
      </c>
      <c r="G159" s="13">
        <v>3.5</v>
      </c>
      <c r="H159" s="13">
        <f t="shared" si="5"/>
        <v>6685.7142857142853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x14ac:dyDescent="0.3">
      <c r="A160" s="13" t="s">
        <v>531</v>
      </c>
      <c r="B160" s="13" t="s">
        <v>216</v>
      </c>
      <c r="C160" s="13">
        <v>336</v>
      </c>
      <c r="D160" s="13">
        <v>13.3</v>
      </c>
      <c r="E160" s="13">
        <f t="shared" si="4"/>
        <v>3142.8571428571427</v>
      </c>
      <c r="F160" s="13">
        <v>11000</v>
      </c>
      <c r="G160" s="13">
        <v>3.5</v>
      </c>
      <c r="H160" s="13">
        <f t="shared" si="5"/>
        <v>3142.8571428571427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3">
      <c r="A161" s="13" t="s">
        <v>532</v>
      </c>
      <c r="B161" s="13" t="s">
        <v>217</v>
      </c>
      <c r="C161" s="13">
        <v>97</v>
      </c>
      <c r="D161" s="13">
        <v>5.7</v>
      </c>
      <c r="E161" s="13">
        <f t="shared" si="4"/>
        <v>1505.7142857142858</v>
      </c>
      <c r="F161" s="13">
        <v>5270</v>
      </c>
      <c r="G161" s="13">
        <v>3.5</v>
      </c>
      <c r="H161" s="13">
        <f t="shared" si="5"/>
        <v>1505.7142857142858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</row>
    <row r="162" spans="1:14" x14ac:dyDescent="0.3">
      <c r="A162" s="13" t="s">
        <v>533</v>
      </c>
      <c r="B162" s="13" t="s">
        <v>218</v>
      </c>
      <c r="C162" s="13">
        <v>1413</v>
      </c>
      <c r="D162" s="13">
        <v>48.7</v>
      </c>
      <c r="E162" s="13">
        <f t="shared" si="4"/>
        <v>9371.4285714285706</v>
      </c>
      <c r="F162" s="13">
        <v>32800</v>
      </c>
      <c r="G162" s="13">
        <v>3.5</v>
      </c>
      <c r="H162" s="13">
        <f t="shared" si="5"/>
        <v>9371.4285714285706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x14ac:dyDescent="0.3">
      <c r="A163" s="13" t="s">
        <v>534</v>
      </c>
      <c r="B163" s="13" t="s">
        <v>219</v>
      </c>
      <c r="C163" s="13">
        <v>418</v>
      </c>
      <c r="D163" s="13">
        <v>12.4</v>
      </c>
      <c r="E163" s="13">
        <f t="shared" si="4"/>
        <v>2691.4285714285716</v>
      </c>
      <c r="F163" s="13">
        <v>9420</v>
      </c>
      <c r="G163" s="13">
        <v>3.5</v>
      </c>
      <c r="H163" s="13">
        <f t="shared" si="5"/>
        <v>2691.4285714285716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3">
      <c r="A164" s="13" t="s">
        <v>535</v>
      </c>
      <c r="B164" s="13" t="s">
        <v>220</v>
      </c>
      <c r="C164" s="13">
        <v>412</v>
      </c>
      <c r="D164" s="13">
        <v>35.700000000000003</v>
      </c>
      <c r="E164" s="13">
        <f t="shared" si="4"/>
        <v>35714.285714285717</v>
      </c>
      <c r="F164" s="13">
        <v>125000</v>
      </c>
      <c r="G164" s="13">
        <v>3.5</v>
      </c>
      <c r="H164" s="13">
        <f t="shared" si="5"/>
        <v>35714.285714285717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</row>
    <row r="165" spans="1:14" x14ac:dyDescent="0.3">
      <c r="A165" s="13" t="s">
        <v>536</v>
      </c>
      <c r="B165" s="13" t="s">
        <v>221</v>
      </c>
      <c r="C165" s="13">
        <v>133</v>
      </c>
      <c r="D165" s="13">
        <v>5.2</v>
      </c>
      <c r="E165" s="13">
        <f t="shared" si="4"/>
        <v>1117.1428571428571</v>
      </c>
      <c r="F165" s="13">
        <v>3910</v>
      </c>
      <c r="G165" s="13">
        <v>3.5</v>
      </c>
      <c r="H165" s="13">
        <f t="shared" si="5"/>
        <v>1117.1428571428571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</row>
    <row r="166" spans="1:14" x14ac:dyDescent="0.3">
      <c r="A166" s="13" t="s">
        <v>537</v>
      </c>
      <c r="B166" s="13" t="s">
        <v>222</v>
      </c>
      <c r="C166" s="13">
        <v>155</v>
      </c>
      <c r="D166" s="13">
        <v>5.8</v>
      </c>
      <c r="E166" s="13">
        <f t="shared" si="4"/>
        <v>2240</v>
      </c>
      <c r="F166" s="13">
        <v>7840</v>
      </c>
      <c r="G166" s="13">
        <v>3.5</v>
      </c>
      <c r="H166" s="13">
        <f t="shared" si="5"/>
        <v>2240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3">
      <c r="A167" s="13" t="s">
        <v>538</v>
      </c>
      <c r="B167" s="13" t="s">
        <v>223</v>
      </c>
      <c r="C167" s="13">
        <v>550</v>
      </c>
      <c r="D167" s="13">
        <v>16.3</v>
      </c>
      <c r="E167" s="13">
        <f t="shared" si="4"/>
        <v>3085.7142857142858</v>
      </c>
      <c r="F167" s="13">
        <v>10800</v>
      </c>
      <c r="G167" s="13">
        <v>3.5</v>
      </c>
      <c r="H167" s="13">
        <f t="shared" si="5"/>
        <v>3085.7142857142858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</row>
    <row r="168" spans="1:14" x14ac:dyDescent="0.3">
      <c r="A168" s="13" t="s">
        <v>539</v>
      </c>
      <c r="B168" s="13" t="s">
        <v>224</v>
      </c>
      <c r="C168" s="13">
        <v>644</v>
      </c>
      <c r="D168" s="13">
        <v>15.8</v>
      </c>
      <c r="E168" s="13">
        <f t="shared" si="4"/>
        <v>6685.7142857142853</v>
      </c>
      <c r="F168" s="13">
        <v>23400</v>
      </c>
      <c r="G168" s="13">
        <v>3.5</v>
      </c>
      <c r="H168" s="13">
        <f t="shared" si="5"/>
        <v>6685.7142857142853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</row>
    <row r="169" spans="1:14" x14ac:dyDescent="0.3">
      <c r="A169" s="13" t="s">
        <v>540</v>
      </c>
      <c r="B169" s="13" t="s">
        <v>225</v>
      </c>
      <c r="C169" s="13">
        <v>471</v>
      </c>
      <c r="D169" s="13">
        <v>17.7</v>
      </c>
      <c r="E169" s="13">
        <f t="shared" si="4"/>
        <v>4314.2857142857147</v>
      </c>
      <c r="F169" s="13">
        <v>15100</v>
      </c>
      <c r="G169" s="13">
        <v>3.5</v>
      </c>
      <c r="H169" s="13">
        <f t="shared" si="5"/>
        <v>4314.2857142857147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</row>
    <row r="170" spans="1:14" x14ac:dyDescent="0.3">
      <c r="A170" s="13" t="s">
        <v>541</v>
      </c>
      <c r="B170" s="13" t="s">
        <v>226</v>
      </c>
      <c r="C170" s="13">
        <v>212</v>
      </c>
      <c r="D170" s="13">
        <v>7.2</v>
      </c>
      <c r="E170" s="13">
        <f t="shared" si="4"/>
        <v>1454.2857142857142</v>
      </c>
      <c r="F170" s="13">
        <v>5090</v>
      </c>
      <c r="G170" s="13">
        <v>3.5</v>
      </c>
      <c r="H170" s="13">
        <f t="shared" si="5"/>
        <v>1454.2857142857142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</row>
    <row r="171" spans="1:14" x14ac:dyDescent="0.3">
      <c r="A171" s="13" t="s">
        <v>542</v>
      </c>
      <c r="B171" s="13" t="s">
        <v>227</v>
      </c>
      <c r="C171" s="13">
        <v>228</v>
      </c>
      <c r="D171" s="13">
        <v>6.5</v>
      </c>
      <c r="E171" s="13">
        <f t="shared" si="4"/>
        <v>2577.1428571428573</v>
      </c>
      <c r="F171" s="13">
        <v>9020</v>
      </c>
      <c r="G171" s="13">
        <v>3.5</v>
      </c>
      <c r="H171" s="13">
        <f t="shared" si="5"/>
        <v>2577.1428571428573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</row>
    <row r="172" spans="1:14" x14ac:dyDescent="0.3">
      <c r="A172" s="13" t="s">
        <v>543</v>
      </c>
      <c r="B172" s="13" t="s">
        <v>228</v>
      </c>
      <c r="C172" s="13">
        <v>140</v>
      </c>
      <c r="D172" s="13">
        <v>6.7</v>
      </c>
      <c r="E172" s="13">
        <f t="shared" si="4"/>
        <v>2431.4285714285716</v>
      </c>
      <c r="F172" s="13">
        <v>8510</v>
      </c>
      <c r="G172" s="13">
        <v>3.5</v>
      </c>
      <c r="H172" s="13">
        <f t="shared" si="5"/>
        <v>2431.4285714285716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</row>
    <row r="173" spans="1:14" x14ac:dyDescent="0.3">
      <c r="A173" s="13" t="s">
        <v>544</v>
      </c>
      <c r="B173" s="13" t="s">
        <v>229</v>
      </c>
      <c r="C173" s="13">
        <v>101</v>
      </c>
      <c r="D173" s="13">
        <v>4.8</v>
      </c>
      <c r="E173" s="13">
        <f t="shared" si="4"/>
        <v>1560</v>
      </c>
      <c r="F173" s="13">
        <v>5460</v>
      </c>
      <c r="G173" s="13">
        <v>3.5</v>
      </c>
      <c r="H173" s="13">
        <f t="shared" si="5"/>
        <v>1560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</row>
    <row r="174" spans="1:14" x14ac:dyDescent="0.3">
      <c r="A174" s="13" t="s">
        <v>545</v>
      </c>
      <c r="B174" s="13" t="s">
        <v>230</v>
      </c>
      <c r="C174" s="13">
        <v>270</v>
      </c>
      <c r="D174" s="13">
        <v>10.3</v>
      </c>
      <c r="E174" s="13">
        <f t="shared" si="4"/>
        <v>2477.1428571428573</v>
      </c>
      <c r="F174" s="13">
        <v>8670</v>
      </c>
      <c r="G174" s="13">
        <v>3.5</v>
      </c>
      <c r="H174" s="13">
        <f t="shared" si="5"/>
        <v>2477.1428571428573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</row>
    <row r="175" spans="1:14" x14ac:dyDescent="0.3">
      <c r="A175" s="13" t="s">
        <v>546</v>
      </c>
      <c r="B175" s="13" t="s">
        <v>231</v>
      </c>
      <c r="C175" s="13">
        <v>438</v>
      </c>
      <c r="D175" s="13">
        <v>15</v>
      </c>
      <c r="E175" s="13">
        <f t="shared" si="4"/>
        <v>3628.5714285714284</v>
      </c>
      <c r="F175" s="13">
        <v>12700</v>
      </c>
      <c r="G175" s="13">
        <v>3.5</v>
      </c>
      <c r="H175" s="13">
        <f t="shared" si="5"/>
        <v>3628.5714285714284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</row>
    <row r="176" spans="1:14" x14ac:dyDescent="0.3">
      <c r="A176" s="13" t="s">
        <v>547</v>
      </c>
      <c r="B176" s="13" t="s">
        <v>232</v>
      </c>
      <c r="C176" s="13">
        <v>191</v>
      </c>
      <c r="D176" s="13">
        <v>4.5</v>
      </c>
      <c r="E176" s="13">
        <f t="shared" si="4"/>
        <v>1825.7142857142858</v>
      </c>
      <c r="F176" s="13">
        <v>6390</v>
      </c>
      <c r="G176" s="13">
        <v>3.5</v>
      </c>
      <c r="H176" s="13">
        <f t="shared" si="5"/>
        <v>1825.7142857142858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</row>
    <row r="177" spans="1:14" x14ac:dyDescent="0.3">
      <c r="A177" s="13" t="s">
        <v>548</v>
      </c>
      <c r="B177" s="13" t="s">
        <v>233</v>
      </c>
      <c r="C177" s="13">
        <v>169</v>
      </c>
      <c r="D177" s="13">
        <v>5.7</v>
      </c>
      <c r="E177" s="13">
        <f t="shared" si="4"/>
        <v>1997.1428571428571</v>
      </c>
      <c r="F177" s="13">
        <v>6990</v>
      </c>
      <c r="G177" s="13">
        <v>3.5</v>
      </c>
      <c r="H177" s="13">
        <f t="shared" si="5"/>
        <v>1997.1428571428571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</row>
    <row r="178" spans="1:14" x14ac:dyDescent="0.3">
      <c r="A178" s="13" t="s">
        <v>549</v>
      </c>
      <c r="B178" s="13" t="s">
        <v>234</v>
      </c>
      <c r="C178" s="13">
        <v>216</v>
      </c>
      <c r="D178" s="13">
        <v>11.1</v>
      </c>
      <c r="E178" s="13">
        <f t="shared" si="4"/>
        <v>2728.5714285714284</v>
      </c>
      <c r="F178" s="13">
        <v>9550</v>
      </c>
      <c r="G178" s="13">
        <v>3.5</v>
      </c>
      <c r="H178" s="13">
        <f t="shared" si="5"/>
        <v>2728.5714285714284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</row>
    <row r="179" spans="1:14" x14ac:dyDescent="0.3">
      <c r="A179" s="13" t="s">
        <v>550</v>
      </c>
      <c r="B179" s="13" t="s">
        <v>235</v>
      </c>
      <c r="C179" s="13">
        <v>194</v>
      </c>
      <c r="D179" s="13">
        <v>10.7</v>
      </c>
      <c r="E179" s="13">
        <f t="shared" si="4"/>
        <v>2351.4285714285716</v>
      </c>
      <c r="F179" s="13">
        <v>8230</v>
      </c>
      <c r="G179" s="13">
        <v>3.5</v>
      </c>
      <c r="H179" s="13">
        <f t="shared" si="5"/>
        <v>2351.4285714285716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</row>
    <row r="180" spans="1:14" x14ac:dyDescent="0.3">
      <c r="A180" s="13" t="s">
        <v>551</v>
      </c>
      <c r="B180" s="13" t="s">
        <v>236</v>
      </c>
      <c r="C180" s="13">
        <v>115</v>
      </c>
      <c r="D180" s="13">
        <v>5.8</v>
      </c>
      <c r="E180" s="13">
        <f t="shared" si="4"/>
        <v>1562.8571428571429</v>
      </c>
      <c r="F180" s="13">
        <v>5470</v>
      </c>
      <c r="G180" s="13">
        <v>3.5</v>
      </c>
      <c r="H180" s="13">
        <f t="shared" si="5"/>
        <v>1562.8571428571429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</row>
    <row r="181" spans="1:14" x14ac:dyDescent="0.3">
      <c r="A181" s="13" t="s">
        <v>552</v>
      </c>
      <c r="B181" s="13" t="s">
        <v>237</v>
      </c>
      <c r="C181" s="13">
        <v>349</v>
      </c>
      <c r="D181" s="13">
        <v>13.6</v>
      </c>
      <c r="E181" s="13">
        <f t="shared" si="4"/>
        <v>2728.5714285714284</v>
      </c>
      <c r="F181" s="13">
        <v>9550</v>
      </c>
      <c r="G181" s="13">
        <v>3.5</v>
      </c>
      <c r="H181" s="13">
        <f t="shared" si="5"/>
        <v>2728.5714285714284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</row>
    <row r="182" spans="1:14" x14ac:dyDescent="0.3">
      <c r="A182" s="13" t="s">
        <v>553</v>
      </c>
      <c r="B182" s="13" t="s">
        <v>238</v>
      </c>
      <c r="C182" s="13">
        <v>550</v>
      </c>
      <c r="D182" s="13">
        <v>20.7</v>
      </c>
      <c r="E182" s="13">
        <f t="shared" si="4"/>
        <v>4457.1428571428569</v>
      </c>
      <c r="F182" s="13">
        <v>15600</v>
      </c>
      <c r="G182" s="13">
        <v>3.5</v>
      </c>
      <c r="H182" s="13">
        <f t="shared" si="5"/>
        <v>4457.1428571428569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</row>
    <row r="183" spans="1:14" x14ac:dyDescent="0.3">
      <c r="A183" s="13" t="s">
        <v>554</v>
      </c>
      <c r="B183" s="13" t="s">
        <v>239</v>
      </c>
      <c r="C183" s="13">
        <v>684</v>
      </c>
      <c r="D183" s="13">
        <v>19.8</v>
      </c>
      <c r="E183" s="13">
        <f t="shared" si="4"/>
        <v>7485.7142857142853</v>
      </c>
      <c r="F183" s="13">
        <v>26200</v>
      </c>
      <c r="G183" s="13">
        <v>3.5</v>
      </c>
      <c r="H183" s="13">
        <f t="shared" si="5"/>
        <v>7485.7142857142853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</row>
    <row r="184" spans="1:14" x14ac:dyDescent="0.3">
      <c r="A184" s="13" t="s">
        <v>555</v>
      </c>
      <c r="B184" s="13" t="s">
        <v>240</v>
      </c>
      <c r="C184" s="13">
        <v>78</v>
      </c>
      <c r="D184" s="13">
        <v>4</v>
      </c>
      <c r="E184" s="13">
        <f t="shared" si="4"/>
        <v>1048.5714285714287</v>
      </c>
      <c r="F184" s="13">
        <v>3670</v>
      </c>
      <c r="G184" s="13">
        <v>3.5</v>
      </c>
      <c r="H184" s="13">
        <f t="shared" si="5"/>
        <v>1048.5714285714287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</row>
    <row r="185" spans="1:14" x14ac:dyDescent="0.3">
      <c r="A185" s="13" t="s">
        <v>556</v>
      </c>
      <c r="B185" s="13" t="s">
        <v>241</v>
      </c>
      <c r="C185" s="13">
        <v>1599</v>
      </c>
      <c r="D185" s="13">
        <v>54.5</v>
      </c>
      <c r="E185" s="13">
        <f t="shared" si="4"/>
        <v>10828.571428571429</v>
      </c>
      <c r="F185" s="13">
        <v>37900</v>
      </c>
      <c r="G185" s="13">
        <v>3.5</v>
      </c>
      <c r="H185" s="13">
        <f t="shared" si="5"/>
        <v>10828.571428571429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</row>
    <row r="186" spans="1:14" x14ac:dyDescent="0.3">
      <c r="A186" s="13" t="s">
        <v>557</v>
      </c>
      <c r="B186" s="13" t="s">
        <v>242</v>
      </c>
      <c r="C186" s="13">
        <v>329</v>
      </c>
      <c r="D186" s="13">
        <v>13.3</v>
      </c>
      <c r="E186" s="13">
        <f t="shared" si="4"/>
        <v>3142.8571428571427</v>
      </c>
      <c r="F186" s="13">
        <v>11000</v>
      </c>
      <c r="G186" s="13">
        <v>3.5</v>
      </c>
      <c r="H186" s="13">
        <f t="shared" si="5"/>
        <v>3142.8571428571427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</row>
    <row r="187" spans="1:14" x14ac:dyDescent="0.3">
      <c r="A187" s="13" t="s">
        <v>558</v>
      </c>
      <c r="B187" s="13" t="s">
        <v>243</v>
      </c>
      <c r="C187" s="13">
        <v>517</v>
      </c>
      <c r="D187" s="13">
        <v>17</v>
      </c>
      <c r="E187" s="13">
        <f t="shared" si="4"/>
        <v>3457.1428571428573</v>
      </c>
      <c r="F187" s="13">
        <v>12100</v>
      </c>
      <c r="G187" s="13">
        <v>3.5</v>
      </c>
      <c r="H187" s="13">
        <f t="shared" si="5"/>
        <v>3457.1428571428573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</row>
    <row r="188" spans="1:14" x14ac:dyDescent="0.3">
      <c r="A188" s="13" t="s">
        <v>559</v>
      </c>
      <c r="B188" s="13" t="s">
        <v>244</v>
      </c>
      <c r="C188" s="13">
        <v>230</v>
      </c>
      <c r="D188" s="13">
        <v>6.3</v>
      </c>
      <c r="E188" s="13">
        <f t="shared" si="4"/>
        <v>2214.2857142857142</v>
      </c>
      <c r="F188" s="13">
        <v>7750</v>
      </c>
      <c r="G188" s="13">
        <v>3.5</v>
      </c>
      <c r="H188" s="13">
        <f t="shared" si="5"/>
        <v>2214.2857142857142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</row>
    <row r="189" spans="1:14" x14ac:dyDescent="0.3">
      <c r="A189" s="13" t="s">
        <v>560</v>
      </c>
      <c r="B189" s="13" t="s">
        <v>245</v>
      </c>
      <c r="C189" s="13">
        <v>250</v>
      </c>
      <c r="D189" s="13">
        <v>5.4</v>
      </c>
      <c r="E189" s="13">
        <f t="shared" si="4"/>
        <v>2405.7142857142858</v>
      </c>
      <c r="F189" s="13">
        <v>8420</v>
      </c>
      <c r="G189" s="13">
        <v>3.5</v>
      </c>
      <c r="H189" s="13">
        <f t="shared" si="5"/>
        <v>2405.7142857142858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</row>
    <row r="190" spans="1:14" x14ac:dyDescent="0.3">
      <c r="A190" s="13" t="s">
        <v>561</v>
      </c>
      <c r="B190" s="13" t="s">
        <v>246</v>
      </c>
      <c r="C190" s="13">
        <v>205</v>
      </c>
      <c r="D190" s="13">
        <v>10.1</v>
      </c>
      <c r="E190" s="13">
        <f t="shared" si="4"/>
        <v>2751.4285714285716</v>
      </c>
      <c r="F190" s="13">
        <v>9630</v>
      </c>
      <c r="G190" s="13">
        <v>3.5</v>
      </c>
      <c r="H190" s="13">
        <f t="shared" si="5"/>
        <v>2751.4285714285716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</row>
    <row r="191" spans="1:14" x14ac:dyDescent="0.3">
      <c r="A191" s="13" t="s">
        <v>562</v>
      </c>
      <c r="B191" s="13" t="s">
        <v>247</v>
      </c>
      <c r="C191" s="13">
        <v>511</v>
      </c>
      <c r="D191" s="13">
        <v>20.7</v>
      </c>
      <c r="E191" s="13">
        <f t="shared" si="4"/>
        <v>5428.5714285714284</v>
      </c>
      <c r="F191" s="13">
        <v>19000</v>
      </c>
      <c r="G191" s="13">
        <v>3.5</v>
      </c>
      <c r="H191" s="13">
        <f t="shared" si="5"/>
        <v>5428.5714285714284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</row>
    <row r="192" spans="1:14" x14ac:dyDescent="0.3">
      <c r="A192" s="13" t="s">
        <v>563</v>
      </c>
      <c r="B192" s="13" t="s">
        <v>248</v>
      </c>
      <c r="C192" s="13">
        <v>83</v>
      </c>
      <c r="D192" s="13">
        <v>4.5</v>
      </c>
      <c r="E192" s="13">
        <f t="shared" si="4"/>
        <v>1225.7142857142858</v>
      </c>
      <c r="F192" s="13">
        <v>4290</v>
      </c>
      <c r="G192" s="13">
        <v>3.5</v>
      </c>
      <c r="H192" s="13">
        <f t="shared" si="5"/>
        <v>1225.7142857142858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</row>
    <row r="193" spans="1:14" x14ac:dyDescent="0.3">
      <c r="A193" s="13" t="s">
        <v>564</v>
      </c>
      <c r="B193" s="13" t="s">
        <v>249</v>
      </c>
      <c r="C193" s="13">
        <v>839</v>
      </c>
      <c r="D193" s="13">
        <v>26</v>
      </c>
      <c r="E193" s="13">
        <f t="shared" si="4"/>
        <v>4800</v>
      </c>
      <c r="F193" s="13">
        <v>16800</v>
      </c>
      <c r="G193" s="13">
        <v>3.5</v>
      </c>
      <c r="H193" s="13">
        <f t="shared" si="5"/>
        <v>4800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</row>
    <row r="194" spans="1:14" x14ac:dyDescent="0.3">
      <c r="A194" s="13" t="s">
        <v>565</v>
      </c>
      <c r="B194" s="13" t="s">
        <v>250</v>
      </c>
      <c r="C194" s="13">
        <v>592</v>
      </c>
      <c r="D194" s="13">
        <v>14.8</v>
      </c>
      <c r="E194" s="13">
        <f t="shared" si="4"/>
        <v>5771.4285714285716</v>
      </c>
      <c r="F194" s="13">
        <v>20200</v>
      </c>
      <c r="G194" s="13">
        <v>3.5</v>
      </c>
      <c r="H194" s="13">
        <f t="shared" si="5"/>
        <v>5771.4285714285716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</row>
    <row r="195" spans="1:14" x14ac:dyDescent="0.3">
      <c r="A195" s="13" t="s">
        <v>566</v>
      </c>
      <c r="B195" s="13" t="s">
        <v>251</v>
      </c>
      <c r="C195" s="13">
        <v>1097</v>
      </c>
      <c r="D195" s="13">
        <v>34.9</v>
      </c>
      <c r="E195" s="13">
        <f t="shared" ref="E195:E258" si="6">F195/G195</f>
        <v>7800</v>
      </c>
      <c r="F195" s="13">
        <v>27300</v>
      </c>
      <c r="G195" s="13">
        <v>3.5</v>
      </c>
      <c r="H195" s="13">
        <f t="shared" ref="H195:H258" si="7">(F195/G195)-SUM(I195:N195)</f>
        <v>7800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</row>
    <row r="196" spans="1:14" x14ac:dyDescent="0.3">
      <c r="A196" s="13" t="s">
        <v>567</v>
      </c>
      <c r="B196" s="13" t="s">
        <v>252</v>
      </c>
      <c r="C196" s="13">
        <v>251</v>
      </c>
      <c r="D196" s="13">
        <v>7</v>
      </c>
      <c r="E196" s="13">
        <f t="shared" si="6"/>
        <v>1328.5714285714287</v>
      </c>
      <c r="F196" s="13">
        <v>4650</v>
      </c>
      <c r="G196" s="13">
        <v>3.5</v>
      </c>
      <c r="H196" s="13">
        <f t="shared" si="7"/>
        <v>1328.5714285714287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</row>
    <row r="197" spans="1:14" x14ac:dyDescent="0.3">
      <c r="A197" s="13" t="s">
        <v>568</v>
      </c>
      <c r="B197" s="13" t="s">
        <v>253</v>
      </c>
      <c r="C197" s="13">
        <v>202</v>
      </c>
      <c r="D197" s="13">
        <v>7</v>
      </c>
      <c r="E197" s="13">
        <f t="shared" si="6"/>
        <v>2700</v>
      </c>
      <c r="F197" s="13">
        <v>9450</v>
      </c>
      <c r="G197" s="13">
        <v>3.5</v>
      </c>
      <c r="H197" s="13">
        <f t="shared" si="7"/>
        <v>2700</v>
      </c>
      <c r="I197" s="13">
        <v>0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</row>
    <row r="198" spans="1:14" x14ac:dyDescent="0.3">
      <c r="A198" s="13" t="s">
        <v>569</v>
      </c>
      <c r="B198" s="13" t="s">
        <v>254</v>
      </c>
      <c r="C198" s="13">
        <v>193</v>
      </c>
      <c r="D198" s="13">
        <v>8.4</v>
      </c>
      <c r="E198" s="13">
        <f t="shared" si="6"/>
        <v>1960</v>
      </c>
      <c r="F198" s="13">
        <v>6860</v>
      </c>
      <c r="G198" s="13">
        <v>3.5</v>
      </c>
      <c r="H198" s="13">
        <f t="shared" si="7"/>
        <v>1960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</row>
    <row r="199" spans="1:14" x14ac:dyDescent="0.3">
      <c r="A199" s="13" t="s">
        <v>570</v>
      </c>
      <c r="B199" s="13" t="s">
        <v>255</v>
      </c>
      <c r="C199" s="13">
        <v>133</v>
      </c>
      <c r="D199" s="13">
        <v>5.4</v>
      </c>
      <c r="E199" s="13">
        <f t="shared" si="6"/>
        <v>1457.1428571428571</v>
      </c>
      <c r="F199" s="13">
        <v>5100</v>
      </c>
      <c r="G199" s="13">
        <v>3.5</v>
      </c>
      <c r="H199" s="13">
        <f t="shared" si="7"/>
        <v>1457.1428571428571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</row>
    <row r="200" spans="1:14" x14ac:dyDescent="0.3">
      <c r="A200" s="13" t="s">
        <v>571</v>
      </c>
      <c r="B200" s="13" t="s">
        <v>256</v>
      </c>
      <c r="C200" s="13">
        <v>1191</v>
      </c>
      <c r="D200" s="13">
        <v>42.2</v>
      </c>
      <c r="E200" s="13">
        <f t="shared" si="6"/>
        <v>8342.8571428571431</v>
      </c>
      <c r="F200" s="13">
        <v>29200</v>
      </c>
      <c r="G200" s="13">
        <v>3.5</v>
      </c>
      <c r="H200" s="13">
        <f t="shared" si="7"/>
        <v>8342.8571428571431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</row>
    <row r="201" spans="1:14" x14ac:dyDescent="0.3">
      <c r="A201" s="13" t="s">
        <v>572</v>
      </c>
      <c r="B201" s="13" t="s">
        <v>257</v>
      </c>
      <c r="C201" s="13">
        <v>203</v>
      </c>
      <c r="D201" s="13">
        <v>8.8000000000000007</v>
      </c>
      <c r="E201" s="13">
        <f t="shared" si="6"/>
        <v>2248.5714285714284</v>
      </c>
      <c r="F201" s="13">
        <v>7870</v>
      </c>
      <c r="G201" s="13">
        <v>3.5</v>
      </c>
      <c r="H201" s="13">
        <f t="shared" si="7"/>
        <v>2248.5714285714284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</row>
    <row r="202" spans="1:14" x14ac:dyDescent="0.3">
      <c r="A202" s="13" t="s">
        <v>573</v>
      </c>
      <c r="B202" s="13" t="s">
        <v>258</v>
      </c>
      <c r="C202" s="13">
        <v>146</v>
      </c>
      <c r="D202" s="13">
        <v>5.6</v>
      </c>
      <c r="E202" s="13">
        <f t="shared" si="6"/>
        <v>1351.4285714285713</v>
      </c>
      <c r="F202" s="13">
        <v>4730</v>
      </c>
      <c r="G202" s="13">
        <v>3.5</v>
      </c>
      <c r="H202" s="13">
        <f t="shared" si="7"/>
        <v>1351.4285714285713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</row>
    <row r="203" spans="1:14" x14ac:dyDescent="0.3">
      <c r="A203" s="13" t="s">
        <v>574</v>
      </c>
      <c r="B203" s="13" t="s">
        <v>259</v>
      </c>
      <c r="C203" s="13">
        <v>722</v>
      </c>
      <c r="D203" s="13">
        <v>23</v>
      </c>
      <c r="E203" s="13">
        <f t="shared" si="6"/>
        <v>5542.8571428571431</v>
      </c>
      <c r="F203" s="13">
        <v>19400</v>
      </c>
      <c r="G203" s="13">
        <v>3.5</v>
      </c>
      <c r="H203" s="13">
        <f t="shared" si="7"/>
        <v>5542.8571428571431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</row>
    <row r="204" spans="1:14" x14ac:dyDescent="0.3">
      <c r="A204" s="13" t="s">
        <v>575</v>
      </c>
      <c r="B204" s="13" t="s">
        <v>260</v>
      </c>
      <c r="C204" s="13">
        <v>83</v>
      </c>
      <c r="D204" s="13">
        <v>3.8</v>
      </c>
      <c r="E204" s="13">
        <f t="shared" si="6"/>
        <v>1428.5714285714287</v>
      </c>
      <c r="F204" s="13">
        <v>5000</v>
      </c>
      <c r="G204" s="13">
        <v>3.5</v>
      </c>
      <c r="H204" s="13">
        <f t="shared" si="7"/>
        <v>1428.5714285714287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</row>
    <row r="205" spans="1:14" x14ac:dyDescent="0.3">
      <c r="A205" s="13" t="s">
        <v>576</v>
      </c>
      <c r="B205" s="13" t="s">
        <v>261</v>
      </c>
      <c r="C205" s="13">
        <v>778</v>
      </c>
      <c r="D205" s="13">
        <v>30.4</v>
      </c>
      <c r="E205" s="13">
        <f t="shared" si="6"/>
        <v>7457.1428571428569</v>
      </c>
      <c r="F205" s="13">
        <v>26100</v>
      </c>
      <c r="G205" s="13">
        <v>3.5</v>
      </c>
      <c r="H205" s="13">
        <f t="shared" si="7"/>
        <v>7457.1428571428569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</row>
    <row r="206" spans="1:14" x14ac:dyDescent="0.3">
      <c r="A206" s="13" t="s">
        <v>577</v>
      </c>
      <c r="B206" s="13" t="s">
        <v>262</v>
      </c>
      <c r="C206" s="13">
        <v>255</v>
      </c>
      <c r="D206" s="13">
        <v>12</v>
      </c>
      <c r="E206" s="13">
        <f t="shared" si="6"/>
        <v>2562.8571428571427</v>
      </c>
      <c r="F206" s="13">
        <v>8970</v>
      </c>
      <c r="G206" s="13">
        <v>3.5</v>
      </c>
      <c r="H206" s="13">
        <f t="shared" si="7"/>
        <v>2562.8571428571427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</row>
    <row r="207" spans="1:14" x14ac:dyDescent="0.3">
      <c r="A207" s="13" t="s">
        <v>578</v>
      </c>
      <c r="B207" s="13" t="s">
        <v>263</v>
      </c>
      <c r="C207" s="13">
        <v>101</v>
      </c>
      <c r="D207" s="13">
        <v>5.4</v>
      </c>
      <c r="E207" s="13">
        <f t="shared" si="6"/>
        <v>1214.2857142857142</v>
      </c>
      <c r="F207" s="13">
        <v>4250</v>
      </c>
      <c r="G207" s="13">
        <v>3.5</v>
      </c>
      <c r="H207" s="13">
        <f t="shared" si="7"/>
        <v>1214.2857142857142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</row>
    <row r="208" spans="1:14" x14ac:dyDescent="0.3">
      <c r="A208" s="13" t="s">
        <v>579</v>
      </c>
      <c r="B208" s="13" t="s">
        <v>264</v>
      </c>
      <c r="C208" s="13">
        <v>164</v>
      </c>
      <c r="D208" s="13">
        <v>7.2</v>
      </c>
      <c r="E208" s="13">
        <f t="shared" si="6"/>
        <v>1845.7142857142858</v>
      </c>
      <c r="F208" s="13">
        <v>6460</v>
      </c>
      <c r="G208" s="13">
        <v>3.5</v>
      </c>
      <c r="H208" s="13">
        <f t="shared" si="7"/>
        <v>1845.7142857142858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</row>
    <row r="209" spans="1:14" x14ac:dyDescent="0.3">
      <c r="A209" s="13" t="s">
        <v>580</v>
      </c>
      <c r="B209" s="13" t="s">
        <v>265</v>
      </c>
      <c r="C209" s="13">
        <v>404</v>
      </c>
      <c r="D209" s="13">
        <v>15.4</v>
      </c>
      <c r="E209" s="13">
        <f t="shared" si="6"/>
        <v>3228.5714285714284</v>
      </c>
      <c r="F209" s="13">
        <v>11300</v>
      </c>
      <c r="G209" s="13">
        <v>3.5</v>
      </c>
      <c r="H209" s="13">
        <f t="shared" si="7"/>
        <v>3228.5714285714284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</row>
    <row r="210" spans="1:14" x14ac:dyDescent="0.3">
      <c r="A210" s="13" t="s">
        <v>581</v>
      </c>
      <c r="B210" s="13" t="s">
        <v>266</v>
      </c>
      <c r="C210" s="13">
        <v>942</v>
      </c>
      <c r="D210" s="13">
        <v>24.6</v>
      </c>
      <c r="E210" s="13">
        <f t="shared" si="6"/>
        <v>8885.7142857142862</v>
      </c>
      <c r="F210" s="13">
        <v>31100</v>
      </c>
      <c r="G210" s="13">
        <v>3.5</v>
      </c>
      <c r="H210" s="13">
        <f t="shared" si="7"/>
        <v>8885.7142857142862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</row>
    <row r="211" spans="1:14" x14ac:dyDescent="0.3">
      <c r="A211" s="13" t="s">
        <v>582</v>
      </c>
      <c r="B211" s="13" t="s">
        <v>267</v>
      </c>
      <c r="C211" s="13">
        <v>295</v>
      </c>
      <c r="D211" s="13">
        <v>11.6</v>
      </c>
      <c r="E211" s="13">
        <f t="shared" si="6"/>
        <v>2697.1428571428573</v>
      </c>
      <c r="F211" s="13">
        <v>9440</v>
      </c>
      <c r="G211" s="13">
        <v>3.5</v>
      </c>
      <c r="H211" s="13">
        <f t="shared" si="7"/>
        <v>2697.1428571428573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</row>
    <row r="212" spans="1:14" x14ac:dyDescent="0.3">
      <c r="A212" s="13" t="s">
        <v>583</v>
      </c>
      <c r="B212" s="13" t="s">
        <v>268</v>
      </c>
      <c r="C212" s="13">
        <v>1000</v>
      </c>
      <c r="D212" s="13">
        <v>34</v>
      </c>
      <c r="E212" s="13">
        <f t="shared" si="6"/>
        <v>7057.1428571428569</v>
      </c>
      <c r="F212" s="13">
        <v>24700</v>
      </c>
      <c r="G212" s="13">
        <v>3.5</v>
      </c>
      <c r="H212" s="13">
        <f t="shared" si="7"/>
        <v>7057.1428571428569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</row>
    <row r="213" spans="1:14" x14ac:dyDescent="0.3">
      <c r="A213" s="13" t="s">
        <v>584</v>
      </c>
      <c r="B213" s="13" t="s">
        <v>269</v>
      </c>
      <c r="C213" s="13">
        <v>889</v>
      </c>
      <c r="D213" s="13">
        <v>24.7</v>
      </c>
      <c r="E213" s="13">
        <f t="shared" si="6"/>
        <v>9828.5714285714294</v>
      </c>
      <c r="F213" s="13">
        <v>34400</v>
      </c>
      <c r="G213" s="13">
        <v>3.5</v>
      </c>
      <c r="H213" s="13">
        <f t="shared" si="7"/>
        <v>9828.5714285714294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</row>
    <row r="214" spans="1:14" x14ac:dyDescent="0.3">
      <c r="A214" s="13" t="s">
        <v>585</v>
      </c>
      <c r="B214" s="13" t="s">
        <v>270</v>
      </c>
      <c r="C214" s="13">
        <v>173</v>
      </c>
      <c r="D214" s="13">
        <v>9.5</v>
      </c>
      <c r="E214" s="13">
        <f t="shared" si="6"/>
        <v>2602.8571428571427</v>
      </c>
      <c r="F214" s="13">
        <v>9110</v>
      </c>
      <c r="G214" s="13">
        <v>3.5</v>
      </c>
      <c r="H214" s="13">
        <f t="shared" si="7"/>
        <v>2602.8571428571427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</row>
    <row r="215" spans="1:14" x14ac:dyDescent="0.3">
      <c r="A215" s="13" t="s">
        <v>586</v>
      </c>
      <c r="B215" s="13" t="s">
        <v>271</v>
      </c>
      <c r="C215" s="13">
        <v>835</v>
      </c>
      <c r="D215" s="13">
        <v>19.5</v>
      </c>
      <c r="E215" s="13">
        <f t="shared" si="6"/>
        <v>7171.4285714285716</v>
      </c>
      <c r="F215" s="13">
        <v>25100</v>
      </c>
      <c r="G215" s="13">
        <v>3.5</v>
      </c>
      <c r="H215" s="13">
        <f t="shared" si="7"/>
        <v>7171.4285714285716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</row>
    <row r="216" spans="1:14" x14ac:dyDescent="0.3">
      <c r="A216" s="13" t="s">
        <v>587</v>
      </c>
      <c r="B216" s="13" t="s">
        <v>272</v>
      </c>
      <c r="C216" s="13">
        <v>116</v>
      </c>
      <c r="D216" s="13">
        <v>5.7</v>
      </c>
      <c r="E216" s="13">
        <f t="shared" si="6"/>
        <v>1237.1428571428571</v>
      </c>
      <c r="F216" s="13">
        <v>4330</v>
      </c>
      <c r="G216" s="13">
        <v>3.5</v>
      </c>
      <c r="H216" s="13">
        <f t="shared" si="7"/>
        <v>1237.1428571428571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</row>
    <row r="217" spans="1:14" x14ac:dyDescent="0.3">
      <c r="A217" s="13" t="s">
        <v>588</v>
      </c>
      <c r="B217" s="13" t="s">
        <v>273</v>
      </c>
      <c r="C217" s="13">
        <v>1212</v>
      </c>
      <c r="D217" s="13">
        <v>32.200000000000003</v>
      </c>
      <c r="E217" s="13">
        <f t="shared" si="6"/>
        <v>10885.714285714286</v>
      </c>
      <c r="F217" s="13">
        <v>38100</v>
      </c>
      <c r="G217" s="13">
        <v>3.5</v>
      </c>
      <c r="H217" s="13">
        <f t="shared" si="7"/>
        <v>10885.714285714286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</row>
    <row r="218" spans="1:14" x14ac:dyDescent="0.3">
      <c r="A218" s="13" t="s">
        <v>589</v>
      </c>
      <c r="B218" s="13" t="s">
        <v>274</v>
      </c>
      <c r="C218" s="13">
        <v>599</v>
      </c>
      <c r="D218" s="13">
        <v>15.2</v>
      </c>
      <c r="E218" s="13">
        <f t="shared" si="6"/>
        <v>5914.2857142857147</v>
      </c>
      <c r="F218" s="13">
        <v>20700</v>
      </c>
      <c r="G218" s="13">
        <v>3.5</v>
      </c>
      <c r="H218" s="13">
        <f t="shared" si="7"/>
        <v>5914.2857142857147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</row>
    <row r="219" spans="1:14" x14ac:dyDescent="0.3">
      <c r="A219" s="13" t="s">
        <v>590</v>
      </c>
      <c r="B219" s="13" t="s">
        <v>275</v>
      </c>
      <c r="C219" s="13">
        <v>159</v>
      </c>
      <c r="D219" s="13">
        <v>7.7</v>
      </c>
      <c r="E219" s="13">
        <f t="shared" si="6"/>
        <v>1777.1428571428571</v>
      </c>
      <c r="F219" s="13">
        <v>6220</v>
      </c>
      <c r="G219" s="13">
        <v>3.5</v>
      </c>
      <c r="H219" s="13">
        <f t="shared" si="7"/>
        <v>1777.1428571428571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</row>
    <row r="220" spans="1:14" x14ac:dyDescent="0.3">
      <c r="A220" s="13" t="s">
        <v>591</v>
      </c>
      <c r="B220" s="13" t="s">
        <v>276</v>
      </c>
      <c r="C220" s="13">
        <v>358</v>
      </c>
      <c r="D220" s="13">
        <v>15.1</v>
      </c>
      <c r="E220" s="13">
        <f t="shared" si="6"/>
        <v>3142.8571428571427</v>
      </c>
      <c r="F220" s="13">
        <v>11000</v>
      </c>
      <c r="G220" s="13">
        <v>3.5</v>
      </c>
      <c r="H220" s="13">
        <f t="shared" si="7"/>
        <v>3142.8571428571427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</row>
    <row r="221" spans="1:14" x14ac:dyDescent="0.3">
      <c r="A221" s="13" t="s">
        <v>592</v>
      </c>
      <c r="B221" s="13" t="s">
        <v>277</v>
      </c>
      <c r="C221" s="13">
        <v>1218</v>
      </c>
      <c r="D221" s="13">
        <v>42.9</v>
      </c>
      <c r="E221" s="13">
        <f t="shared" si="6"/>
        <v>8371.4285714285706</v>
      </c>
      <c r="F221" s="13">
        <v>29300</v>
      </c>
      <c r="G221" s="13">
        <v>3.5</v>
      </c>
      <c r="H221" s="13">
        <f t="shared" si="7"/>
        <v>8371.4285714285706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</row>
    <row r="222" spans="1:14" x14ac:dyDescent="0.3">
      <c r="A222" s="13" t="s">
        <v>593</v>
      </c>
      <c r="B222" s="13" t="s">
        <v>278</v>
      </c>
      <c r="C222" s="13">
        <v>466</v>
      </c>
      <c r="D222" s="13">
        <v>16.600000000000001</v>
      </c>
      <c r="E222" s="13">
        <f t="shared" si="6"/>
        <v>3628.5714285714284</v>
      </c>
      <c r="F222" s="13">
        <v>12700</v>
      </c>
      <c r="G222" s="13">
        <v>3.5</v>
      </c>
      <c r="H222" s="13">
        <f t="shared" si="7"/>
        <v>3628.5714285714284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</row>
    <row r="223" spans="1:14" x14ac:dyDescent="0.3">
      <c r="A223" s="13" t="s">
        <v>594</v>
      </c>
      <c r="B223" s="13" t="s">
        <v>279</v>
      </c>
      <c r="C223" s="13">
        <v>253</v>
      </c>
      <c r="D223" s="13">
        <v>12.5</v>
      </c>
      <c r="E223" s="13">
        <f t="shared" si="6"/>
        <v>3285.7142857142858</v>
      </c>
      <c r="F223" s="13">
        <v>11500</v>
      </c>
      <c r="G223" s="13">
        <v>3.5</v>
      </c>
      <c r="H223" s="13">
        <f t="shared" si="7"/>
        <v>3285.7142857142858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</row>
    <row r="224" spans="1:14" x14ac:dyDescent="0.3">
      <c r="A224" s="13" t="s">
        <v>595</v>
      </c>
      <c r="B224" s="13" t="s">
        <v>280</v>
      </c>
      <c r="C224" s="13">
        <v>845</v>
      </c>
      <c r="D224" s="13">
        <v>24.8</v>
      </c>
      <c r="E224" s="13">
        <f t="shared" si="6"/>
        <v>5400</v>
      </c>
      <c r="F224" s="13">
        <v>18900</v>
      </c>
      <c r="G224" s="13">
        <v>3.5</v>
      </c>
      <c r="H224" s="13">
        <f t="shared" si="7"/>
        <v>5400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</row>
    <row r="225" spans="1:14" x14ac:dyDescent="0.3">
      <c r="A225" s="13" t="s">
        <v>596</v>
      </c>
      <c r="B225" s="13" t="s">
        <v>281</v>
      </c>
      <c r="C225" s="13">
        <v>609</v>
      </c>
      <c r="D225" s="13">
        <v>25</v>
      </c>
      <c r="E225" s="13">
        <f t="shared" si="6"/>
        <v>5742.8571428571431</v>
      </c>
      <c r="F225" s="13">
        <v>20100</v>
      </c>
      <c r="G225" s="13">
        <v>3.5</v>
      </c>
      <c r="H225" s="13">
        <f t="shared" si="7"/>
        <v>5742.8571428571431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</row>
    <row r="226" spans="1:14" x14ac:dyDescent="0.3">
      <c r="A226" s="13" t="s">
        <v>597</v>
      </c>
      <c r="B226" s="13" t="s">
        <v>282</v>
      </c>
      <c r="C226" s="13">
        <v>244</v>
      </c>
      <c r="D226" s="13">
        <v>10</v>
      </c>
      <c r="E226" s="13">
        <f t="shared" si="6"/>
        <v>2354.2857142857142</v>
      </c>
      <c r="F226" s="13">
        <v>8240</v>
      </c>
      <c r="G226" s="13">
        <v>3.5</v>
      </c>
      <c r="H226" s="13">
        <f t="shared" si="7"/>
        <v>2354.2857142857142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</row>
    <row r="227" spans="1:14" x14ac:dyDescent="0.3">
      <c r="A227" s="13" t="s">
        <v>598</v>
      </c>
      <c r="B227" s="13" t="s">
        <v>283</v>
      </c>
      <c r="C227" s="13">
        <v>114</v>
      </c>
      <c r="D227" s="13">
        <v>5.0999999999999996</v>
      </c>
      <c r="E227" s="13">
        <f t="shared" si="6"/>
        <v>1862.8571428571429</v>
      </c>
      <c r="F227" s="13">
        <v>6520</v>
      </c>
      <c r="G227" s="13">
        <v>3.5</v>
      </c>
      <c r="H227" s="13">
        <f t="shared" si="7"/>
        <v>1862.8571428571429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</row>
    <row r="228" spans="1:14" x14ac:dyDescent="0.3">
      <c r="A228" s="13" t="s">
        <v>599</v>
      </c>
      <c r="B228" s="13" t="s">
        <v>284</v>
      </c>
      <c r="C228" s="13">
        <v>500</v>
      </c>
      <c r="D228" s="13">
        <v>13.9</v>
      </c>
      <c r="E228" s="13">
        <f t="shared" si="6"/>
        <v>5571.4285714285716</v>
      </c>
      <c r="F228" s="13">
        <v>19500</v>
      </c>
      <c r="G228" s="13">
        <v>3.5</v>
      </c>
      <c r="H228" s="13">
        <f t="shared" si="7"/>
        <v>5571.4285714285716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</row>
    <row r="229" spans="1:14" x14ac:dyDescent="0.3">
      <c r="A229" s="13" t="s">
        <v>600</v>
      </c>
      <c r="B229" s="13" t="s">
        <v>285</v>
      </c>
      <c r="C229" s="13">
        <v>215</v>
      </c>
      <c r="D229" s="13">
        <v>7.4</v>
      </c>
      <c r="E229" s="13">
        <f t="shared" si="6"/>
        <v>2625.7142857142858</v>
      </c>
      <c r="F229" s="13">
        <v>9190</v>
      </c>
      <c r="G229" s="13">
        <v>3.5</v>
      </c>
      <c r="H229" s="13">
        <f t="shared" si="7"/>
        <v>2625.7142857142858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</row>
    <row r="230" spans="1:14" x14ac:dyDescent="0.3">
      <c r="A230" s="13" t="s">
        <v>601</v>
      </c>
      <c r="B230" s="13" t="s">
        <v>286</v>
      </c>
      <c r="C230" s="13">
        <v>672</v>
      </c>
      <c r="D230" s="13">
        <v>25.1</v>
      </c>
      <c r="E230" s="13">
        <f t="shared" si="6"/>
        <v>6428.5714285714284</v>
      </c>
      <c r="F230" s="13">
        <v>22500</v>
      </c>
      <c r="G230" s="13">
        <v>3.5</v>
      </c>
      <c r="H230" s="13">
        <f t="shared" si="7"/>
        <v>6428.5714285714284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</row>
    <row r="231" spans="1:14" x14ac:dyDescent="0.3">
      <c r="A231" s="13" t="s">
        <v>602</v>
      </c>
      <c r="B231" s="13" t="s">
        <v>287</v>
      </c>
      <c r="C231" s="13">
        <v>330</v>
      </c>
      <c r="D231" s="13">
        <v>10.9</v>
      </c>
      <c r="E231" s="13">
        <f t="shared" si="6"/>
        <v>3571.4285714285716</v>
      </c>
      <c r="F231" s="13">
        <v>12500</v>
      </c>
      <c r="G231" s="13">
        <v>3.5</v>
      </c>
      <c r="H231" s="13">
        <f t="shared" si="7"/>
        <v>3571.4285714285716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</row>
    <row r="232" spans="1:14" x14ac:dyDescent="0.3">
      <c r="A232" s="13" t="s">
        <v>603</v>
      </c>
      <c r="B232" s="13" t="s">
        <v>288</v>
      </c>
      <c r="C232" s="13">
        <v>324</v>
      </c>
      <c r="D232" s="13">
        <v>16.3</v>
      </c>
      <c r="E232" s="13">
        <f t="shared" si="6"/>
        <v>4400</v>
      </c>
      <c r="F232" s="13">
        <v>15400</v>
      </c>
      <c r="G232" s="13">
        <v>3.5</v>
      </c>
      <c r="H232" s="13">
        <f t="shared" si="7"/>
        <v>4400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</row>
    <row r="233" spans="1:14" x14ac:dyDescent="0.3">
      <c r="A233" s="13" t="s">
        <v>604</v>
      </c>
      <c r="B233" s="13" t="s">
        <v>289</v>
      </c>
      <c r="C233" s="13">
        <v>96</v>
      </c>
      <c r="D233" s="13">
        <v>6.6</v>
      </c>
      <c r="E233" s="13">
        <f t="shared" si="6"/>
        <v>1782.8571428571429</v>
      </c>
      <c r="F233" s="13">
        <v>6240</v>
      </c>
      <c r="G233" s="13">
        <v>3.5</v>
      </c>
      <c r="H233" s="13">
        <f t="shared" si="7"/>
        <v>1782.8571428571429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</row>
    <row r="234" spans="1:14" x14ac:dyDescent="0.3">
      <c r="A234" s="13" t="s">
        <v>605</v>
      </c>
      <c r="B234" s="13" t="s">
        <v>290</v>
      </c>
      <c r="C234" s="13">
        <v>361</v>
      </c>
      <c r="D234" s="13">
        <v>14.1</v>
      </c>
      <c r="E234" s="13">
        <f t="shared" si="6"/>
        <v>3371.4285714285716</v>
      </c>
      <c r="F234" s="13">
        <v>11800</v>
      </c>
      <c r="G234" s="13">
        <v>3.5</v>
      </c>
      <c r="H234" s="13">
        <f t="shared" si="7"/>
        <v>3371.4285714285716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</row>
    <row r="235" spans="1:14" x14ac:dyDescent="0.3">
      <c r="A235" s="13" t="s">
        <v>606</v>
      </c>
      <c r="B235" s="13" t="s">
        <v>291</v>
      </c>
      <c r="C235" s="13">
        <v>677</v>
      </c>
      <c r="D235" s="13">
        <v>18.3</v>
      </c>
      <c r="E235" s="13">
        <f t="shared" si="6"/>
        <v>7371.4285714285716</v>
      </c>
      <c r="F235" s="13">
        <v>25800</v>
      </c>
      <c r="G235" s="13">
        <v>3.5</v>
      </c>
      <c r="H235" s="13">
        <f t="shared" si="7"/>
        <v>7371.4285714285716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</row>
    <row r="236" spans="1:14" x14ac:dyDescent="0.3">
      <c r="A236" s="13" t="s">
        <v>607</v>
      </c>
      <c r="B236" s="13" t="s">
        <v>292</v>
      </c>
      <c r="C236" s="13">
        <v>256</v>
      </c>
      <c r="D236" s="13">
        <v>9.1999999999999993</v>
      </c>
      <c r="E236" s="13">
        <f t="shared" si="6"/>
        <v>2191.4285714285716</v>
      </c>
      <c r="F236" s="13">
        <v>7670</v>
      </c>
      <c r="G236" s="13">
        <v>3.5</v>
      </c>
      <c r="H236" s="13">
        <f t="shared" si="7"/>
        <v>2191.4285714285716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</row>
    <row r="237" spans="1:14" x14ac:dyDescent="0.3">
      <c r="A237" s="13" t="s">
        <v>608</v>
      </c>
      <c r="B237" s="13" t="s">
        <v>293</v>
      </c>
      <c r="C237" s="13">
        <v>100</v>
      </c>
      <c r="D237" s="13">
        <v>5.5</v>
      </c>
      <c r="E237" s="13">
        <f t="shared" si="6"/>
        <v>1465.7142857142858</v>
      </c>
      <c r="F237" s="13">
        <v>5130</v>
      </c>
      <c r="G237" s="13">
        <v>3.5</v>
      </c>
      <c r="H237" s="13">
        <f t="shared" si="7"/>
        <v>1465.7142857142858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</row>
    <row r="238" spans="1:14" x14ac:dyDescent="0.3">
      <c r="A238" s="13" t="s">
        <v>609</v>
      </c>
      <c r="B238" s="13" t="s">
        <v>294</v>
      </c>
      <c r="C238" s="13">
        <v>375</v>
      </c>
      <c r="D238" s="13">
        <v>13</v>
      </c>
      <c r="E238" s="13">
        <f t="shared" si="6"/>
        <v>5171.4285714285716</v>
      </c>
      <c r="F238" s="13">
        <v>18100</v>
      </c>
      <c r="G238" s="13">
        <v>3.5</v>
      </c>
      <c r="H238" s="13">
        <f t="shared" si="7"/>
        <v>5171.4285714285716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</row>
    <row r="239" spans="1:14" x14ac:dyDescent="0.3">
      <c r="A239" s="13" t="s">
        <v>610</v>
      </c>
      <c r="B239" s="13" t="s">
        <v>295</v>
      </c>
      <c r="C239" s="13">
        <v>588</v>
      </c>
      <c r="D239" s="13">
        <v>22.6</v>
      </c>
      <c r="E239" s="13">
        <f t="shared" si="6"/>
        <v>5400</v>
      </c>
      <c r="F239" s="13">
        <v>18900</v>
      </c>
      <c r="G239" s="13">
        <v>3.5</v>
      </c>
      <c r="H239" s="13">
        <f t="shared" si="7"/>
        <v>5400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</row>
    <row r="240" spans="1:14" x14ac:dyDescent="0.3">
      <c r="A240" s="13" t="s">
        <v>611</v>
      </c>
      <c r="B240" s="13" t="s">
        <v>296</v>
      </c>
      <c r="C240" s="13">
        <v>87</v>
      </c>
      <c r="D240" s="13">
        <v>5</v>
      </c>
      <c r="E240" s="13">
        <f t="shared" si="6"/>
        <v>1360</v>
      </c>
      <c r="F240" s="13">
        <v>4760</v>
      </c>
      <c r="G240" s="13">
        <v>3.5</v>
      </c>
      <c r="H240" s="13">
        <f t="shared" si="7"/>
        <v>1360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</row>
    <row r="241" spans="1:14" x14ac:dyDescent="0.3">
      <c r="A241" s="13" t="s">
        <v>612</v>
      </c>
      <c r="B241" s="13" t="s">
        <v>297</v>
      </c>
      <c r="C241" s="13">
        <v>183</v>
      </c>
      <c r="D241" s="13">
        <v>5.2</v>
      </c>
      <c r="E241" s="13">
        <f t="shared" si="6"/>
        <v>1914.2857142857142</v>
      </c>
      <c r="F241" s="13">
        <v>6700</v>
      </c>
      <c r="G241" s="13">
        <v>3.5</v>
      </c>
      <c r="H241" s="13">
        <f t="shared" si="7"/>
        <v>1914.2857142857142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</row>
    <row r="242" spans="1:14" x14ac:dyDescent="0.3">
      <c r="A242" s="13" t="s">
        <v>613</v>
      </c>
      <c r="B242" s="13" t="s">
        <v>298</v>
      </c>
      <c r="C242" s="13">
        <v>511</v>
      </c>
      <c r="D242" s="13">
        <v>15.5</v>
      </c>
      <c r="E242" s="13">
        <f t="shared" si="6"/>
        <v>3171.4285714285716</v>
      </c>
      <c r="F242" s="13">
        <v>11100</v>
      </c>
      <c r="G242" s="13">
        <v>3.5</v>
      </c>
      <c r="H242" s="13">
        <f t="shared" si="7"/>
        <v>3171.4285714285716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</row>
    <row r="243" spans="1:14" x14ac:dyDescent="0.3">
      <c r="A243" s="13" t="s">
        <v>614</v>
      </c>
      <c r="B243" s="13" t="s">
        <v>299</v>
      </c>
      <c r="C243" s="13">
        <v>176</v>
      </c>
      <c r="D243" s="13">
        <v>5.9</v>
      </c>
      <c r="E243" s="13">
        <f t="shared" si="6"/>
        <v>2245.7142857142858</v>
      </c>
      <c r="F243" s="13">
        <v>7860</v>
      </c>
      <c r="G243" s="13">
        <v>3.5</v>
      </c>
      <c r="H243" s="13">
        <f t="shared" si="7"/>
        <v>2245.7142857142858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</row>
    <row r="244" spans="1:14" x14ac:dyDescent="0.3">
      <c r="A244" s="13" t="s">
        <v>615</v>
      </c>
      <c r="B244" s="13" t="s">
        <v>300</v>
      </c>
      <c r="C244" s="13">
        <v>236</v>
      </c>
      <c r="D244" s="13">
        <v>10.199999999999999</v>
      </c>
      <c r="E244" s="13">
        <f t="shared" si="6"/>
        <v>2334.2857142857142</v>
      </c>
      <c r="F244" s="13">
        <v>8170</v>
      </c>
      <c r="G244" s="13">
        <v>3.5</v>
      </c>
      <c r="H244" s="13">
        <f t="shared" si="7"/>
        <v>2334.2857142857142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</row>
    <row r="245" spans="1:14" x14ac:dyDescent="0.3">
      <c r="A245" s="13" t="s">
        <v>616</v>
      </c>
      <c r="B245" s="13" t="s">
        <v>301</v>
      </c>
      <c r="C245" s="13">
        <v>275</v>
      </c>
      <c r="D245" s="13">
        <v>15.2</v>
      </c>
      <c r="E245" s="13">
        <f t="shared" si="6"/>
        <v>4085.7142857142858</v>
      </c>
      <c r="F245" s="13">
        <v>14300</v>
      </c>
      <c r="G245" s="13">
        <v>3.5</v>
      </c>
      <c r="H245" s="13">
        <f t="shared" si="7"/>
        <v>4085.7142857142858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</row>
    <row r="246" spans="1:14" x14ac:dyDescent="0.3">
      <c r="A246" s="13" t="s">
        <v>617</v>
      </c>
      <c r="B246" s="13" t="s">
        <v>302</v>
      </c>
      <c r="C246" s="13">
        <v>113</v>
      </c>
      <c r="D246" s="13">
        <v>5.5</v>
      </c>
      <c r="E246" s="13">
        <f t="shared" si="6"/>
        <v>1320</v>
      </c>
      <c r="F246" s="13">
        <v>4620</v>
      </c>
      <c r="G246" s="13">
        <v>3.5</v>
      </c>
      <c r="H246" s="13">
        <f t="shared" si="7"/>
        <v>1320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</row>
    <row r="247" spans="1:14" x14ac:dyDescent="0.3">
      <c r="A247" s="13" t="s">
        <v>618</v>
      </c>
      <c r="B247" s="13" t="s">
        <v>303</v>
      </c>
      <c r="C247" s="13">
        <v>426</v>
      </c>
      <c r="D247" s="13">
        <v>13.7</v>
      </c>
      <c r="E247" s="13">
        <f t="shared" si="6"/>
        <v>2942.8571428571427</v>
      </c>
      <c r="F247" s="13">
        <v>10300</v>
      </c>
      <c r="G247" s="13">
        <v>3.5</v>
      </c>
      <c r="H247" s="13">
        <f t="shared" si="7"/>
        <v>2942.8571428571427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</row>
    <row r="248" spans="1:14" x14ac:dyDescent="0.3">
      <c r="A248" s="13" t="s">
        <v>619</v>
      </c>
      <c r="B248" s="13" t="s">
        <v>304</v>
      </c>
      <c r="C248" s="13">
        <v>398</v>
      </c>
      <c r="D248" s="13">
        <v>13.2</v>
      </c>
      <c r="E248" s="13">
        <f t="shared" si="6"/>
        <v>2600</v>
      </c>
      <c r="F248" s="13">
        <v>9100</v>
      </c>
      <c r="G248" s="13">
        <v>3.5</v>
      </c>
      <c r="H248" s="13">
        <f t="shared" si="7"/>
        <v>2600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</row>
    <row r="249" spans="1:14" x14ac:dyDescent="0.3">
      <c r="A249" s="13" t="s">
        <v>620</v>
      </c>
      <c r="B249" s="13" t="s">
        <v>305</v>
      </c>
      <c r="C249" s="13">
        <v>516</v>
      </c>
      <c r="D249" s="13">
        <v>13</v>
      </c>
      <c r="E249" s="13">
        <f t="shared" si="6"/>
        <v>5457.1428571428569</v>
      </c>
      <c r="F249" s="13">
        <v>19100</v>
      </c>
      <c r="G249" s="13">
        <v>3.5</v>
      </c>
      <c r="H249" s="13">
        <f t="shared" si="7"/>
        <v>5457.1428571428569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</row>
    <row r="250" spans="1:14" x14ac:dyDescent="0.3">
      <c r="A250" s="13" t="s">
        <v>621</v>
      </c>
      <c r="B250" s="13" t="s">
        <v>306</v>
      </c>
      <c r="C250" s="13">
        <v>136</v>
      </c>
      <c r="D250" s="13">
        <v>6.4</v>
      </c>
      <c r="E250" s="13">
        <f t="shared" si="6"/>
        <v>1431.4285714285713</v>
      </c>
      <c r="F250" s="13">
        <v>5010</v>
      </c>
      <c r="G250" s="13">
        <v>3.5</v>
      </c>
      <c r="H250" s="13">
        <f t="shared" si="7"/>
        <v>1431.4285714285713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</row>
    <row r="251" spans="1:14" x14ac:dyDescent="0.3">
      <c r="A251" s="13" t="s">
        <v>622</v>
      </c>
      <c r="B251" s="13" t="s">
        <v>307</v>
      </c>
      <c r="C251" s="13">
        <v>89</v>
      </c>
      <c r="D251" s="13">
        <v>2.6</v>
      </c>
      <c r="E251" s="13">
        <f t="shared" si="6"/>
        <v>1100</v>
      </c>
      <c r="F251" s="13">
        <v>3850</v>
      </c>
      <c r="G251" s="13">
        <v>3.5</v>
      </c>
      <c r="H251" s="13">
        <f t="shared" si="7"/>
        <v>1100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</row>
    <row r="252" spans="1:14" x14ac:dyDescent="0.3">
      <c r="A252" s="13" t="s">
        <v>623</v>
      </c>
      <c r="B252" s="13" t="s">
        <v>308</v>
      </c>
      <c r="C252" s="13">
        <v>331</v>
      </c>
      <c r="D252" s="13">
        <v>9.4</v>
      </c>
      <c r="E252" s="13">
        <f t="shared" si="6"/>
        <v>3742.8571428571427</v>
      </c>
      <c r="F252" s="13">
        <v>13100</v>
      </c>
      <c r="G252" s="13">
        <v>3.5</v>
      </c>
      <c r="H252" s="13">
        <f t="shared" si="7"/>
        <v>3742.8571428571427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</row>
    <row r="253" spans="1:14" x14ac:dyDescent="0.3">
      <c r="A253" s="13" t="s">
        <v>624</v>
      </c>
      <c r="B253" s="13" t="s">
        <v>309</v>
      </c>
      <c r="C253" s="13">
        <v>2582</v>
      </c>
      <c r="D253" s="13">
        <v>80.400000000000006</v>
      </c>
      <c r="E253" s="13">
        <f t="shared" si="6"/>
        <v>15257.142857142857</v>
      </c>
      <c r="F253" s="13">
        <v>53400</v>
      </c>
      <c r="G253" s="13">
        <v>3.5</v>
      </c>
      <c r="H253" s="13">
        <f t="shared" si="7"/>
        <v>15257.142857142857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</row>
    <row r="254" spans="1:14" x14ac:dyDescent="0.3">
      <c r="A254" s="13" t="s">
        <v>625</v>
      </c>
      <c r="B254" s="13" t="s">
        <v>311</v>
      </c>
      <c r="C254" s="13">
        <v>748</v>
      </c>
      <c r="D254" s="13">
        <v>24.4</v>
      </c>
      <c r="E254" s="13">
        <f t="shared" si="6"/>
        <v>10142.857142857143</v>
      </c>
      <c r="F254" s="13">
        <v>35500</v>
      </c>
      <c r="G254" s="13">
        <v>3.5</v>
      </c>
      <c r="H254" s="13">
        <f t="shared" si="7"/>
        <v>10142.857142857143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</row>
    <row r="255" spans="1:14" x14ac:dyDescent="0.3">
      <c r="A255" s="13" t="s">
        <v>626</v>
      </c>
      <c r="B255" s="13" t="s">
        <v>312</v>
      </c>
      <c r="C255" s="13">
        <v>682</v>
      </c>
      <c r="D255" s="13">
        <v>66.8</v>
      </c>
      <c r="E255" s="13">
        <f t="shared" si="6"/>
        <v>58571.428571428572</v>
      </c>
      <c r="F255" s="13">
        <v>205000</v>
      </c>
      <c r="G255" s="13">
        <v>3.5</v>
      </c>
      <c r="H255" s="13">
        <f t="shared" si="7"/>
        <v>58571.428571428572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</row>
    <row r="256" spans="1:14" x14ac:dyDescent="0.3">
      <c r="A256" s="13" t="s">
        <v>627</v>
      </c>
      <c r="B256" s="13" t="s">
        <v>313</v>
      </c>
      <c r="C256" s="13">
        <v>1167</v>
      </c>
      <c r="D256" s="13">
        <v>43.9</v>
      </c>
      <c r="E256" s="13">
        <f t="shared" si="6"/>
        <v>10257.142857142857</v>
      </c>
      <c r="F256" s="13">
        <v>35900</v>
      </c>
      <c r="G256" s="13">
        <v>3.5</v>
      </c>
      <c r="H256" s="13">
        <f t="shared" si="7"/>
        <v>10257.142857142857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</row>
    <row r="257" spans="1:14" x14ac:dyDescent="0.3">
      <c r="A257" s="13" t="s">
        <v>628</v>
      </c>
      <c r="B257" s="13" t="s">
        <v>314</v>
      </c>
      <c r="C257" s="13">
        <v>618</v>
      </c>
      <c r="D257" s="13">
        <v>22.4</v>
      </c>
      <c r="E257" s="13">
        <f t="shared" si="6"/>
        <v>7342.8571428571431</v>
      </c>
      <c r="F257" s="13">
        <v>25700</v>
      </c>
      <c r="G257" s="13">
        <v>3.5</v>
      </c>
      <c r="H257" s="13">
        <f t="shared" si="7"/>
        <v>7342.8571428571431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</row>
    <row r="258" spans="1:14" x14ac:dyDescent="0.3">
      <c r="A258" s="13" t="s">
        <v>629</v>
      </c>
      <c r="B258" s="13" t="s">
        <v>315</v>
      </c>
      <c r="C258" s="13">
        <v>781</v>
      </c>
      <c r="D258" s="13">
        <v>27.9</v>
      </c>
      <c r="E258" s="13">
        <f t="shared" si="6"/>
        <v>5628.5714285714284</v>
      </c>
      <c r="F258" s="13">
        <v>19700</v>
      </c>
      <c r="G258" s="13">
        <v>3.5</v>
      </c>
      <c r="H258" s="13">
        <f t="shared" si="7"/>
        <v>5628.5714285714284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</row>
    <row r="259" spans="1:14" x14ac:dyDescent="0.3">
      <c r="A259" s="13" t="s">
        <v>630</v>
      </c>
      <c r="B259" s="13" t="s">
        <v>316</v>
      </c>
      <c r="C259" s="13">
        <v>1073</v>
      </c>
      <c r="D259" s="13">
        <v>34.1</v>
      </c>
      <c r="E259" s="13">
        <f t="shared" ref="E259:E301" si="8">F259/G259</f>
        <v>6714.2857142857147</v>
      </c>
      <c r="F259" s="13">
        <v>23500</v>
      </c>
      <c r="G259" s="13">
        <v>3.5</v>
      </c>
      <c r="H259" s="13">
        <f t="shared" ref="H259:H301" si="9">(F259/G259)-SUM(I259:N259)</f>
        <v>6714.2857142857147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</row>
    <row r="260" spans="1:14" x14ac:dyDescent="0.3">
      <c r="A260" s="13" t="s">
        <v>631</v>
      </c>
      <c r="B260" s="13" t="s">
        <v>317</v>
      </c>
      <c r="C260" s="13">
        <v>2116</v>
      </c>
      <c r="D260" s="13">
        <v>69.7</v>
      </c>
      <c r="E260" s="13">
        <f t="shared" si="8"/>
        <v>14257.142857142857</v>
      </c>
      <c r="F260" s="13">
        <v>49900</v>
      </c>
      <c r="G260" s="13">
        <v>3.5</v>
      </c>
      <c r="H260" s="13">
        <f t="shared" si="9"/>
        <v>14257.142857142857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</row>
    <row r="261" spans="1:14" x14ac:dyDescent="0.3">
      <c r="A261" s="13" t="s">
        <v>632</v>
      </c>
      <c r="B261" s="13" t="s">
        <v>318</v>
      </c>
      <c r="C261" s="13">
        <v>1063</v>
      </c>
      <c r="D261" s="13">
        <v>29.8</v>
      </c>
      <c r="E261" s="13">
        <f t="shared" si="8"/>
        <v>6628.5714285714284</v>
      </c>
      <c r="F261" s="13">
        <v>23200</v>
      </c>
      <c r="G261" s="13">
        <v>3.5</v>
      </c>
      <c r="H261" s="13">
        <f t="shared" si="9"/>
        <v>6628.5714285714284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</row>
    <row r="262" spans="1:14" x14ac:dyDescent="0.3">
      <c r="A262" s="13" t="s">
        <v>633</v>
      </c>
      <c r="B262" s="13" t="s">
        <v>319</v>
      </c>
      <c r="C262" s="13">
        <v>165</v>
      </c>
      <c r="D262" s="13">
        <v>7.7</v>
      </c>
      <c r="E262" s="13">
        <f t="shared" si="8"/>
        <v>1720</v>
      </c>
      <c r="F262" s="13">
        <v>6020</v>
      </c>
      <c r="G262" s="13">
        <v>3.5</v>
      </c>
      <c r="H262" s="13">
        <f t="shared" si="9"/>
        <v>1720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</row>
    <row r="263" spans="1:14" x14ac:dyDescent="0.3">
      <c r="A263" s="13" t="s">
        <v>634</v>
      </c>
      <c r="B263" s="13" t="s">
        <v>320</v>
      </c>
      <c r="C263" s="13">
        <v>129</v>
      </c>
      <c r="D263" s="13">
        <v>7.2</v>
      </c>
      <c r="E263" s="13">
        <f t="shared" si="8"/>
        <v>1794.2857142857142</v>
      </c>
      <c r="F263" s="13">
        <v>6280</v>
      </c>
      <c r="G263" s="13">
        <v>3.5</v>
      </c>
      <c r="H263" s="13">
        <f t="shared" si="9"/>
        <v>1794.2857142857142</v>
      </c>
      <c r="I263" s="13">
        <v>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</row>
    <row r="264" spans="1:14" x14ac:dyDescent="0.3">
      <c r="A264" s="13" t="s">
        <v>635</v>
      </c>
      <c r="B264" s="13" t="s">
        <v>321</v>
      </c>
      <c r="C264" s="13">
        <v>80</v>
      </c>
      <c r="D264" s="13">
        <v>4.8</v>
      </c>
      <c r="E264" s="13">
        <f t="shared" si="8"/>
        <v>1325.7142857142858</v>
      </c>
      <c r="F264" s="13">
        <v>4640</v>
      </c>
      <c r="G264" s="13">
        <v>3.5</v>
      </c>
      <c r="H264" s="13">
        <f t="shared" si="9"/>
        <v>1325.7142857142858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</row>
    <row r="265" spans="1:14" x14ac:dyDescent="0.3">
      <c r="A265" s="13" t="s">
        <v>636</v>
      </c>
      <c r="B265" s="13" t="s">
        <v>322</v>
      </c>
      <c r="C265" s="13">
        <v>1071</v>
      </c>
      <c r="D265" s="13">
        <v>38.4</v>
      </c>
      <c r="E265" s="13">
        <f t="shared" si="8"/>
        <v>8028.5714285714284</v>
      </c>
      <c r="F265" s="13">
        <v>28100</v>
      </c>
      <c r="G265" s="13">
        <v>3.5</v>
      </c>
      <c r="H265" s="13">
        <f t="shared" si="9"/>
        <v>8028.5714285714284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</row>
    <row r="266" spans="1:14" x14ac:dyDescent="0.3">
      <c r="A266" s="13" t="s">
        <v>637</v>
      </c>
      <c r="B266" s="13" t="s">
        <v>323</v>
      </c>
      <c r="C266" s="13">
        <v>109</v>
      </c>
      <c r="D266" s="13">
        <v>6.2</v>
      </c>
      <c r="E266" s="13">
        <f t="shared" si="8"/>
        <v>1762.8571428571429</v>
      </c>
      <c r="F266" s="13">
        <v>6170</v>
      </c>
      <c r="G266" s="13">
        <v>3.5</v>
      </c>
      <c r="H266" s="13">
        <f t="shared" si="9"/>
        <v>1762.8571428571429</v>
      </c>
      <c r="I266" s="13">
        <v>0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</row>
    <row r="267" spans="1:14" x14ac:dyDescent="0.3">
      <c r="A267" s="13" t="s">
        <v>638</v>
      </c>
      <c r="B267" s="13" t="s">
        <v>324</v>
      </c>
      <c r="C267" s="13">
        <v>646</v>
      </c>
      <c r="D267" s="13">
        <v>21.9</v>
      </c>
      <c r="E267" s="13">
        <f t="shared" si="8"/>
        <v>5000</v>
      </c>
      <c r="F267" s="13">
        <v>17500</v>
      </c>
      <c r="G267" s="13">
        <v>3.5</v>
      </c>
      <c r="H267" s="13">
        <f t="shared" si="9"/>
        <v>5000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</row>
    <row r="268" spans="1:14" x14ac:dyDescent="0.3">
      <c r="A268" s="13" t="s">
        <v>639</v>
      </c>
      <c r="B268" s="13" t="s">
        <v>325</v>
      </c>
      <c r="C268" s="13">
        <v>453</v>
      </c>
      <c r="D268" s="13">
        <v>16.2</v>
      </c>
      <c r="E268" s="13">
        <f t="shared" si="8"/>
        <v>6228.5714285714284</v>
      </c>
      <c r="F268" s="13">
        <v>21800</v>
      </c>
      <c r="G268" s="13">
        <v>3.5</v>
      </c>
      <c r="H268" s="13">
        <f t="shared" si="9"/>
        <v>6228.5714285714284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</row>
    <row r="269" spans="1:14" x14ac:dyDescent="0.3">
      <c r="A269" s="13" t="s">
        <v>640</v>
      </c>
      <c r="B269" s="13" t="s">
        <v>326</v>
      </c>
      <c r="C269" s="13">
        <v>276</v>
      </c>
      <c r="D269" s="13">
        <v>12.4</v>
      </c>
      <c r="E269" s="13">
        <f t="shared" si="8"/>
        <v>2642.8571428571427</v>
      </c>
      <c r="F269" s="13">
        <v>9250</v>
      </c>
      <c r="G269" s="13">
        <v>3.5</v>
      </c>
      <c r="H269" s="13">
        <f t="shared" si="9"/>
        <v>2642.8571428571427</v>
      </c>
      <c r="I269" s="13">
        <v>0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</row>
    <row r="270" spans="1:14" x14ac:dyDescent="0.3">
      <c r="A270" s="13" t="s">
        <v>641</v>
      </c>
      <c r="B270" s="13" t="s">
        <v>327</v>
      </c>
      <c r="C270" s="13">
        <v>580</v>
      </c>
      <c r="D270" s="13">
        <v>17.7</v>
      </c>
      <c r="E270" s="13">
        <f t="shared" si="8"/>
        <v>3628.5714285714284</v>
      </c>
      <c r="F270" s="13">
        <v>12700</v>
      </c>
      <c r="G270" s="13">
        <v>3.5</v>
      </c>
      <c r="H270" s="13">
        <f t="shared" si="9"/>
        <v>3628.5714285714284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</row>
    <row r="271" spans="1:14" x14ac:dyDescent="0.3">
      <c r="A271" s="13" t="s">
        <v>642</v>
      </c>
      <c r="B271" s="13" t="s">
        <v>328</v>
      </c>
      <c r="C271" s="13">
        <v>398</v>
      </c>
      <c r="D271" s="13">
        <v>13.9</v>
      </c>
      <c r="E271" s="13">
        <f t="shared" si="8"/>
        <v>3514.2857142857142</v>
      </c>
      <c r="F271" s="13">
        <v>12300</v>
      </c>
      <c r="G271" s="13">
        <v>3.5</v>
      </c>
      <c r="H271" s="13">
        <f t="shared" si="9"/>
        <v>3514.2857142857142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</row>
    <row r="272" spans="1:14" x14ac:dyDescent="0.3">
      <c r="A272" s="13" t="s">
        <v>643</v>
      </c>
      <c r="B272" s="13" t="s">
        <v>329</v>
      </c>
      <c r="C272" s="13">
        <v>612</v>
      </c>
      <c r="D272" s="13">
        <v>20.2</v>
      </c>
      <c r="E272" s="13">
        <f t="shared" si="8"/>
        <v>7457.1428571428569</v>
      </c>
      <c r="F272" s="13">
        <v>26100</v>
      </c>
      <c r="G272" s="13">
        <v>3.5</v>
      </c>
      <c r="H272" s="13">
        <f t="shared" si="9"/>
        <v>7457.1428571428569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</row>
    <row r="273" spans="1:14" x14ac:dyDescent="0.3">
      <c r="A273" s="13" t="s">
        <v>644</v>
      </c>
      <c r="B273" s="13" t="s">
        <v>330</v>
      </c>
      <c r="C273" s="13">
        <v>197</v>
      </c>
      <c r="D273" s="13">
        <v>8.1999999999999993</v>
      </c>
      <c r="E273" s="13">
        <f t="shared" si="8"/>
        <v>1774.2857142857142</v>
      </c>
      <c r="F273" s="13">
        <v>6210</v>
      </c>
      <c r="G273" s="13">
        <v>3.5</v>
      </c>
      <c r="H273" s="13">
        <f t="shared" si="9"/>
        <v>1774.2857142857142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</row>
    <row r="274" spans="1:14" x14ac:dyDescent="0.3">
      <c r="A274" s="13" t="s">
        <v>645</v>
      </c>
      <c r="B274" s="13" t="s">
        <v>331</v>
      </c>
      <c r="C274" s="13">
        <v>575</v>
      </c>
      <c r="D274" s="13">
        <v>15.5</v>
      </c>
      <c r="E274" s="13">
        <f t="shared" si="8"/>
        <v>5371.4285714285716</v>
      </c>
      <c r="F274" s="13">
        <v>18800</v>
      </c>
      <c r="G274" s="13">
        <v>3.5</v>
      </c>
      <c r="H274" s="13">
        <f t="shared" si="9"/>
        <v>5371.4285714285716</v>
      </c>
      <c r="I274" s="13">
        <v>0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</row>
    <row r="275" spans="1:14" x14ac:dyDescent="0.3">
      <c r="A275" s="13" t="s">
        <v>646</v>
      </c>
      <c r="B275" s="13" t="s">
        <v>332</v>
      </c>
      <c r="C275" s="13">
        <v>169</v>
      </c>
      <c r="D275" s="13">
        <v>7.9</v>
      </c>
      <c r="E275" s="13">
        <f t="shared" si="8"/>
        <v>1914.2857142857142</v>
      </c>
      <c r="F275" s="13">
        <v>6700</v>
      </c>
      <c r="G275" s="13">
        <v>3.5</v>
      </c>
      <c r="H275" s="13">
        <f t="shared" si="9"/>
        <v>1914.2857142857142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</row>
    <row r="276" spans="1:14" x14ac:dyDescent="0.3">
      <c r="A276" s="13" t="s">
        <v>647</v>
      </c>
      <c r="B276" s="13" t="s">
        <v>333</v>
      </c>
      <c r="C276" s="13">
        <v>552</v>
      </c>
      <c r="D276" s="13">
        <v>20</v>
      </c>
      <c r="E276" s="13">
        <f t="shared" si="8"/>
        <v>4085.7142857142858</v>
      </c>
      <c r="F276" s="13">
        <v>14300</v>
      </c>
      <c r="G276" s="13">
        <v>3.5</v>
      </c>
      <c r="H276" s="13">
        <f t="shared" si="9"/>
        <v>4085.7142857142858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</row>
    <row r="277" spans="1:14" x14ac:dyDescent="0.3">
      <c r="A277" s="13" t="s">
        <v>648</v>
      </c>
      <c r="B277" s="13" t="s">
        <v>334</v>
      </c>
      <c r="C277" s="13">
        <v>214</v>
      </c>
      <c r="D277" s="13">
        <v>8.3000000000000007</v>
      </c>
      <c r="E277" s="13">
        <f t="shared" si="8"/>
        <v>1860</v>
      </c>
      <c r="F277" s="13">
        <v>6510</v>
      </c>
      <c r="G277" s="13">
        <v>3.5</v>
      </c>
      <c r="H277" s="13">
        <f t="shared" si="9"/>
        <v>1860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</row>
    <row r="278" spans="1:14" x14ac:dyDescent="0.3">
      <c r="A278" s="13" t="s">
        <v>649</v>
      </c>
      <c r="B278" s="13" t="s">
        <v>335</v>
      </c>
      <c r="C278" s="13">
        <v>268</v>
      </c>
      <c r="D278" s="13">
        <v>9.8000000000000007</v>
      </c>
      <c r="E278" s="13">
        <f t="shared" si="8"/>
        <v>2328.5714285714284</v>
      </c>
      <c r="F278" s="13">
        <v>8150</v>
      </c>
      <c r="G278" s="13">
        <v>3.5</v>
      </c>
      <c r="H278" s="13">
        <f t="shared" si="9"/>
        <v>2328.5714285714284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</row>
    <row r="279" spans="1:14" x14ac:dyDescent="0.3">
      <c r="A279" s="13" t="s">
        <v>650</v>
      </c>
      <c r="B279" s="13" t="s">
        <v>336</v>
      </c>
      <c r="C279" s="13">
        <v>208</v>
      </c>
      <c r="D279" s="13">
        <v>7.3</v>
      </c>
      <c r="E279" s="13">
        <f t="shared" si="8"/>
        <v>1765.7142857142858</v>
      </c>
      <c r="F279" s="13">
        <v>6180</v>
      </c>
      <c r="G279" s="13">
        <v>3.5</v>
      </c>
      <c r="H279" s="13">
        <f t="shared" si="9"/>
        <v>1765.7142857142858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</row>
    <row r="280" spans="1:14" x14ac:dyDescent="0.3">
      <c r="A280" s="13" t="s">
        <v>651</v>
      </c>
      <c r="B280" s="13" t="s">
        <v>337</v>
      </c>
      <c r="C280" s="13">
        <v>434</v>
      </c>
      <c r="D280" s="13">
        <v>12.4</v>
      </c>
      <c r="E280" s="13">
        <f t="shared" si="8"/>
        <v>4800</v>
      </c>
      <c r="F280" s="13">
        <v>16800</v>
      </c>
      <c r="G280" s="13">
        <v>3.5</v>
      </c>
      <c r="H280" s="13">
        <f t="shared" si="9"/>
        <v>4800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</row>
    <row r="281" spans="1:14" x14ac:dyDescent="0.3">
      <c r="A281" s="13" t="s">
        <v>652</v>
      </c>
      <c r="B281" s="13" t="s">
        <v>338</v>
      </c>
      <c r="C281" s="13">
        <v>604</v>
      </c>
      <c r="D281" s="13">
        <v>21</v>
      </c>
      <c r="E281" s="13">
        <f t="shared" si="8"/>
        <v>4914.2857142857147</v>
      </c>
      <c r="F281" s="13">
        <v>17200</v>
      </c>
      <c r="G281" s="13">
        <v>3.5</v>
      </c>
      <c r="H281" s="13">
        <f t="shared" si="9"/>
        <v>4914.2857142857147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</row>
    <row r="282" spans="1:14" x14ac:dyDescent="0.3">
      <c r="A282" s="13" t="s">
        <v>653</v>
      </c>
      <c r="B282" s="13" t="s">
        <v>339</v>
      </c>
      <c r="C282" s="13">
        <v>195</v>
      </c>
      <c r="D282" s="13">
        <v>7.8</v>
      </c>
      <c r="E282" s="13">
        <f t="shared" si="8"/>
        <v>1711.4285714285713</v>
      </c>
      <c r="F282" s="13">
        <v>5990</v>
      </c>
      <c r="G282" s="13">
        <v>3.5</v>
      </c>
      <c r="H282" s="13">
        <f t="shared" si="9"/>
        <v>1711.4285714285713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</row>
    <row r="283" spans="1:14" x14ac:dyDescent="0.3">
      <c r="A283" s="13" t="s">
        <v>654</v>
      </c>
      <c r="B283" s="13" t="s">
        <v>340</v>
      </c>
      <c r="C283" s="13">
        <v>143</v>
      </c>
      <c r="D283" s="13">
        <v>7.2</v>
      </c>
      <c r="E283" s="13">
        <f t="shared" si="8"/>
        <v>1962.8571428571429</v>
      </c>
      <c r="F283" s="13">
        <v>6870</v>
      </c>
      <c r="G283" s="13">
        <v>3.5</v>
      </c>
      <c r="H283" s="13">
        <f t="shared" si="9"/>
        <v>1962.8571428571429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</row>
    <row r="284" spans="1:14" x14ac:dyDescent="0.3">
      <c r="A284" s="13" t="s">
        <v>655</v>
      </c>
      <c r="B284" s="13" t="s">
        <v>341</v>
      </c>
      <c r="C284" s="13">
        <v>663</v>
      </c>
      <c r="D284" s="13">
        <v>18.7</v>
      </c>
      <c r="E284" s="13">
        <f t="shared" si="8"/>
        <v>7428.5714285714284</v>
      </c>
      <c r="F284" s="13">
        <v>26000</v>
      </c>
      <c r="G284" s="13">
        <v>3.5</v>
      </c>
      <c r="H284" s="13">
        <f t="shared" si="9"/>
        <v>7428.5714285714284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</row>
    <row r="285" spans="1:14" x14ac:dyDescent="0.3">
      <c r="A285" s="13" t="s">
        <v>656</v>
      </c>
      <c r="B285" s="13" t="s">
        <v>342</v>
      </c>
      <c r="C285" s="13">
        <v>480</v>
      </c>
      <c r="D285" s="13">
        <v>20.9</v>
      </c>
      <c r="E285" s="13">
        <f t="shared" si="8"/>
        <v>5200</v>
      </c>
      <c r="F285" s="13">
        <v>18200</v>
      </c>
      <c r="G285" s="13">
        <v>3.5</v>
      </c>
      <c r="H285" s="13">
        <f t="shared" si="9"/>
        <v>5200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</row>
    <row r="286" spans="1:14" x14ac:dyDescent="0.3">
      <c r="A286" s="13" t="s">
        <v>657</v>
      </c>
      <c r="B286" s="13" t="s">
        <v>343</v>
      </c>
      <c r="C286" s="13">
        <v>343</v>
      </c>
      <c r="D286" s="13">
        <v>12.8</v>
      </c>
      <c r="E286" s="13">
        <f t="shared" si="8"/>
        <v>3142.8571428571427</v>
      </c>
      <c r="F286" s="13">
        <v>11000</v>
      </c>
      <c r="G286" s="13">
        <v>3.5</v>
      </c>
      <c r="H286" s="13">
        <f t="shared" si="9"/>
        <v>3142.8571428571427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</row>
    <row r="287" spans="1:14" x14ac:dyDescent="0.3">
      <c r="A287" s="13" t="s">
        <v>658</v>
      </c>
      <c r="B287" s="13" t="s">
        <v>344</v>
      </c>
      <c r="C287" s="13">
        <v>137</v>
      </c>
      <c r="D287" s="13">
        <v>5.3</v>
      </c>
      <c r="E287" s="13">
        <f t="shared" si="8"/>
        <v>2051.4285714285716</v>
      </c>
      <c r="F287" s="13">
        <v>7180</v>
      </c>
      <c r="G287" s="13">
        <v>3.5</v>
      </c>
      <c r="H287" s="13">
        <f t="shared" si="9"/>
        <v>2051.4285714285716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</row>
    <row r="288" spans="1:14" x14ac:dyDescent="0.3">
      <c r="A288" s="13" t="s">
        <v>659</v>
      </c>
      <c r="B288" s="13" t="s">
        <v>345</v>
      </c>
      <c r="C288" s="13">
        <v>536</v>
      </c>
      <c r="D288" s="13">
        <v>20.9</v>
      </c>
      <c r="E288" s="13">
        <f t="shared" si="8"/>
        <v>4914.2857142857147</v>
      </c>
      <c r="F288" s="13">
        <v>17200</v>
      </c>
      <c r="G288" s="13">
        <v>3.5</v>
      </c>
      <c r="H288" s="13">
        <f t="shared" si="9"/>
        <v>4914.2857142857147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</row>
    <row r="289" spans="1:14" x14ac:dyDescent="0.3">
      <c r="A289" s="13" t="s">
        <v>660</v>
      </c>
      <c r="B289" s="13" t="s">
        <v>346</v>
      </c>
      <c r="C289" s="13">
        <v>464</v>
      </c>
      <c r="D289" s="13">
        <v>14.2</v>
      </c>
      <c r="E289" s="13">
        <f t="shared" si="8"/>
        <v>4942.8571428571431</v>
      </c>
      <c r="F289" s="13">
        <v>17300</v>
      </c>
      <c r="G289" s="13">
        <v>3.5</v>
      </c>
      <c r="H289" s="13">
        <f t="shared" si="9"/>
        <v>4942.8571428571431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</row>
    <row r="290" spans="1:14" x14ac:dyDescent="0.3">
      <c r="A290" s="13" t="s">
        <v>661</v>
      </c>
      <c r="B290" s="13" t="s">
        <v>347</v>
      </c>
      <c r="C290" s="13">
        <v>344</v>
      </c>
      <c r="D290" s="13">
        <v>21</v>
      </c>
      <c r="E290" s="13">
        <f t="shared" si="8"/>
        <v>4942.8571428571431</v>
      </c>
      <c r="F290" s="13">
        <v>17300</v>
      </c>
      <c r="G290" s="13">
        <v>3.5</v>
      </c>
      <c r="H290" s="13">
        <f t="shared" si="9"/>
        <v>4942.8571428571431</v>
      </c>
      <c r="I290" s="13">
        <v>0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</row>
    <row r="291" spans="1:14" x14ac:dyDescent="0.3">
      <c r="A291" s="13" t="s">
        <v>662</v>
      </c>
      <c r="B291" s="13" t="s">
        <v>348</v>
      </c>
      <c r="C291" s="13">
        <v>463</v>
      </c>
      <c r="D291" s="13">
        <v>12.7</v>
      </c>
      <c r="E291" s="13">
        <f t="shared" si="8"/>
        <v>5200</v>
      </c>
      <c r="F291" s="13">
        <v>18200</v>
      </c>
      <c r="G291" s="13">
        <v>3.5</v>
      </c>
      <c r="H291" s="13">
        <f t="shared" si="9"/>
        <v>5200</v>
      </c>
      <c r="I291" s="13">
        <v>0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</row>
    <row r="292" spans="1:14" x14ac:dyDescent="0.3">
      <c r="A292" s="13" t="s">
        <v>663</v>
      </c>
      <c r="B292" s="13" t="s">
        <v>349</v>
      </c>
      <c r="C292" s="13">
        <v>551</v>
      </c>
      <c r="D292" s="13">
        <v>20.5</v>
      </c>
      <c r="E292" s="13">
        <f t="shared" si="8"/>
        <v>4057.1428571428573</v>
      </c>
      <c r="F292" s="13">
        <v>14200</v>
      </c>
      <c r="G292" s="13">
        <v>3.5</v>
      </c>
      <c r="H292" s="13">
        <f t="shared" si="9"/>
        <v>4057.1428571428573</v>
      </c>
      <c r="I292" s="13">
        <v>0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</row>
    <row r="293" spans="1:14" x14ac:dyDescent="0.3">
      <c r="A293" s="13" t="s">
        <v>664</v>
      </c>
      <c r="B293" s="13" t="s">
        <v>350</v>
      </c>
      <c r="C293" s="13">
        <v>151</v>
      </c>
      <c r="D293" s="13">
        <v>6.1</v>
      </c>
      <c r="E293" s="13">
        <f t="shared" si="8"/>
        <v>2360</v>
      </c>
      <c r="F293" s="13">
        <v>8260</v>
      </c>
      <c r="G293" s="13">
        <v>3.5</v>
      </c>
      <c r="H293" s="13">
        <f t="shared" si="9"/>
        <v>2360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</row>
    <row r="294" spans="1:14" x14ac:dyDescent="0.3">
      <c r="A294" s="13" t="s">
        <v>665</v>
      </c>
      <c r="B294" s="13" t="s">
        <v>351</v>
      </c>
      <c r="C294" s="13">
        <v>264</v>
      </c>
      <c r="D294" s="13">
        <v>13.6</v>
      </c>
      <c r="E294" s="13">
        <f t="shared" si="8"/>
        <v>3628.5714285714284</v>
      </c>
      <c r="F294" s="13">
        <v>12700</v>
      </c>
      <c r="G294" s="13">
        <v>3.5</v>
      </c>
      <c r="H294" s="13">
        <f t="shared" si="9"/>
        <v>3628.5714285714284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</row>
    <row r="295" spans="1:14" x14ac:dyDescent="0.3">
      <c r="A295" s="13" t="s">
        <v>666</v>
      </c>
      <c r="B295" s="13" t="s">
        <v>352</v>
      </c>
      <c r="C295" s="13">
        <v>103</v>
      </c>
      <c r="D295" s="13">
        <v>5.9</v>
      </c>
      <c r="E295" s="13">
        <f t="shared" si="8"/>
        <v>1520</v>
      </c>
      <c r="F295" s="13">
        <v>5320</v>
      </c>
      <c r="G295" s="13">
        <v>3.5</v>
      </c>
      <c r="H295" s="13">
        <f t="shared" si="9"/>
        <v>1520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</row>
    <row r="296" spans="1:14" x14ac:dyDescent="0.3">
      <c r="A296" s="13" t="s">
        <v>667</v>
      </c>
      <c r="B296" s="13" t="s">
        <v>353</v>
      </c>
      <c r="C296" s="13">
        <v>1466</v>
      </c>
      <c r="D296" s="13">
        <v>41.7</v>
      </c>
      <c r="E296" s="13">
        <f t="shared" si="8"/>
        <v>8057.1428571428569</v>
      </c>
      <c r="F296" s="13">
        <v>28200</v>
      </c>
      <c r="G296" s="13">
        <v>3.5</v>
      </c>
      <c r="H296" s="13">
        <f t="shared" si="9"/>
        <v>8057.1428571428569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</row>
    <row r="297" spans="1:14" x14ac:dyDescent="0.3">
      <c r="A297" s="13" t="s">
        <v>668</v>
      </c>
      <c r="B297" s="13" t="s">
        <v>354</v>
      </c>
      <c r="C297" s="13">
        <v>463</v>
      </c>
      <c r="D297" s="13">
        <v>17.5</v>
      </c>
      <c r="E297" s="13">
        <f t="shared" si="8"/>
        <v>3514.2857142857142</v>
      </c>
      <c r="F297" s="13">
        <v>12300</v>
      </c>
      <c r="G297" s="13">
        <v>3.5</v>
      </c>
      <c r="H297" s="13">
        <f t="shared" si="9"/>
        <v>3514.2857142857142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</row>
    <row r="298" spans="1:14" x14ac:dyDescent="0.3">
      <c r="A298" s="13" t="s">
        <v>669</v>
      </c>
      <c r="B298" s="13" t="s">
        <v>355</v>
      </c>
      <c r="C298" s="13">
        <v>113</v>
      </c>
      <c r="D298" s="13">
        <v>7</v>
      </c>
      <c r="E298" s="13">
        <f t="shared" si="8"/>
        <v>1894.2857142857142</v>
      </c>
      <c r="F298" s="13">
        <v>6630</v>
      </c>
      <c r="G298" s="13">
        <v>3.5</v>
      </c>
      <c r="H298" s="13">
        <f t="shared" si="9"/>
        <v>1894.2857142857142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</row>
    <row r="299" spans="1:14" x14ac:dyDescent="0.3">
      <c r="A299" s="13" t="s">
        <v>670</v>
      </c>
      <c r="B299" s="13" t="s">
        <v>356</v>
      </c>
      <c r="C299" s="13">
        <v>119</v>
      </c>
      <c r="D299" s="13">
        <v>5.3</v>
      </c>
      <c r="E299" s="13">
        <f t="shared" si="8"/>
        <v>1374.2857142857142</v>
      </c>
      <c r="F299" s="13">
        <v>4810</v>
      </c>
      <c r="G299" s="13">
        <v>3.5</v>
      </c>
      <c r="H299" s="13">
        <f t="shared" si="9"/>
        <v>1374.2857142857142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</row>
    <row r="300" spans="1:14" x14ac:dyDescent="0.3">
      <c r="A300" s="13" t="s">
        <v>671</v>
      </c>
      <c r="B300" s="13" t="s">
        <v>357</v>
      </c>
      <c r="C300" s="13">
        <v>746</v>
      </c>
      <c r="D300" s="13">
        <v>27.5</v>
      </c>
      <c r="E300" s="13">
        <f t="shared" si="8"/>
        <v>10828.571428571429</v>
      </c>
      <c r="F300" s="13">
        <v>37900</v>
      </c>
      <c r="G300" s="13">
        <v>3.5</v>
      </c>
      <c r="H300" s="13">
        <f t="shared" si="9"/>
        <v>10828.571428571429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</row>
    <row r="301" spans="1:14" x14ac:dyDescent="0.3">
      <c r="A301" s="13" t="s">
        <v>672</v>
      </c>
      <c r="B301" s="13" t="s">
        <v>358</v>
      </c>
      <c r="C301" s="13">
        <v>2700</v>
      </c>
      <c r="D301" s="13">
        <v>86.5</v>
      </c>
      <c r="E301" s="13">
        <f t="shared" si="8"/>
        <v>16628.571428571428</v>
      </c>
      <c r="F301" s="13">
        <v>58200</v>
      </c>
      <c r="G301" s="13">
        <v>3.5</v>
      </c>
      <c r="H301" s="13">
        <f t="shared" si="9"/>
        <v>16628.571428571428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D860D-AD6F-4854-BDDB-1D9A336B1A3A}">
  <sheetPr codeName="Foglio5"/>
  <dimension ref="A1:F301"/>
  <sheetViews>
    <sheetView tabSelected="1" workbookViewId="0">
      <selection activeCell="J5" sqref="J5"/>
    </sheetView>
  </sheetViews>
  <sheetFormatPr defaultRowHeight="14.4" x14ac:dyDescent="0.3"/>
  <cols>
    <col min="1" max="1" width="21.44140625" bestFit="1" customWidth="1"/>
    <col min="2" max="2" width="12.5546875" bestFit="1" customWidth="1"/>
    <col min="3" max="3" width="20" bestFit="1" customWidth="1"/>
    <col min="4" max="4" width="22.6640625" bestFit="1" customWidth="1"/>
    <col min="5" max="5" width="35" bestFit="1" customWidth="1"/>
    <col min="6" max="6" width="39.33203125" bestFit="1" customWidth="1"/>
  </cols>
  <sheetData>
    <row r="1" spans="1:6" s="11" customFormat="1" ht="28.8" x14ac:dyDescent="0.3">
      <c r="A1" s="12" t="s">
        <v>359</v>
      </c>
      <c r="B1" s="12" t="s">
        <v>360</v>
      </c>
      <c r="C1" s="12" t="s">
        <v>35</v>
      </c>
      <c r="D1" s="12" t="s">
        <v>673</v>
      </c>
      <c r="E1" s="12" t="s">
        <v>674</v>
      </c>
      <c r="F1" s="12" t="s">
        <v>364</v>
      </c>
    </row>
    <row r="2" spans="1:6" x14ac:dyDescent="0.3">
      <c r="A2" s="13" t="s">
        <v>675</v>
      </c>
      <c r="B2" s="13" t="s">
        <v>48</v>
      </c>
      <c r="C2" s="13">
        <v>14742</v>
      </c>
      <c r="D2" s="13">
        <v>70200</v>
      </c>
      <c r="E2" s="13">
        <f>D2-F2</f>
        <v>70200</v>
      </c>
      <c r="F2" s="13">
        <v>0</v>
      </c>
    </row>
    <row r="3" spans="1:6" x14ac:dyDescent="0.3">
      <c r="A3" s="13" t="s">
        <v>676</v>
      </c>
      <c r="B3" s="13" t="s">
        <v>50</v>
      </c>
      <c r="C3" s="13">
        <v>2761</v>
      </c>
      <c r="D3" s="13">
        <v>13100</v>
      </c>
      <c r="E3" s="13">
        <f t="shared" ref="E3:E66" si="0">D3-F3</f>
        <v>13100</v>
      </c>
      <c r="F3" s="13">
        <v>0</v>
      </c>
    </row>
    <row r="4" spans="1:6" x14ac:dyDescent="0.3">
      <c r="A4" s="13" t="s">
        <v>677</v>
      </c>
      <c r="B4" s="13" t="s">
        <v>52</v>
      </c>
      <c r="C4" s="13">
        <v>5178</v>
      </c>
      <c r="D4" s="13">
        <v>24600</v>
      </c>
      <c r="E4" s="13">
        <f t="shared" si="0"/>
        <v>24600</v>
      </c>
      <c r="F4" s="13">
        <v>0</v>
      </c>
    </row>
    <row r="5" spans="1:6" x14ac:dyDescent="0.3">
      <c r="A5" s="13" t="s">
        <v>678</v>
      </c>
      <c r="B5" s="13" t="s">
        <v>53</v>
      </c>
      <c r="C5" s="13">
        <v>8816</v>
      </c>
      <c r="D5" s="13">
        <v>42000</v>
      </c>
      <c r="E5" s="13">
        <f t="shared" si="0"/>
        <v>42000</v>
      </c>
      <c r="F5" s="13">
        <v>0</v>
      </c>
    </row>
    <row r="6" spans="1:6" x14ac:dyDescent="0.3">
      <c r="A6" s="13" t="s">
        <v>679</v>
      </c>
      <c r="B6" s="13" t="s">
        <v>56</v>
      </c>
      <c r="C6" s="13">
        <v>443</v>
      </c>
      <c r="D6" s="13">
        <v>2110</v>
      </c>
      <c r="E6" s="13">
        <f t="shared" si="0"/>
        <v>2110</v>
      </c>
      <c r="F6" s="13">
        <v>0</v>
      </c>
    </row>
    <row r="7" spans="1:6" x14ac:dyDescent="0.3">
      <c r="A7" s="13" t="s">
        <v>680</v>
      </c>
      <c r="B7" s="13" t="s">
        <v>57</v>
      </c>
      <c r="C7" s="13">
        <v>367</v>
      </c>
      <c r="D7" s="13">
        <v>1750</v>
      </c>
      <c r="E7" s="13">
        <f t="shared" si="0"/>
        <v>1750</v>
      </c>
      <c r="F7" s="13">
        <v>0</v>
      </c>
    </row>
    <row r="8" spans="1:6" x14ac:dyDescent="0.3">
      <c r="A8" s="13" t="s">
        <v>681</v>
      </c>
      <c r="B8" s="13" t="s">
        <v>59</v>
      </c>
      <c r="C8" s="13">
        <v>168</v>
      </c>
      <c r="D8" s="13">
        <v>802</v>
      </c>
      <c r="E8" s="13">
        <f t="shared" si="0"/>
        <v>802</v>
      </c>
      <c r="F8" s="13">
        <v>0</v>
      </c>
    </row>
    <row r="9" spans="1:6" x14ac:dyDescent="0.3">
      <c r="A9" s="13" t="s">
        <v>682</v>
      </c>
      <c r="B9" s="13" t="s">
        <v>61</v>
      </c>
      <c r="C9" s="13">
        <v>252</v>
      </c>
      <c r="D9" s="13">
        <v>1540</v>
      </c>
      <c r="E9" s="13">
        <f t="shared" si="0"/>
        <v>1540</v>
      </c>
      <c r="F9" s="13">
        <v>0</v>
      </c>
    </row>
    <row r="10" spans="1:6" x14ac:dyDescent="0.3">
      <c r="A10" s="13" t="s">
        <v>683</v>
      </c>
      <c r="B10" s="13" t="s">
        <v>62</v>
      </c>
      <c r="C10" s="13">
        <v>273</v>
      </c>
      <c r="D10" s="13">
        <v>1300</v>
      </c>
      <c r="E10" s="13">
        <f t="shared" si="0"/>
        <v>1300</v>
      </c>
      <c r="F10" s="13">
        <v>0</v>
      </c>
    </row>
    <row r="11" spans="1:6" x14ac:dyDescent="0.3">
      <c r="A11" s="13" t="s">
        <v>684</v>
      </c>
      <c r="B11" s="13" t="s">
        <v>63</v>
      </c>
      <c r="C11" s="13">
        <v>804</v>
      </c>
      <c r="D11" s="13">
        <v>4900</v>
      </c>
      <c r="E11" s="13">
        <f t="shared" si="0"/>
        <v>4900</v>
      </c>
      <c r="F11" s="13">
        <v>0</v>
      </c>
    </row>
    <row r="12" spans="1:6" x14ac:dyDescent="0.3">
      <c r="A12" s="13" t="s">
        <v>685</v>
      </c>
      <c r="B12" s="13" t="s">
        <v>64</v>
      </c>
      <c r="C12" s="13">
        <v>96</v>
      </c>
      <c r="D12" s="13">
        <v>457</v>
      </c>
      <c r="E12" s="13">
        <f t="shared" si="0"/>
        <v>457</v>
      </c>
      <c r="F12" s="13">
        <v>0</v>
      </c>
    </row>
    <row r="13" spans="1:6" x14ac:dyDescent="0.3">
      <c r="A13" s="13" t="s">
        <v>686</v>
      </c>
      <c r="B13" s="13" t="s">
        <v>65</v>
      </c>
      <c r="C13" s="13">
        <v>223</v>
      </c>
      <c r="D13" s="13">
        <v>1360</v>
      </c>
      <c r="E13" s="13">
        <f t="shared" si="0"/>
        <v>1360</v>
      </c>
      <c r="F13" s="13">
        <v>0</v>
      </c>
    </row>
    <row r="14" spans="1:6" x14ac:dyDescent="0.3">
      <c r="A14" s="13" t="s">
        <v>687</v>
      </c>
      <c r="B14" s="13" t="s">
        <v>66</v>
      </c>
      <c r="C14" s="13">
        <v>206</v>
      </c>
      <c r="D14" s="13">
        <v>1260</v>
      </c>
      <c r="E14" s="13">
        <f t="shared" si="0"/>
        <v>1260</v>
      </c>
      <c r="F14" s="13">
        <v>0</v>
      </c>
    </row>
    <row r="15" spans="1:6" x14ac:dyDescent="0.3">
      <c r="A15" s="13" t="s">
        <v>688</v>
      </c>
      <c r="B15" s="13" t="s">
        <v>67</v>
      </c>
      <c r="C15" s="13">
        <v>284</v>
      </c>
      <c r="D15" s="13">
        <v>1350</v>
      </c>
      <c r="E15" s="13">
        <f t="shared" si="0"/>
        <v>1350</v>
      </c>
      <c r="F15" s="13">
        <v>0</v>
      </c>
    </row>
    <row r="16" spans="1:6" x14ac:dyDescent="0.3">
      <c r="A16" s="13" t="s">
        <v>689</v>
      </c>
      <c r="B16" s="13" t="s">
        <v>68</v>
      </c>
      <c r="C16" s="13">
        <v>206</v>
      </c>
      <c r="D16" s="13">
        <v>1250</v>
      </c>
      <c r="E16" s="13">
        <f t="shared" si="0"/>
        <v>1250</v>
      </c>
      <c r="F16" s="13">
        <v>0</v>
      </c>
    </row>
    <row r="17" spans="1:6" x14ac:dyDescent="0.3">
      <c r="A17" s="13" t="s">
        <v>690</v>
      </c>
      <c r="B17" s="13" t="s">
        <v>69</v>
      </c>
      <c r="C17" s="13">
        <v>513</v>
      </c>
      <c r="D17" s="13">
        <v>3130</v>
      </c>
      <c r="E17" s="13">
        <f t="shared" si="0"/>
        <v>3130</v>
      </c>
      <c r="F17" s="13">
        <v>0</v>
      </c>
    </row>
    <row r="18" spans="1:6" x14ac:dyDescent="0.3">
      <c r="A18" s="13" t="s">
        <v>691</v>
      </c>
      <c r="B18" s="13" t="s">
        <v>70</v>
      </c>
      <c r="C18" s="13">
        <v>276</v>
      </c>
      <c r="D18" s="13">
        <v>1680</v>
      </c>
      <c r="E18" s="13">
        <f t="shared" si="0"/>
        <v>1680</v>
      </c>
      <c r="F18" s="13">
        <v>0</v>
      </c>
    </row>
    <row r="19" spans="1:6" x14ac:dyDescent="0.3">
      <c r="A19" s="13" t="s">
        <v>692</v>
      </c>
      <c r="B19" s="13" t="s">
        <v>71</v>
      </c>
      <c r="C19" s="13">
        <v>379</v>
      </c>
      <c r="D19" s="13">
        <v>2310</v>
      </c>
      <c r="E19" s="13">
        <f t="shared" si="0"/>
        <v>2310</v>
      </c>
      <c r="F19" s="13">
        <v>0</v>
      </c>
    </row>
    <row r="20" spans="1:6" x14ac:dyDescent="0.3">
      <c r="A20" s="13" t="s">
        <v>693</v>
      </c>
      <c r="B20" s="13" t="s">
        <v>72</v>
      </c>
      <c r="C20" s="13">
        <v>111</v>
      </c>
      <c r="D20" s="13">
        <v>530</v>
      </c>
      <c r="E20" s="13">
        <f t="shared" si="0"/>
        <v>530</v>
      </c>
      <c r="F20" s="13">
        <v>0</v>
      </c>
    </row>
    <row r="21" spans="1:6" x14ac:dyDescent="0.3">
      <c r="A21" s="13" t="s">
        <v>694</v>
      </c>
      <c r="B21" s="13" t="s">
        <v>73</v>
      </c>
      <c r="C21" s="13">
        <v>530</v>
      </c>
      <c r="D21" s="13">
        <v>3230</v>
      </c>
      <c r="E21" s="13">
        <f t="shared" si="0"/>
        <v>3230</v>
      </c>
      <c r="F21" s="13">
        <v>0</v>
      </c>
    </row>
    <row r="22" spans="1:6" x14ac:dyDescent="0.3">
      <c r="A22" s="13" t="s">
        <v>695</v>
      </c>
      <c r="B22" s="13" t="s">
        <v>74</v>
      </c>
      <c r="C22" s="13">
        <v>197</v>
      </c>
      <c r="D22" s="13">
        <v>936</v>
      </c>
      <c r="E22" s="13">
        <f t="shared" si="0"/>
        <v>936</v>
      </c>
      <c r="F22" s="13">
        <v>0</v>
      </c>
    </row>
    <row r="23" spans="1:6" x14ac:dyDescent="0.3">
      <c r="A23" s="13" t="s">
        <v>696</v>
      </c>
      <c r="B23" s="13" t="s">
        <v>75</v>
      </c>
      <c r="C23" s="13">
        <v>1086</v>
      </c>
      <c r="D23" s="13">
        <v>6620</v>
      </c>
      <c r="E23" s="13">
        <f t="shared" si="0"/>
        <v>6620</v>
      </c>
      <c r="F23" s="13">
        <v>0</v>
      </c>
    </row>
    <row r="24" spans="1:6" x14ac:dyDescent="0.3">
      <c r="A24" s="13" t="s">
        <v>697</v>
      </c>
      <c r="B24" s="13" t="s">
        <v>76</v>
      </c>
      <c r="C24" s="13">
        <v>1104</v>
      </c>
      <c r="D24" s="13">
        <v>6730</v>
      </c>
      <c r="E24" s="13">
        <f t="shared" si="0"/>
        <v>6730</v>
      </c>
      <c r="F24" s="13">
        <v>0</v>
      </c>
    </row>
    <row r="25" spans="1:6" x14ac:dyDescent="0.3">
      <c r="A25" s="13" t="s">
        <v>698</v>
      </c>
      <c r="B25" s="13" t="s">
        <v>77</v>
      </c>
      <c r="C25" s="13">
        <v>2999</v>
      </c>
      <c r="D25" s="13">
        <v>18300</v>
      </c>
      <c r="E25" s="13">
        <f t="shared" si="0"/>
        <v>18300</v>
      </c>
      <c r="F25" s="13">
        <v>0</v>
      </c>
    </row>
    <row r="26" spans="1:6" x14ac:dyDescent="0.3">
      <c r="A26" s="13" t="s">
        <v>699</v>
      </c>
      <c r="B26" s="13" t="s">
        <v>78</v>
      </c>
      <c r="C26" s="13">
        <v>247</v>
      </c>
      <c r="D26" s="13">
        <v>1500</v>
      </c>
      <c r="E26" s="13">
        <f t="shared" si="0"/>
        <v>1500</v>
      </c>
      <c r="F26" s="13">
        <v>0</v>
      </c>
    </row>
    <row r="27" spans="1:6" x14ac:dyDescent="0.3">
      <c r="A27" s="13" t="s">
        <v>700</v>
      </c>
      <c r="B27" s="13" t="s">
        <v>79</v>
      </c>
      <c r="C27" s="13">
        <v>640</v>
      </c>
      <c r="D27" s="13">
        <v>3050</v>
      </c>
      <c r="E27" s="13">
        <f t="shared" si="0"/>
        <v>3050</v>
      </c>
      <c r="F27" s="13">
        <v>0</v>
      </c>
    </row>
    <row r="28" spans="1:6" x14ac:dyDescent="0.3">
      <c r="A28" s="13" t="s">
        <v>701</v>
      </c>
      <c r="B28" s="13" t="s">
        <v>81</v>
      </c>
      <c r="C28" s="13">
        <v>396</v>
      </c>
      <c r="D28" s="13">
        <v>2420</v>
      </c>
      <c r="E28" s="13">
        <f t="shared" si="0"/>
        <v>2420</v>
      </c>
      <c r="F28" s="13">
        <v>0</v>
      </c>
    </row>
    <row r="29" spans="1:6" x14ac:dyDescent="0.3">
      <c r="A29" s="13" t="s">
        <v>702</v>
      </c>
      <c r="B29" s="13" t="s">
        <v>82</v>
      </c>
      <c r="C29" s="13">
        <v>472</v>
      </c>
      <c r="D29" s="13">
        <v>2870</v>
      </c>
      <c r="E29" s="13">
        <f t="shared" si="0"/>
        <v>2870</v>
      </c>
      <c r="F29" s="13">
        <v>0</v>
      </c>
    </row>
    <row r="30" spans="1:6" x14ac:dyDescent="0.3">
      <c r="A30" s="13" t="s">
        <v>703</v>
      </c>
      <c r="B30" s="13" t="s">
        <v>83</v>
      </c>
      <c r="C30" s="13">
        <v>601</v>
      </c>
      <c r="D30" s="13">
        <v>3660</v>
      </c>
      <c r="E30" s="13">
        <f t="shared" si="0"/>
        <v>3660</v>
      </c>
      <c r="F30" s="13">
        <v>0</v>
      </c>
    </row>
    <row r="31" spans="1:6" x14ac:dyDescent="0.3">
      <c r="A31" s="13" t="s">
        <v>704</v>
      </c>
      <c r="B31" s="13" t="s">
        <v>84</v>
      </c>
      <c r="C31" s="13">
        <v>679</v>
      </c>
      <c r="D31" s="13">
        <v>4140</v>
      </c>
      <c r="E31" s="13">
        <f t="shared" si="0"/>
        <v>4140</v>
      </c>
      <c r="F31" s="13">
        <v>0</v>
      </c>
    </row>
    <row r="32" spans="1:6" x14ac:dyDescent="0.3">
      <c r="A32" s="13" t="s">
        <v>705</v>
      </c>
      <c r="B32" s="13" t="s">
        <v>85</v>
      </c>
      <c r="C32" s="13">
        <v>249</v>
      </c>
      <c r="D32" s="13">
        <v>1520</v>
      </c>
      <c r="E32" s="13">
        <f t="shared" si="0"/>
        <v>1520</v>
      </c>
      <c r="F32" s="13">
        <v>0</v>
      </c>
    </row>
    <row r="33" spans="1:6" x14ac:dyDescent="0.3">
      <c r="A33" s="13" t="s">
        <v>706</v>
      </c>
      <c r="B33" s="13" t="s">
        <v>86</v>
      </c>
      <c r="C33" s="13">
        <v>823</v>
      </c>
      <c r="D33" s="13">
        <v>5020</v>
      </c>
      <c r="E33" s="13">
        <f t="shared" si="0"/>
        <v>5020</v>
      </c>
      <c r="F33" s="13">
        <v>0</v>
      </c>
    </row>
    <row r="34" spans="1:6" x14ac:dyDescent="0.3">
      <c r="A34" s="13" t="s">
        <v>707</v>
      </c>
      <c r="B34" s="13" t="s">
        <v>87</v>
      </c>
      <c r="C34" s="13">
        <v>89</v>
      </c>
      <c r="D34" s="13">
        <v>541</v>
      </c>
      <c r="E34" s="13">
        <f t="shared" si="0"/>
        <v>541</v>
      </c>
      <c r="F34" s="13">
        <v>0</v>
      </c>
    </row>
    <row r="35" spans="1:6" x14ac:dyDescent="0.3">
      <c r="A35" s="13" t="s">
        <v>708</v>
      </c>
      <c r="B35" s="13" t="s">
        <v>88</v>
      </c>
      <c r="C35" s="13">
        <v>539</v>
      </c>
      <c r="D35" s="13">
        <v>3280</v>
      </c>
      <c r="E35" s="13">
        <f t="shared" si="0"/>
        <v>3280</v>
      </c>
      <c r="F35" s="13">
        <v>0</v>
      </c>
    </row>
    <row r="36" spans="1:6" x14ac:dyDescent="0.3">
      <c r="A36" s="13" t="s">
        <v>709</v>
      </c>
      <c r="B36" s="13" t="s">
        <v>89</v>
      </c>
      <c r="C36" s="13">
        <v>339</v>
      </c>
      <c r="D36" s="13">
        <v>2070</v>
      </c>
      <c r="E36" s="13">
        <f t="shared" si="0"/>
        <v>2070</v>
      </c>
      <c r="F36" s="13">
        <v>0</v>
      </c>
    </row>
    <row r="37" spans="1:6" x14ac:dyDescent="0.3">
      <c r="A37" s="13" t="s">
        <v>710</v>
      </c>
      <c r="B37" s="13" t="s">
        <v>90</v>
      </c>
      <c r="C37" s="13">
        <v>155</v>
      </c>
      <c r="D37" s="13">
        <v>945</v>
      </c>
      <c r="E37" s="13">
        <f t="shared" si="0"/>
        <v>945</v>
      </c>
      <c r="F37" s="13">
        <v>0</v>
      </c>
    </row>
    <row r="38" spans="1:6" x14ac:dyDescent="0.3">
      <c r="A38" s="13" t="s">
        <v>711</v>
      </c>
      <c r="B38" s="13" t="s">
        <v>91</v>
      </c>
      <c r="C38" s="13">
        <v>1245</v>
      </c>
      <c r="D38" s="13">
        <v>7590</v>
      </c>
      <c r="E38" s="13">
        <f t="shared" si="0"/>
        <v>7590</v>
      </c>
      <c r="F38" s="13">
        <v>0</v>
      </c>
    </row>
    <row r="39" spans="1:6" x14ac:dyDescent="0.3">
      <c r="A39" s="13" t="s">
        <v>712</v>
      </c>
      <c r="B39" s="13" t="s">
        <v>92</v>
      </c>
      <c r="C39" s="13">
        <v>349</v>
      </c>
      <c r="D39" s="13">
        <v>2130</v>
      </c>
      <c r="E39" s="13">
        <f t="shared" si="0"/>
        <v>2130</v>
      </c>
      <c r="F39" s="13">
        <v>0</v>
      </c>
    </row>
    <row r="40" spans="1:6" x14ac:dyDescent="0.3">
      <c r="A40" s="13" t="s">
        <v>713</v>
      </c>
      <c r="B40" s="13" t="s">
        <v>93</v>
      </c>
      <c r="C40" s="13">
        <v>1050</v>
      </c>
      <c r="D40" s="13">
        <v>6400</v>
      </c>
      <c r="E40" s="13">
        <f t="shared" si="0"/>
        <v>6400</v>
      </c>
      <c r="F40" s="13">
        <v>0</v>
      </c>
    </row>
    <row r="41" spans="1:6" x14ac:dyDescent="0.3">
      <c r="A41" s="13" t="s">
        <v>714</v>
      </c>
      <c r="B41" s="13" t="s">
        <v>94</v>
      </c>
      <c r="C41" s="13">
        <v>529</v>
      </c>
      <c r="D41" s="13">
        <v>3220</v>
      </c>
      <c r="E41" s="13">
        <f t="shared" si="0"/>
        <v>3220</v>
      </c>
      <c r="F41" s="13">
        <v>0</v>
      </c>
    </row>
    <row r="42" spans="1:6" x14ac:dyDescent="0.3">
      <c r="A42" s="13" t="s">
        <v>715</v>
      </c>
      <c r="B42" s="13" t="s">
        <v>95</v>
      </c>
      <c r="C42" s="13">
        <v>116</v>
      </c>
      <c r="D42" s="13">
        <v>706</v>
      </c>
      <c r="E42" s="13">
        <f t="shared" si="0"/>
        <v>706</v>
      </c>
      <c r="F42" s="13">
        <v>0</v>
      </c>
    </row>
    <row r="43" spans="1:6" x14ac:dyDescent="0.3">
      <c r="A43" s="13" t="s">
        <v>716</v>
      </c>
      <c r="B43" s="13" t="s">
        <v>96</v>
      </c>
      <c r="C43" s="13">
        <v>293</v>
      </c>
      <c r="D43" s="13">
        <v>1780</v>
      </c>
      <c r="E43" s="13">
        <f t="shared" si="0"/>
        <v>1780</v>
      </c>
      <c r="F43" s="13">
        <v>0</v>
      </c>
    </row>
    <row r="44" spans="1:6" x14ac:dyDescent="0.3">
      <c r="A44" s="13" t="s">
        <v>717</v>
      </c>
      <c r="B44" s="13" t="s">
        <v>97</v>
      </c>
      <c r="C44" s="13">
        <v>182</v>
      </c>
      <c r="D44" s="13">
        <v>1110</v>
      </c>
      <c r="E44" s="13">
        <f t="shared" si="0"/>
        <v>1110</v>
      </c>
      <c r="F44" s="13">
        <v>0</v>
      </c>
    </row>
    <row r="45" spans="1:6" x14ac:dyDescent="0.3">
      <c r="A45" s="13" t="s">
        <v>718</v>
      </c>
      <c r="B45" s="13" t="s">
        <v>99</v>
      </c>
      <c r="C45" s="13">
        <v>106</v>
      </c>
      <c r="D45" s="13">
        <v>649</v>
      </c>
      <c r="E45" s="13">
        <f t="shared" si="0"/>
        <v>649</v>
      </c>
      <c r="F45" s="13">
        <v>0</v>
      </c>
    </row>
    <row r="46" spans="1:6" x14ac:dyDescent="0.3">
      <c r="A46" s="13" t="s">
        <v>719</v>
      </c>
      <c r="B46" s="13" t="s">
        <v>100</v>
      </c>
      <c r="C46" s="13">
        <v>213</v>
      </c>
      <c r="D46" s="13">
        <v>1300</v>
      </c>
      <c r="E46" s="13">
        <f t="shared" si="0"/>
        <v>1300</v>
      </c>
      <c r="F46" s="13">
        <v>0</v>
      </c>
    </row>
    <row r="47" spans="1:6" x14ac:dyDescent="0.3">
      <c r="A47" s="13" t="s">
        <v>720</v>
      </c>
      <c r="B47" s="13" t="s">
        <v>101</v>
      </c>
      <c r="C47" s="13">
        <v>276</v>
      </c>
      <c r="D47" s="13">
        <v>1310</v>
      </c>
      <c r="E47" s="13">
        <f t="shared" si="0"/>
        <v>1310</v>
      </c>
      <c r="F47" s="13">
        <v>0</v>
      </c>
    </row>
    <row r="48" spans="1:6" x14ac:dyDescent="0.3">
      <c r="A48" s="13" t="s">
        <v>721</v>
      </c>
      <c r="B48" s="13" t="s">
        <v>103</v>
      </c>
      <c r="C48" s="13">
        <v>1440</v>
      </c>
      <c r="D48" s="13">
        <v>6850</v>
      </c>
      <c r="E48" s="13">
        <f t="shared" si="0"/>
        <v>6850</v>
      </c>
      <c r="F48" s="13">
        <v>0</v>
      </c>
    </row>
    <row r="49" spans="1:6" x14ac:dyDescent="0.3">
      <c r="A49" s="13" t="s">
        <v>722</v>
      </c>
      <c r="B49" s="13" t="s">
        <v>105</v>
      </c>
      <c r="C49" s="13">
        <v>1431</v>
      </c>
      <c r="D49" s="13">
        <v>52200</v>
      </c>
      <c r="E49" s="13">
        <f t="shared" si="0"/>
        <v>52200</v>
      </c>
      <c r="F49" s="13">
        <v>0</v>
      </c>
    </row>
    <row r="50" spans="1:6" x14ac:dyDescent="0.3">
      <c r="A50" s="13" t="s">
        <v>723</v>
      </c>
      <c r="B50" s="13" t="s">
        <v>106</v>
      </c>
      <c r="C50" s="13">
        <v>540</v>
      </c>
      <c r="D50" s="13">
        <v>3290</v>
      </c>
      <c r="E50" s="13">
        <f t="shared" si="0"/>
        <v>3290</v>
      </c>
      <c r="F50" s="13">
        <v>0</v>
      </c>
    </row>
    <row r="51" spans="1:6" x14ac:dyDescent="0.3">
      <c r="A51" s="13" t="s">
        <v>724</v>
      </c>
      <c r="B51" s="13" t="s">
        <v>107</v>
      </c>
      <c r="C51" s="13">
        <v>94</v>
      </c>
      <c r="D51" s="13">
        <v>574</v>
      </c>
      <c r="E51" s="13">
        <f t="shared" si="0"/>
        <v>574</v>
      </c>
      <c r="F51" s="13">
        <v>0</v>
      </c>
    </row>
    <row r="52" spans="1:6" x14ac:dyDescent="0.3">
      <c r="A52" s="13" t="s">
        <v>725</v>
      </c>
      <c r="B52" s="13" t="s">
        <v>108</v>
      </c>
      <c r="C52" s="13">
        <v>288</v>
      </c>
      <c r="D52" s="13">
        <v>1750</v>
      </c>
      <c r="E52" s="13">
        <f t="shared" si="0"/>
        <v>1750</v>
      </c>
      <c r="F52" s="13">
        <v>0</v>
      </c>
    </row>
    <row r="53" spans="1:6" x14ac:dyDescent="0.3">
      <c r="A53" s="13" t="s">
        <v>726</v>
      </c>
      <c r="B53" s="13" t="s">
        <v>109</v>
      </c>
      <c r="C53" s="13">
        <v>996</v>
      </c>
      <c r="D53" s="13">
        <v>4740</v>
      </c>
      <c r="E53" s="13">
        <f t="shared" si="0"/>
        <v>4740</v>
      </c>
      <c r="F53" s="13">
        <v>0</v>
      </c>
    </row>
    <row r="54" spans="1:6" x14ac:dyDescent="0.3">
      <c r="A54" s="13" t="s">
        <v>727</v>
      </c>
      <c r="B54" s="13" t="s">
        <v>110</v>
      </c>
      <c r="C54" s="13">
        <v>95</v>
      </c>
      <c r="D54" s="13">
        <v>577</v>
      </c>
      <c r="E54" s="13">
        <f t="shared" si="0"/>
        <v>577</v>
      </c>
      <c r="F54" s="13">
        <v>0</v>
      </c>
    </row>
    <row r="55" spans="1:6" x14ac:dyDescent="0.3">
      <c r="A55" s="13" t="s">
        <v>728</v>
      </c>
      <c r="B55" s="13" t="s">
        <v>111</v>
      </c>
      <c r="C55" s="13">
        <v>1832</v>
      </c>
      <c r="D55" s="13">
        <v>11200</v>
      </c>
      <c r="E55" s="13">
        <f t="shared" si="0"/>
        <v>11200</v>
      </c>
      <c r="F55" s="13">
        <v>0</v>
      </c>
    </row>
    <row r="56" spans="1:6" x14ac:dyDescent="0.3">
      <c r="A56" s="13" t="s">
        <v>729</v>
      </c>
      <c r="B56" s="13" t="s">
        <v>112</v>
      </c>
      <c r="C56" s="13">
        <v>996</v>
      </c>
      <c r="D56" s="13">
        <v>6070</v>
      </c>
      <c r="E56" s="13">
        <f t="shared" si="0"/>
        <v>6070</v>
      </c>
      <c r="F56" s="13">
        <v>0</v>
      </c>
    </row>
    <row r="57" spans="1:6" x14ac:dyDescent="0.3">
      <c r="A57" s="13" t="s">
        <v>730</v>
      </c>
      <c r="B57" s="13" t="s">
        <v>113</v>
      </c>
      <c r="C57" s="13">
        <v>572</v>
      </c>
      <c r="D57" s="13">
        <v>3480</v>
      </c>
      <c r="E57" s="13">
        <f t="shared" si="0"/>
        <v>3480</v>
      </c>
      <c r="F57" s="13">
        <v>0</v>
      </c>
    </row>
    <row r="58" spans="1:6" x14ac:dyDescent="0.3">
      <c r="A58" s="13" t="s">
        <v>731</v>
      </c>
      <c r="B58" s="13" t="s">
        <v>114</v>
      </c>
      <c r="C58" s="13">
        <v>116</v>
      </c>
      <c r="D58" s="13">
        <v>709</v>
      </c>
      <c r="E58" s="13">
        <f t="shared" si="0"/>
        <v>709</v>
      </c>
      <c r="F58" s="13">
        <v>0</v>
      </c>
    </row>
    <row r="59" spans="1:6" x14ac:dyDescent="0.3">
      <c r="A59" s="13" t="s">
        <v>732</v>
      </c>
      <c r="B59" s="13" t="s">
        <v>115</v>
      </c>
      <c r="C59" s="13">
        <v>738</v>
      </c>
      <c r="D59" s="13">
        <v>3510</v>
      </c>
      <c r="E59" s="13">
        <f t="shared" si="0"/>
        <v>3510</v>
      </c>
      <c r="F59" s="13">
        <v>0</v>
      </c>
    </row>
    <row r="60" spans="1:6" x14ac:dyDescent="0.3">
      <c r="A60" s="13" t="s">
        <v>733</v>
      </c>
      <c r="B60" s="13" t="s">
        <v>116</v>
      </c>
      <c r="C60" s="13">
        <v>1728</v>
      </c>
      <c r="D60" s="13">
        <v>10500</v>
      </c>
      <c r="E60" s="13">
        <f t="shared" si="0"/>
        <v>10500</v>
      </c>
      <c r="F60" s="13">
        <v>0</v>
      </c>
    </row>
    <row r="61" spans="1:6" x14ac:dyDescent="0.3">
      <c r="A61" s="13" t="s">
        <v>734</v>
      </c>
      <c r="B61" s="13" t="s">
        <v>117</v>
      </c>
      <c r="C61" s="13">
        <v>345</v>
      </c>
      <c r="D61" s="13">
        <v>2100</v>
      </c>
      <c r="E61" s="13">
        <f t="shared" si="0"/>
        <v>2100</v>
      </c>
      <c r="F61" s="13">
        <v>0</v>
      </c>
    </row>
    <row r="62" spans="1:6" x14ac:dyDescent="0.3">
      <c r="A62" s="13" t="s">
        <v>735</v>
      </c>
      <c r="B62" s="13" t="s">
        <v>118</v>
      </c>
      <c r="C62" s="13">
        <v>507</v>
      </c>
      <c r="D62" s="13">
        <v>2410</v>
      </c>
      <c r="E62" s="13">
        <f t="shared" si="0"/>
        <v>2410</v>
      </c>
      <c r="F62" s="13">
        <v>0</v>
      </c>
    </row>
    <row r="63" spans="1:6" x14ac:dyDescent="0.3">
      <c r="A63" s="13" t="s">
        <v>736</v>
      </c>
      <c r="B63" s="13" t="s">
        <v>119</v>
      </c>
      <c r="C63" s="13">
        <v>191</v>
      </c>
      <c r="D63" s="13">
        <v>910</v>
      </c>
      <c r="E63" s="13">
        <f t="shared" si="0"/>
        <v>910</v>
      </c>
      <c r="F63" s="13">
        <v>0</v>
      </c>
    </row>
    <row r="64" spans="1:6" x14ac:dyDescent="0.3">
      <c r="A64" s="13" t="s">
        <v>737</v>
      </c>
      <c r="B64" s="13" t="s">
        <v>120</v>
      </c>
      <c r="C64" s="13">
        <v>231</v>
      </c>
      <c r="D64" s="13">
        <v>1410</v>
      </c>
      <c r="E64" s="13">
        <f t="shared" si="0"/>
        <v>1410</v>
      </c>
      <c r="F64" s="13">
        <v>0</v>
      </c>
    </row>
    <row r="65" spans="1:6" x14ac:dyDescent="0.3">
      <c r="A65" s="13" t="s">
        <v>738</v>
      </c>
      <c r="B65" s="13" t="s">
        <v>121</v>
      </c>
      <c r="C65" s="13">
        <v>857</v>
      </c>
      <c r="D65" s="13">
        <v>5230</v>
      </c>
      <c r="E65" s="13">
        <f t="shared" si="0"/>
        <v>5230</v>
      </c>
      <c r="F65" s="13">
        <v>0</v>
      </c>
    </row>
    <row r="66" spans="1:6" x14ac:dyDescent="0.3">
      <c r="A66" s="13" t="s">
        <v>739</v>
      </c>
      <c r="B66" s="13" t="s">
        <v>122</v>
      </c>
      <c r="C66" s="13">
        <v>321</v>
      </c>
      <c r="D66" s="13">
        <v>1960</v>
      </c>
      <c r="E66" s="13">
        <f t="shared" si="0"/>
        <v>1960</v>
      </c>
      <c r="F66" s="13">
        <v>0</v>
      </c>
    </row>
    <row r="67" spans="1:6" x14ac:dyDescent="0.3">
      <c r="A67" s="13" t="s">
        <v>740</v>
      </c>
      <c r="B67" s="13" t="s">
        <v>123</v>
      </c>
      <c r="C67" s="13">
        <v>712</v>
      </c>
      <c r="D67" s="13">
        <v>4340</v>
      </c>
      <c r="E67" s="13">
        <f t="shared" ref="E67:E130" si="1">D67-F67</f>
        <v>4340</v>
      </c>
      <c r="F67" s="13">
        <v>0</v>
      </c>
    </row>
    <row r="68" spans="1:6" x14ac:dyDescent="0.3">
      <c r="A68" s="13" t="s">
        <v>741</v>
      </c>
      <c r="B68" s="13" t="s">
        <v>124</v>
      </c>
      <c r="C68" s="13">
        <v>502</v>
      </c>
      <c r="D68" s="13">
        <v>3060</v>
      </c>
      <c r="E68" s="13">
        <f t="shared" si="1"/>
        <v>3060</v>
      </c>
      <c r="F68" s="13">
        <v>0</v>
      </c>
    </row>
    <row r="69" spans="1:6" x14ac:dyDescent="0.3">
      <c r="A69" s="13" t="s">
        <v>742</v>
      </c>
      <c r="B69" s="13" t="s">
        <v>125</v>
      </c>
      <c r="C69" s="13">
        <v>850</v>
      </c>
      <c r="D69" s="13">
        <v>4040</v>
      </c>
      <c r="E69" s="13">
        <f t="shared" si="1"/>
        <v>4040</v>
      </c>
      <c r="F69" s="13">
        <v>0</v>
      </c>
    </row>
    <row r="70" spans="1:6" x14ac:dyDescent="0.3">
      <c r="A70" s="13" t="s">
        <v>743</v>
      </c>
      <c r="B70" s="13" t="s">
        <v>126</v>
      </c>
      <c r="C70" s="13">
        <v>763</v>
      </c>
      <c r="D70" s="13">
        <v>4650</v>
      </c>
      <c r="E70" s="13">
        <f t="shared" si="1"/>
        <v>4650</v>
      </c>
      <c r="F70" s="13">
        <v>0</v>
      </c>
    </row>
    <row r="71" spans="1:6" x14ac:dyDescent="0.3">
      <c r="A71" s="13" t="s">
        <v>744</v>
      </c>
      <c r="B71" s="13" t="s">
        <v>127</v>
      </c>
      <c r="C71" s="13">
        <v>126</v>
      </c>
      <c r="D71" s="13">
        <v>767</v>
      </c>
      <c r="E71" s="13">
        <f t="shared" si="1"/>
        <v>767</v>
      </c>
      <c r="F71" s="13">
        <v>0</v>
      </c>
    </row>
    <row r="72" spans="1:6" x14ac:dyDescent="0.3">
      <c r="A72" s="13" t="s">
        <v>745</v>
      </c>
      <c r="B72" s="13" t="s">
        <v>128</v>
      </c>
      <c r="C72" s="13">
        <v>1790</v>
      </c>
      <c r="D72" s="13">
        <v>8520</v>
      </c>
      <c r="E72" s="13">
        <f t="shared" si="1"/>
        <v>8520</v>
      </c>
      <c r="F72" s="13">
        <v>0</v>
      </c>
    </row>
    <row r="73" spans="1:6" x14ac:dyDescent="0.3">
      <c r="A73" s="13" t="s">
        <v>746</v>
      </c>
      <c r="B73" s="13" t="s">
        <v>129</v>
      </c>
      <c r="C73" s="13">
        <v>195</v>
      </c>
      <c r="D73" s="13">
        <v>929</v>
      </c>
      <c r="E73" s="13">
        <f t="shared" si="1"/>
        <v>929</v>
      </c>
      <c r="F73" s="13">
        <v>0</v>
      </c>
    </row>
    <row r="74" spans="1:6" x14ac:dyDescent="0.3">
      <c r="A74" s="13" t="s">
        <v>747</v>
      </c>
      <c r="B74" s="13" t="s">
        <v>130</v>
      </c>
      <c r="C74" s="13">
        <v>325</v>
      </c>
      <c r="D74" s="13">
        <v>1980</v>
      </c>
      <c r="E74" s="13">
        <f t="shared" si="1"/>
        <v>1980</v>
      </c>
      <c r="F74" s="13">
        <v>0</v>
      </c>
    </row>
    <row r="75" spans="1:6" x14ac:dyDescent="0.3">
      <c r="A75" s="13" t="s">
        <v>748</v>
      </c>
      <c r="B75" s="13" t="s">
        <v>131</v>
      </c>
      <c r="C75" s="13">
        <v>238</v>
      </c>
      <c r="D75" s="13">
        <v>1450</v>
      </c>
      <c r="E75" s="13">
        <f t="shared" si="1"/>
        <v>1450</v>
      </c>
      <c r="F75" s="13">
        <v>0</v>
      </c>
    </row>
    <row r="76" spans="1:6" x14ac:dyDescent="0.3">
      <c r="A76" s="13" t="s">
        <v>749</v>
      </c>
      <c r="B76" s="13" t="s">
        <v>132</v>
      </c>
      <c r="C76" s="13">
        <v>175</v>
      </c>
      <c r="D76" s="13">
        <v>834</v>
      </c>
      <c r="E76" s="13">
        <f t="shared" si="1"/>
        <v>834</v>
      </c>
      <c r="F76" s="13">
        <v>0</v>
      </c>
    </row>
    <row r="77" spans="1:6" x14ac:dyDescent="0.3">
      <c r="A77" s="13" t="s">
        <v>750</v>
      </c>
      <c r="B77" s="13" t="s">
        <v>133</v>
      </c>
      <c r="C77" s="13">
        <v>1455</v>
      </c>
      <c r="D77" s="13">
        <v>8870</v>
      </c>
      <c r="E77" s="13">
        <f t="shared" si="1"/>
        <v>8870</v>
      </c>
      <c r="F77" s="13">
        <v>0</v>
      </c>
    </row>
    <row r="78" spans="1:6" x14ac:dyDescent="0.3">
      <c r="A78" s="13" t="s">
        <v>751</v>
      </c>
      <c r="B78" s="13" t="s">
        <v>134</v>
      </c>
      <c r="C78" s="13">
        <v>958</v>
      </c>
      <c r="D78" s="13">
        <v>4560</v>
      </c>
      <c r="E78" s="13">
        <f t="shared" si="1"/>
        <v>4560</v>
      </c>
      <c r="F78" s="13">
        <v>0</v>
      </c>
    </row>
    <row r="79" spans="1:6" x14ac:dyDescent="0.3">
      <c r="A79" s="13" t="s">
        <v>752</v>
      </c>
      <c r="B79" s="13" t="s">
        <v>135</v>
      </c>
      <c r="C79" s="13">
        <v>1072</v>
      </c>
      <c r="D79" s="13">
        <v>5100</v>
      </c>
      <c r="E79" s="13">
        <f t="shared" si="1"/>
        <v>5100</v>
      </c>
      <c r="F79" s="13">
        <v>0</v>
      </c>
    </row>
    <row r="80" spans="1:6" x14ac:dyDescent="0.3">
      <c r="A80" s="13" t="s">
        <v>753</v>
      </c>
      <c r="B80" s="13" t="s">
        <v>136</v>
      </c>
      <c r="C80" s="13">
        <v>254</v>
      </c>
      <c r="D80" s="13">
        <v>1550</v>
      </c>
      <c r="E80" s="13">
        <f t="shared" si="1"/>
        <v>1550</v>
      </c>
      <c r="F80" s="13">
        <v>0</v>
      </c>
    </row>
    <row r="81" spans="1:6" x14ac:dyDescent="0.3">
      <c r="A81" s="13" t="s">
        <v>754</v>
      </c>
      <c r="B81" s="13" t="s">
        <v>137</v>
      </c>
      <c r="C81" s="13">
        <v>898</v>
      </c>
      <c r="D81" s="13">
        <v>4270</v>
      </c>
      <c r="E81" s="13">
        <f t="shared" si="1"/>
        <v>4270</v>
      </c>
      <c r="F81" s="13">
        <v>0</v>
      </c>
    </row>
    <row r="82" spans="1:6" x14ac:dyDescent="0.3">
      <c r="A82" s="13" t="s">
        <v>755</v>
      </c>
      <c r="B82" s="13" t="s">
        <v>138</v>
      </c>
      <c r="C82" s="13">
        <v>598</v>
      </c>
      <c r="D82" s="13">
        <v>2850</v>
      </c>
      <c r="E82" s="13">
        <f t="shared" si="1"/>
        <v>2850</v>
      </c>
      <c r="F82" s="13">
        <v>0</v>
      </c>
    </row>
    <row r="83" spans="1:6" x14ac:dyDescent="0.3">
      <c r="A83" s="13" t="s">
        <v>756</v>
      </c>
      <c r="B83" s="13" t="s">
        <v>139</v>
      </c>
      <c r="C83" s="13">
        <v>427</v>
      </c>
      <c r="D83" s="13">
        <v>2600</v>
      </c>
      <c r="E83" s="13">
        <f t="shared" si="1"/>
        <v>2600</v>
      </c>
      <c r="F83" s="13">
        <v>0</v>
      </c>
    </row>
    <row r="84" spans="1:6" x14ac:dyDescent="0.3">
      <c r="A84" s="13" t="s">
        <v>757</v>
      </c>
      <c r="B84" s="13" t="s">
        <v>140</v>
      </c>
      <c r="C84" s="13">
        <v>382</v>
      </c>
      <c r="D84" s="13">
        <v>1820</v>
      </c>
      <c r="E84" s="13">
        <f t="shared" si="1"/>
        <v>1820</v>
      </c>
      <c r="F84" s="13">
        <v>0</v>
      </c>
    </row>
    <row r="85" spans="1:6" x14ac:dyDescent="0.3">
      <c r="A85" s="13" t="s">
        <v>758</v>
      </c>
      <c r="B85" s="13" t="s">
        <v>141</v>
      </c>
      <c r="C85" s="13">
        <v>566</v>
      </c>
      <c r="D85" s="13">
        <v>3450</v>
      </c>
      <c r="E85" s="13">
        <f t="shared" si="1"/>
        <v>3450</v>
      </c>
      <c r="F85" s="13">
        <v>0</v>
      </c>
    </row>
    <row r="86" spans="1:6" x14ac:dyDescent="0.3">
      <c r="A86" s="13" t="s">
        <v>759</v>
      </c>
      <c r="B86" s="13" t="s">
        <v>142</v>
      </c>
      <c r="C86" s="13">
        <v>651</v>
      </c>
      <c r="D86" s="13">
        <v>3100</v>
      </c>
      <c r="E86" s="13">
        <f t="shared" si="1"/>
        <v>3100</v>
      </c>
      <c r="F86" s="13">
        <v>0</v>
      </c>
    </row>
    <row r="87" spans="1:6" x14ac:dyDescent="0.3">
      <c r="A87" s="13" t="s">
        <v>760</v>
      </c>
      <c r="B87" s="13" t="s">
        <v>143</v>
      </c>
      <c r="C87" s="13">
        <v>201</v>
      </c>
      <c r="D87" s="13">
        <v>1230</v>
      </c>
      <c r="E87" s="13">
        <f t="shared" si="1"/>
        <v>1230</v>
      </c>
      <c r="F87" s="13">
        <v>0</v>
      </c>
    </row>
    <row r="88" spans="1:6" x14ac:dyDescent="0.3">
      <c r="A88" s="13" t="s">
        <v>761</v>
      </c>
      <c r="B88" s="13" t="s">
        <v>144</v>
      </c>
      <c r="C88" s="13">
        <v>262</v>
      </c>
      <c r="D88" s="13">
        <v>1590</v>
      </c>
      <c r="E88" s="13">
        <f t="shared" si="1"/>
        <v>1590</v>
      </c>
      <c r="F88" s="13">
        <v>0</v>
      </c>
    </row>
    <row r="89" spans="1:6" x14ac:dyDescent="0.3">
      <c r="A89" s="13" t="s">
        <v>762</v>
      </c>
      <c r="B89" s="13" t="s">
        <v>145</v>
      </c>
      <c r="C89" s="13">
        <v>2698</v>
      </c>
      <c r="D89" s="13">
        <v>12800</v>
      </c>
      <c r="E89" s="13">
        <f t="shared" si="1"/>
        <v>12800</v>
      </c>
      <c r="F89" s="13">
        <v>0</v>
      </c>
    </row>
    <row r="90" spans="1:6" x14ac:dyDescent="0.3">
      <c r="A90" s="13" t="s">
        <v>763</v>
      </c>
      <c r="B90" s="13" t="s">
        <v>146</v>
      </c>
      <c r="C90" s="13">
        <v>502</v>
      </c>
      <c r="D90" s="13">
        <v>2390</v>
      </c>
      <c r="E90" s="13">
        <f t="shared" si="1"/>
        <v>2390</v>
      </c>
      <c r="F90" s="13">
        <v>0</v>
      </c>
    </row>
    <row r="91" spans="1:6" x14ac:dyDescent="0.3">
      <c r="A91" s="13" t="s">
        <v>764</v>
      </c>
      <c r="B91" s="13" t="s">
        <v>147</v>
      </c>
      <c r="C91" s="13">
        <v>1594</v>
      </c>
      <c r="D91" s="13">
        <v>9710</v>
      </c>
      <c r="E91" s="13">
        <f t="shared" si="1"/>
        <v>9710</v>
      </c>
      <c r="F91" s="13">
        <v>0</v>
      </c>
    </row>
    <row r="92" spans="1:6" x14ac:dyDescent="0.3">
      <c r="A92" s="13" t="s">
        <v>765</v>
      </c>
      <c r="B92" s="13" t="s">
        <v>148</v>
      </c>
      <c r="C92" s="13">
        <v>216</v>
      </c>
      <c r="D92" s="13">
        <v>7900</v>
      </c>
      <c r="E92" s="13">
        <f t="shared" si="1"/>
        <v>7900</v>
      </c>
      <c r="F92" s="13">
        <v>0</v>
      </c>
    </row>
    <row r="93" spans="1:6" x14ac:dyDescent="0.3">
      <c r="A93" s="13" t="s">
        <v>766</v>
      </c>
      <c r="B93" s="13" t="s">
        <v>149</v>
      </c>
      <c r="C93" s="13">
        <v>129</v>
      </c>
      <c r="D93" s="13">
        <v>787</v>
      </c>
      <c r="E93" s="13">
        <f t="shared" si="1"/>
        <v>787</v>
      </c>
      <c r="F93" s="13">
        <v>0</v>
      </c>
    </row>
    <row r="94" spans="1:6" x14ac:dyDescent="0.3">
      <c r="A94" s="13" t="s">
        <v>767</v>
      </c>
      <c r="B94" s="13" t="s">
        <v>150</v>
      </c>
      <c r="C94" s="13">
        <v>368</v>
      </c>
      <c r="D94" s="13">
        <v>2240</v>
      </c>
      <c r="E94" s="13">
        <f t="shared" si="1"/>
        <v>2240</v>
      </c>
      <c r="F94" s="13">
        <v>0</v>
      </c>
    </row>
    <row r="95" spans="1:6" x14ac:dyDescent="0.3">
      <c r="A95" s="13" t="s">
        <v>768</v>
      </c>
      <c r="B95" s="13" t="s">
        <v>151</v>
      </c>
      <c r="C95" s="13">
        <v>142</v>
      </c>
      <c r="D95" s="13">
        <v>676</v>
      </c>
      <c r="E95" s="13">
        <f t="shared" si="1"/>
        <v>676</v>
      </c>
      <c r="F95" s="13">
        <v>0</v>
      </c>
    </row>
    <row r="96" spans="1:6" x14ac:dyDescent="0.3">
      <c r="A96" s="13" t="s">
        <v>769</v>
      </c>
      <c r="B96" s="13" t="s">
        <v>152</v>
      </c>
      <c r="C96" s="13">
        <v>1292</v>
      </c>
      <c r="D96" s="13">
        <v>7880</v>
      </c>
      <c r="E96" s="13">
        <f t="shared" si="1"/>
        <v>7880</v>
      </c>
      <c r="F96" s="13">
        <v>0</v>
      </c>
    </row>
    <row r="97" spans="1:6" x14ac:dyDescent="0.3">
      <c r="A97" s="13" t="s">
        <v>770</v>
      </c>
      <c r="B97" s="13" t="s">
        <v>153</v>
      </c>
      <c r="C97" s="13">
        <v>1719</v>
      </c>
      <c r="D97" s="13">
        <v>10500</v>
      </c>
      <c r="E97" s="13">
        <f t="shared" si="1"/>
        <v>10500</v>
      </c>
      <c r="F97" s="13">
        <v>0</v>
      </c>
    </row>
    <row r="98" spans="1:6" x14ac:dyDescent="0.3">
      <c r="A98" s="13" t="s">
        <v>771</v>
      </c>
      <c r="B98" s="13" t="s">
        <v>154</v>
      </c>
      <c r="C98" s="13">
        <v>1704</v>
      </c>
      <c r="D98" s="13">
        <v>8110</v>
      </c>
      <c r="E98" s="13">
        <f t="shared" si="1"/>
        <v>8110</v>
      </c>
      <c r="F98" s="13">
        <v>0</v>
      </c>
    </row>
    <row r="99" spans="1:6" x14ac:dyDescent="0.3">
      <c r="A99" s="13" t="s">
        <v>772</v>
      </c>
      <c r="B99" s="13" t="s">
        <v>155</v>
      </c>
      <c r="C99" s="13">
        <v>3061</v>
      </c>
      <c r="D99" s="13">
        <v>14600</v>
      </c>
      <c r="E99" s="13">
        <f t="shared" si="1"/>
        <v>14600</v>
      </c>
      <c r="F99" s="13">
        <v>0</v>
      </c>
    </row>
    <row r="100" spans="1:6" x14ac:dyDescent="0.3">
      <c r="A100" s="13" t="s">
        <v>773</v>
      </c>
      <c r="B100" s="13" t="s">
        <v>156</v>
      </c>
      <c r="C100" s="13">
        <v>3519</v>
      </c>
      <c r="D100" s="13">
        <v>16700</v>
      </c>
      <c r="E100" s="13">
        <f t="shared" si="1"/>
        <v>16700</v>
      </c>
      <c r="F100" s="13">
        <v>0</v>
      </c>
    </row>
    <row r="101" spans="1:6" x14ac:dyDescent="0.3">
      <c r="A101" s="13" t="s">
        <v>774</v>
      </c>
      <c r="B101" s="13" t="s">
        <v>157</v>
      </c>
      <c r="C101" s="13">
        <v>648</v>
      </c>
      <c r="D101" s="13">
        <v>3080</v>
      </c>
      <c r="E101" s="13">
        <f t="shared" si="1"/>
        <v>3080</v>
      </c>
      <c r="F101" s="13">
        <v>0</v>
      </c>
    </row>
    <row r="102" spans="1:6" x14ac:dyDescent="0.3">
      <c r="A102" s="13" t="s">
        <v>775</v>
      </c>
      <c r="B102" s="13" t="s">
        <v>158</v>
      </c>
      <c r="C102" s="13">
        <v>698</v>
      </c>
      <c r="D102" s="13">
        <v>25500</v>
      </c>
      <c r="E102" s="13">
        <f t="shared" si="1"/>
        <v>25500</v>
      </c>
      <c r="F102" s="13">
        <v>0</v>
      </c>
    </row>
    <row r="103" spans="1:6" x14ac:dyDescent="0.3">
      <c r="A103" s="13" t="s">
        <v>776</v>
      </c>
      <c r="B103" s="13" t="s">
        <v>159</v>
      </c>
      <c r="C103" s="13">
        <v>343</v>
      </c>
      <c r="D103" s="13">
        <v>2090</v>
      </c>
      <c r="E103" s="13">
        <f t="shared" si="1"/>
        <v>2090</v>
      </c>
      <c r="F103" s="13">
        <v>0</v>
      </c>
    </row>
    <row r="104" spans="1:6" x14ac:dyDescent="0.3">
      <c r="A104" s="13" t="s">
        <v>777</v>
      </c>
      <c r="B104" s="13" t="s">
        <v>160</v>
      </c>
      <c r="C104" s="13">
        <v>516</v>
      </c>
      <c r="D104" s="13">
        <v>3150</v>
      </c>
      <c r="E104" s="13">
        <f t="shared" si="1"/>
        <v>3150</v>
      </c>
      <c r="F104" s="13">
        <v>0</v>
      </c>
    </row>
    <row r="105" spans="1:6" x14ac:dyDescent="0.3">
      <c r="A105" s="13" t="s">
        <v>778</v>
      </c>
      <c r="B105" s="13" t="s">
        <v>161</v>
      </c>
      <c r="C105" s="13">
        <v>662</v>
      </c>
      <c r="D105" s="13">
        <v>3150</v>
      </c>
      <c r="E105" s="13">
        <f t="shared" si="1"/>
        <v>3150</v>
      </c>
      <c r="F105" s="13">
        <v>0</v>
      </c>
    </row>
    <row r="106" spans="1:6" x14ac:dyDescent="0.3">
      <c r="A106" s="13" t="s">
        <v>779</v>
      </c>
      <c r="B106" s="13" t="s">
        <v>162</v>
      </c>
      <c r="C106" s="13">
        <v>704</v>
      </c>
      <c r="D106" s="13">
        <v>4290</v>
      </c>
      <c r="E106" s="13">
        <f t="shared" si="1"/>
        <v>4290</v>
      </c>
      <c r="F106" s="13">
        <v>0</v>
      </c>
    </row>
    <row r="107" spans="1:6" x14ac:dyDescent="0.3">
      <c r="A107" s="13" t="s">
        <v>780</v>
      </c>
      <c r="B107" s="13" t="s">
        <v>163</v>
      </c>
      <c r="C107" s="13">
        <v>1101</v>
      </c>
      <c r="D107" s="13">
        <v>5240</v>
      </c>
      <c r="E107" s="13">
        <f t="shared" si="1"/>
        <v>5240</v>
      </c>
      <c r="F107" s="13">
        <v>0</v>
      </c>
    </row>
    <row r="108" spans="1:6" x14ac:dyDescent="0.3">
      <c r="A108" s="13" t="s">
        <v>781</v>
      </c>
      <c r="B108" s="13" t="s">
        <v>164</v>
      </c>
      <c r="C108" s="13">
        <v>376</v>
      </c>
      <c r="D108" s="13">
        <v>2290</v>
      </c>
      <c r="E108" s="13">
        <f t="shared" si="1"/>
        <v>2290</v>
      </c>
      <c r="F108" s="13">
        <v>0</v>
      </c>
    </row>
    <row r="109" spans="1:6" x14ac:dyDescent="0.3">
      <c r="A109" s="13" t="s">
        <v>782</v>
      </c>
      <c r="B109" s="13" t="s">
        <v>165</v>
      </c>
      <c r="C109" s="13">
        <v>1039</v>
      </c>
      <c r="D109" s="13">
        <v>6330</v>
      </c>
      <c r="E109" s="13">
        <f t="shared" si="1"/>
        <v>6330</v>
      </c>
      <c r="F109" s="13">
        <v>0</v>
      </c>
    </row>
    <row r="110" spans="1:6" x14ac:dyDescent="0.3">
      <c r="A110" s="13" t="s">
        <v>783</v>
      </c>
      <c r="B110" s="13" t="s">
        <v>166</v>
      </c>
      <c r="C110" s="13">
        <v>195</v>
      </c>
      <c r="D110" s="13">
        <v>7110</v>
      </c>
      <c r="E110" s="13">
        <f t="shared" si="1"/>
        <v>7110</v>
      </c>
      <c r="F110" s="13">
        <v>0</v>
      </c>
    </row>
    <row r="111" spans="1:6" x14ac:dyDescent="0.3">
      <c r="A111" s="13" t="s">
        <v>784</v>
      </c>
      <c r="B111" s="13" t="s">
        <v>167</v>
      </c>
      <c r="C111" s="13">
        <v>4137</v>
      </c>
      <c r="D111" s="13">
        <v>19700</v>
      </c>
      <c r="E111" s="13">
        <f t="shared" si="1"/>
        <v>19700</v>
      </c>
      <c r="F111" s="13">
        <v>0</v>
      </c>
    </row>
    <row r="112" spans="1:6" x14ac:dyDescent="0.3">
      <c r="A112" s="13" t="s">
        <v>785</v>
      </c>
      <c r="B112" s="13" t="s">
        <v>168</v>
      </c>
      <c r="C112" s="13">
        <v>4487</v>
      </c>
      <c r="D112" s="13">
        <v>21400</v>
      </c>
      <c r="E112" s="13">
        <f t="shared" si="1"/>
        <v>21400</v>
      </c>
      <c r="F112" s="13">
        <v>0</v>
      </c>
    </row>
    <row r="113" spans="1:6" x14ac:dyDescent="0.3">
      <c r="A113" s="13" t="s">
        <v>786</v>
      </c>
      <c r="B113" s="13" t="s">
        <v>169</v>
      </c>
      <c r="C113" s="13">
        <v>912</v>
      </c>
      <c r="D113" s="13">
        <v>4340</v>
      </c>
      <c r="E113" s="13">
        <f t="shared" si="1"/>
        <v>4340</v>
      </c>
      <c r="F113" s="13">
        <v>0</v>
      </c>
    </row>
    <row r="114" spans="1:6" x14ac:dyDescent="0.3">
      <c r="A114" s="13" t="s">
        <v>787</v>
      </c>
      <c r="B114" s="13" t="s">
        <v>170</v>
      </c>
      <c r="C114" s="13">
        <v>2052</v>
      </c>
      <c r="D114" s="13">
        <v>74900</v>
      </c>
      <c r="E114" s="13">
        <f t="shared" si="1"/>
        <v>74900</v>
      </c>
      <c r="F114" s="13">
        <v>0</v>
      </c>
    </row>
    <row r="115" spans="1:6" x14ac:dyDescent="0.3">
      <c r="A115" s="13" t="s">
        <v>788</v>
      </c>
      <c r="B115" s="13" t="s">
        <v>171</v>
      </c>
      <c r="C115" s="13">
        <v>375</v>
      </c>
      <c r="D115" s="13">
        <v>2290</v>
      </c>
      <c r="E115" s="13">
        <f t="shared" si="1"/>
        <v>2290</v>
      </c>
      <c r="F115" s="13">
        <v>0</v>
      </c>
    </row>
    <row r="116" spans="1:6" x14ac:dyDescent="0.3">
      <c r="A116" s="13" t="s">
        <v>789</v>
      </c>
      <c r="B116" s="13" t="s">
        <v>172</v>
      </c>
      <c r="C116" s="13">
        <v>147</v>
      </c>
      <c r="D116" s="13">
        <v>899</v>
      </c>
      <c r="E116" s="13">
        <f t="shared" si="1"/>
        <v>899</v>
      </c>
      <c r="F116" s="13">
        <v>0</v>
      </c>
    </row>
    <row r="117" spans="1:6" x14ac:dyDescent="0.3">
      <c r="A117" s="13" t="s">
        <v>790</v>
      </c>
      <c r="B117" s="13" t="s">
        <v>173</v>
      </c>
      <c r="C117" s="13">
        <v>2428</v>
      </c>
      <c r="D117" s="13">
        <v>14800</v>
      </c>
      <c r="E117" s="13">
        <f t="shared" si="1"/>
        <v>14800</v>
      </c>
      <c r="F117" s="13">
        <v>0</v>
      </c>
    </row>
    <row r="118" spans="1:6" x14ac:dyDescent="0.3">
      <c r="A118" s="13" t="s">
        <v>791</v>
      </c>
      <c r="B118" s="13" t="s">
        <v>174</v>
      </c>
      <c r="C118" s="13">
        <v>1045</v>
      </c>
      <c r="D118" s="13">
        <v>6370</v>
      </c>
      <c r="E118" s="13">
        <f t="shared" si="1"/>
        <v>6370</v>
      </c>
      <c r="F118" s="13">
        <v>0</v>
      </c>
    </row>
    <row r="119" spans="1:6" x14ac:dyDescent="0.3">
      <c r="A119" s="13" t="s">
        <v>792</v>
      </c>
      <c r="B119" s="13" t="s">
        <v>175</v>
      </c>
      <c r="C119" s="13">
        <v>1119</v>
      </c>
      <c r="D119" s="13">
        <v>6820</v>
      </c>
      <c r="E119" s="13">
        <f t="shared" si="1"/>
        <v>6820</v>
      </c>
      <c r="F119" s="13">
        <v>0</v>
      </c>
    </row>
    <row r="120" spans="1:6" x14ac:dyDescent="0.3">
      <c r="A120" s="13" t="s">
        <v>793</v>
      </c>
      <c r="B120" s="13" t="s">
        <v>176</v>
      </c>
      <c r="C120" s="13">
        <v>514</v>
      </c>
      <c r="D120" s="13">
        <v>3130</v>
      </c>
      <c r="E120" s="13">
        <f t="shared" si="1"/>
        <v>3130</v>
      </c>
      <c r="F120" s="13">
        <v>0</v>
      </c>
    </row>
    <row r="121" spans="1:6" x14ac:dyDescent="0.3">
      <c r="A121" s="13" t="s">
        <v>794</v>
      </c>
      <c r="B121" s="13" t="s">
        <v>177</v>
      </c>
      <c r="C121" s="13">
        <v>286</v>
      </c>
      <c r="D121" s="13">
        <v>1360</v>
      </c>
      <c r="E121" s="13">
        <f t="shared" si="1"/>
        <v>1360</v>
      </c>
      <c r="F121" s="13">
        <v>0</v>
      </c>
    </row>
    <row r="122" spans="1:6" x14ac:dyDescent="0.3">
      <c r="A122" s="13" t="s">
        <v>795</v>
      </c>
      <c r="B122" s="13" t="s">
        <v>178</v>
      </c>
      <c r="C122" s="13">
        <v>2806</v>
      </c>
      <c r="D122" s="13">
        <v>17100</v>
      </c>
      <c r="E122" s="13">
        <f t="shared" si="1"/>
        <v>17100</v>
      </c>
      <c r="F122" s="13">
        <v>0</v>
      </c>
    </row>
    <row r="123" spans="1:6" x14ac:dyDescent="0.3">
      <c r="A123" s="13" t="s">
        <v>796</v>
      </c>
      <c r="B123" s="13" t="s">
        <v>179</v>
      </c>
      <c r="C123" s="13">
        <v>1470</v>
      </c>
      <c r="D123" s="13">
        <v>8960</v>
      </c>
      <c r="E123" s="13">
        <f t="shared" si="1"/>
        <v>8960</v>
      </c>
      <c r="F123" s="13">
        <v>0</v>
      </c>
    </row>
    <row r="124" spans="1:6" x14ac:dyDescent="0.3">
      <c r="A124" s="13" t="s">
        <v>797</v>
      </c>
      <c r="B124" s="13" t="s">
        <v>180</v>
      </c>
      <c r="C124" s="13">
        <v>2039</v>
      </c>
      <c r="D124" s="13">
        <v>9700</v>
      </c>
      <c r="E124" s="13">
        <f t="shared" si="1"/>
        <v>9700</v>
      </c>
      <c r="F124" s="13">
        <v>0</v>
      </c>
    </row>
    <row r="125" spans="1:6" x14ac:dyDescent="0.3">
      <c r="A125" s="13" t="s">
        <v>798</v>
      </c>
      <c r="B125" s="13" t="s">
        <v>181</v>
      </c>
      <c r="C125" s="13">
        <v>2856</v>
      </c>
      <c r="D125" s="13">
        <v>17400</v>
      </c>
      <c r="E125" s="13">
        <f t="shared" si="1"/>
        <v>17400</v>
      </c>
      <c r="F125" s="13">
        <v>0</v>
      </c>
    </row>
    <row r="126" spans="1:6" x14ac:dyDescent="0.3">
      <c r="A126" s="13" t="s">
        <v>799</v>
      </c>
      <c r="B126" s="13" t="s">
        <v>182</v>
      </c>
      <c r="C126" s="13">
        <v>4511</v>
      </c>
      <c r="D126" s="13">
        <v>21500</v>
      </c>
      <c r="E126" s="13">
        <f t="shared" si="1"/>
        <v>21500</v>
      </c>
      <c r="F126" s="13">
        <v>0</v>
      </c>
    </row>
    <row r="127" spans="1:6" x14ac:dyDescent="0.3">
      <c r="A127" s="13" t="s">
        <v>800</v>
      </c>
      <c r="B127" s="13" t="s">
        <v>183</v>
      </c>
      <c r="C127" s="13">
        <v>1548</v>
      </c>
      <c r="D127" s="13">
        <v>9440</v>
      </c>
      <c r="E127" s="13">
        <f t="shared" si="1"/>
        <v>9440</v>
      </c>
      <c r="F127" s="13">
        <v>0</v>
      </c>
    </row>
    <row r="128" spans="1:6" x14ac:dyDescent="0.3">
      <c r="A128" s="13" t="s">
        <v>801</v>
      </c>
      <c r="B128" s="13" t="s">
        <v>184</v>
      </c>
      <c r="C128" s="13">
        <v>1163</v>
      </c>
      <c r="D128" s="13">
        <v>7090</v>
      </c>
      <c r="E128" s="13">
        <f t="shared" si="1"/>
        <v>7090</v>
      </c>
      <c r="F128" s="13">
        <v>0</v>
      </c>
    </row>
    <row r="129" spans="1:6" x14ac:dyDescent="0.3">
      <c r="A129" s="13" t="s">
        <v>802</v>
      </c>
      <c r="B129" s="13" t="s">
        <v>185</v>
      </c>
      <c r="C129" s="13">
        <v>3049</v>
      </c>
      <c r="D129" s="13">
        <v>18600</v>
      </c>
      <c r="E129" s="13">
        <f t="shared" si="1"/>
        <v>18600</v>
      </c>
      <c r="F129" s="13">
        <v>0</v>
      </c>
    </row>
    <row r="130" spans="1:6" x14ac:dyDescent="0.3">
      <c r="A130" s="13" t="s">
        <v>803</v>
      </c>
      <c r="B130" s="13" t="s">
        <v>186</v>
      </c>
      <c r="C130" s="13">
        <v>9968</v>
      </c>
      <c r="D130" s="13">
        <v>60800</v>
      </c>
      <c r="E130" s="13">
        <f t="shared" si="1"/>
        <v>60800</v>
      </c>
      <c r="F130" s="13">
        <v>0</v>
      </c>
    </row>
    <row r="131" spans="1:6" x14ac:dyDescent="0.3">
      <c r="A131" s="13" t="s">
        <v>804</v>
      </c>
      <c r="B131" s="13" t="s">
        <v>187</v>
      </c>
      <c r="C131" s="13">
        <v>2596</v>
      </c>
      <c r="D131" s="13">
        <v>12400</v>
      </c>
      <c r="E131" s="13">
        <f t="shared" ref="E131:E194" si="2">D131-F131</f>
        <v>12400</v>
      </c>
      <c r="F131" s="13">
        <v>0</v>
      </c>
    </row>
    <row r="132" spans="1:6" x14ac:dyDescent="0.3">
      <c r="A132" s="13" t="s">
        <v>805</v>
      </c>
      <c r="B132" s="13" t="s">
        <v>188</v>
      </c>
      <c r="C132" s="13">
        <v>2233</v>
      </c>
      <c r="D132" s="13">
        <v>13600</v>
      </c>
      <c r="E132" s="13">
        <f t="shared" si="2"/>
        <v>13600</v>
      </c>
      <c r="F132" s="13">
        <v>0</v>
      </c>
    </row>
    <row r="133" spans="1:6" x14ac:dyDescent="0.3">
      <c r="A133" s="13" t="s">
        <v>806</v>
      </c>
      <c r="B133" s="13" t="s">
        <v>189</v>
      </c>
      <c r="C133" s="13">
        <v>4696</v>
      </c>
      <c r="D133" s="13">
        <v>28600</v>
      </c>
      <c r="E133" s="13">
        <f t="shared" si="2"/>
        <v>28600</v>
      </c>
      <c r="F133" s="13">
        <v>0</v>
      </c>
    </row>
    <row r="134" spans="1:6" x14ac:dyDescent="0.3">
      <c r="A134" s="13" t="s">
        <v>807</v>
      </c>
      <c r="B134" s="13" t="s">
        <v>190</v>
      </c>
      <c r="C134" s="13">
        <v>1516</v>
      </c>
      <c r="D134" s="13">
        <v>9240</v>
      </c>
      <c r="E134" s="13">
        <f t="shared" si="2"/>
        <v>9240</v>
      </c>
      <c r="F134" s="13">
        <v>0</v>
      </c>
    </row>
    <row r="135" spans="1:6" x14ac:dyDescent="0.3">
      <c r="A135" s="13" t="s">
        <v>808</v>
      </c>
      <c r="B135" s="13" t="s">
        <v>191</v>
      </c>
      <c r="C135" s="13">
        <v>6694</v>
      </c>
      <c r="D135" s="13">
        <v>31900</v>
      </c>
      <c r="E135" s="13">
        <f t="shared" si="2"/>
        <v>31900</v>
      </c>
      <c r="F135" s="13">
        <v>0</v>
      </c>
    </row>
    <row r="136" spans="1:6" x14ac:dyDescent="0.3">
      <c r="A136" s="13" t="s">
        <v>809</v>
      </c>
      <c r="B136" s="13" t="s">
        <v>192</v>
      </c>
      <c r="C136" s="13">
        <v>2034</v>
      </c>
      <c r="D136" s="13">
        <v>9680</v>
      </c>
      <c r="E136" s="13">
        <f t="shared" si="2"/>
        <v>9680</v>
      </c>
      <c r="F136" s="13">
        <v>0</v>
      </c>
    </row>
    <row r="137" spans="1:6" x14ac:dyDescent="0.3">
      <c r="A137" s="13" t="s">
        <v>810</v>
      </c>
      <c r="B137" s="13" t="s">
        <v>193</v>
      </c>
      <c r="C137" s="13">
        <v>381</v>
      </c>
      <c r="D137" s="13">
        <v>2320</v>
      </c>
      <c r="E137" s="13">
        <f t="shared" si="2"/>
        <v>2320</v>
      </c>
      <c r="F137" s="13">
        <v>0</v>
      </c>
    </row>
    <row r="138" spans="1:6" x14ac:dyDescent="0.3">
      <c r="A138" s="13" t="s">
        <v>811</v>
      </c>
      <c r="B138" s="13" t="s">
        <v>194</v>
      </c>
      <c r="C138" s="13">
        <v>206</v>
      </c>
      <c r="D138" s="13">
        <v>1250</v>
      </c>
      <c r="E138" s="13">
        <f t="shared" si="2"/>
        <v>1250</v>
      </c>
      <c r="F138" s="13">
        <v>0</v>
      </c>
    </row>
    <row r="139" spans="1:6" x14ac:dyDescent="0.3">
      <c r="A139" s="13" t="s">
        <v>812</v>
      </c>
      <c r="B139" s="13" t="s">
        <v>195</v>
      </c>
      <c r="C139" s="13">
        <v>498</v>
      </c>
      <c r="D139" s="13">
        <v>18200</v>
      </c>
      <c r="E139" s="13">
        <f t="shared" si="2"/>
        <v>18200</v>
      </c>
      <c r="F139" s="13">
        <v>0</v>
      </c>
    </row>
    <row r="140" spans="1:6" x14ac:dyDescent="0.3">
      <c r="A140" s="13" t="s">
        <v>813</v>
      </c>
      <c r="B140" s="13" t="s">
        <v>196</v>
      </c>
      <c r="C140" s="13">
        <v>324</v>
      </c>
      <c r="D140" s="13">
        <v>1540</v>
      </c>
      <c r="E140" s="13">
        <f t="shared" si="2"/>
        <v>1540</v>
      </c>
      <c r="F140" s="13">
        <v>0</v>
      </c>
    </row>
    <row r="141" spans="1:6" x14ac:dyDescent="0.3">
      <c r="A141" s="13" t="s">
        <v>814</v>
      </c>
      <c r="B141" s="13" t="s">
        <v>197</v>
      </c>
      <c r="C141" s="13">
        <v>342</v>
      </c>
      <c r="D141" s="13">
        <v>1630</v>
      </c>
      <c r="E141" s="13">
        <f t="shared" si="2"/>
        <v>1630</v>
      </c>
      <c r="F141" s="13">
        <v>0</v>
      </c>
    </row>
    <row r="142" spans="1:6" x14ac:dyDescent="0.3">
      <c r="A142" s="13" t="s">
        <v>815</v>
      </c>
      <c r="B142" s="13" t="s">
        <v>198</v>
      </c>
      <c r="C142" s="13">
        <v>475</v>
      </c>
      <c r="D142" s="13">
        <v>2890</v>
      </c>
      <c r="E142" s="13">
        <f t="shared" si="2"/>
        <v>2890</v>
      </c>
      <c r="F142" s="13">
        <v>0</v>
      </c>
    </row>
    <row r="143" spans="1:6" x14ac:dyDescent="0.3">
      <c r="A143" s="13" t="s">
        <v>816</v>
      </c>
      <c r="B143" s="13" t="s">
        <v>199</v>
      </c>
      <c r="C143" s="13">
        <v>112</v>
      </c>
      <c r="D143" s="13">
        <v>684</v>
      </c>
      <c r="E143" s="13">
        <f t="shared" si="2"/>
        <v>684</v>
      </c>
      <c r="F143" s="13">
        <v>0</v>
      </c>
    </row>
    <row r="144" spans="1:6" x14ac:dyDescent="0.3">
      <c r="A144" s="13" t="s">
        <v>817</v>
      </c>
      <c r="B144" s="13" t="s">
        <v>200</v>
      </c>
      <c r="C144" s="13">
        <v>432</v>
      </c>
      <c r="D144" s="13">
        <v>2630</v>
      </c>
      <c r="E144" s="13">
        <f t="shared" si="2"/>
        <v>2630</v>
      </c>
      <c r="F144" s="13">
        <v>0</v>
      </c>
    </row>
    <row r="145" spans="1:6" x14ac:dyDescent="0.3">
      <c r="A145" s="13" t="s">
        <v>818</v>
      </c>
      <c r="B145" s="13" t="s">
        <v>201</v>
      </c>
      <c r="C145" s="13">
        <v>147</v>
      </c>
      <c r="D145" s="13">
        <v>894</v>
      </c>
      <c r="E145" s="13">
        <f t="shared" si="2"/>
        <v>894</v>
      </c>
      <c r="F145" s="13">
        <v>0</v>
      </c>
    </row>
    <row r="146" spans="1:6" x14ac:dyDescent="0.3">
      <c r="A146" s="13" t="s">
        <v>819</v>
      </c>
      <c r="B146" s="13" t="s">
        <v>202</v>
      </c>
      <c r="C146" s="13">
        <v>208</v>
      </c>
      <c r="D146" s="13">
        <v>1270</v>
      </c>
      <c r="E146" s="13">
        <f t="shared" si="2"/>
        <v>1270</v>
      </c>
      <c r="F146" s="13">
        <v>0</v>
      </c>
    </row>
    <row r="147" spans="1:6" x14ac:dyDescent="0.3">
      <c r="A147" s="13" t="s">
        <v>820</v>
      </c>
      <c r="B147" s="13" t="s">
        <v>203</v>
      </c>
      <c r="C147" s="13">
        <v>552</v>
      </c>
      <c r="D147" s="13">
        <v>2630</v>
      </c>
      <c r="E147" s="13">
        <f t="shared" si="2"/>
        <v>2630</v>
      </c>
      <c r="F147" s="13">
        <v>0</v>
      </c>
    </row>
    <row r="148" spans="1:6" x14ac:dyDescent="0.3">
      <c r="A148" s="13" t="s">
        <v>821</v>
      </c>
      <c r="B148" s="13" t="s">
        <v>204</v>
      </c>
      <c r="C148" s="13">
        <v>556</v>
      </c>
      <c r="D148" s="13">
        <v>3390</v>
      </c>
      <c r="E148" s="13">
        <f t="shared" si="2"/>
        <v>3390</v>
      </c>
      <c r="F148" s="13">
        <v>0</v>
      </c>
    </row>
    <row r="149" spans="1:6" x14ac:dyDescent="0.3">
      <c r="A149" s="13" t="s">
        <v>822</v>
      </c>
      <c r="B149" s="13" t="s">
        <v>205</v>
      </c>
      <c r="C149" s="13">
        <v>318</v>
      </c>
      <c r="D149" s="13">
        <v>1520</v>
      </c>
      <c r="E149" s="13">
        <f t="shared" si="2"/>
        <v>1520</v>
      </c>
      <c r="F149" s="13">
        <v>0</v>
      </c>
    </row>
    <row r="150" spans="1:6" x14ac:dyDescent="0.3">
      <c r="A150" s="13" t="s">
        <v>823</v>
      </c>
      <c r="B150" s="13" t="s">
        <v>206</v>
      </c>
      <c r="C150" s="13">
        <v>91</v>
      </c>
      <c r="D150" s="13">
        <v>431</v>
      </c>
      <c r="E150" s="13">
        <f t="shared" si="2"/>
        <v>431</v>
      </c>
      <c r="F150" s="13">
        <v>0</v>
      </c>
    </row>
    <row r="151" spans="1:6" x14ac:dyDescent="0.3">
      <c r="A151" s="13" t="s">
        <v>824</v>
      </c>
      <c r="B151" s="13" t="s">
        <v>207</v>
      </c>
      <c r="C151" s="13">
        <v>266</v>
      </c>
      <c r="D151" s="13">
        <v>1270</v>
      </c>
      <c r="E151" s="13">
        <f t="shared" si="2"/>
        <v>1270</v>
      </c>
      <c r="F151" s="13">
        <v>0</v>
      </c>
    </row>
    <row r="152" spans="1:6" x14ac:dyDescent="0.3">
      <c r="A152" s="13" t="s">
        <v>825</v>
      </c>
      <c r="B152" s="13" t="s">
        <v>208</v>
      </c>
      <c r="C152" s="13">
        <v>584</v>
      </c>
      <c r="D152" s="13">
        <v>3560</v>
      </c>
      <c r="E152" s="13">
        <f t="shared" si="2"/>
        <v>3560</v>
      </c>
      <c r="F152" s="13">
        <v>0</v>
      </c>
    </row>
    <row r="153" spans="1:6" x14ac:dyDescent="0.3">
      <c r="A153" s="13" t="s">
        <v>826</v>
      </c>
      <c r="B153" s="13" t="s">
        <v>209</v>
      </c>
      <c r="C153" s="13">
        <v>223</v>
      </c>
      <c r="D153" s="13">
        <v>1060</v>
      </c>
      <c r="E153" s="13">
        <f t="shared" si="2"/>
        <v>1060</v>
      </c>
      <c r="F153" s="13">
        <v>0</v>
      </c>
    </row>
    <row r="154" spans="1:6" x14ac:dyDescent="0.3">
      <c r="A154" s="13" t="s">
        <v>827</v>
      </c>
      <c r="B154" s="13" t="s">
        <v>210</v>
      </c>
      <c r="C154" s="13">
        <v>127</v>
      </c>
      <c r="D154" s="13">
        <v>602</v>
      </c>
      <c r="E154" s="13">
        <f t="shared" si="2"/>
        <v>602</v>
      </c>
      <c r="F154" s="13">
        <v>0</v>
      </c>
    </row>
    <row r="155" spans="1:6" x14ac:dyDescent="0.3">
      <c r="A155" s="13" t="s">
        <v>828</v>
      </c>
      <c r="B155" s="13" t="s">
        <v>211</v>
      </c>
      <c r="C155" s="13">
        <v>850</v>
      </c>
      <c r="D155" s="13">
        <v>5180</v>
      </c>
      <c r="E155" s="13">
        <f t="shared" si="2"/>
        <v>5180</v>
      </c>
      <c r="F155" s="13">
        <v>0</v>
      </c>
    </row>
    <row r="156" spans="1:6" x14ac:dyDescent="0.3">
      <c r="A156" s="13" t="s">
        <v>829</v>
      </c>
      <c r="B156" s="13" t="s">
        <v>212</v>
      </c>
      <c r="C156" s="13">
        <v>412</v>
      </c>
      <c r="D156" s="13">
        <v>2510</v>
      </c>
      <c r="E156" s="13">
        <f t="shared" si="2"/>
        <v>2510</v>
      </c>
      <c r="F156" s="13">
        <v>0</v>
      </c>
    </row>
    <row r="157" spans="1:6" x14ac:dyDescent="0.3">
      <c r="A157" s="13" t="s">
        <v>830</v>
      </c>
      <c r="B157" s="13" t="s">
        <v>213</v>
      </c>
      <c r="C157" s="13">
        <v>1279</v>
      </c>
      <c r="D157" s="13">
        <v>7790</v>
      </c>
      <c r="E157" s="13">
        <f t="shared" si="2"/>
        <v>7790</v>
      </c>
      <c r="F157" s="13">
        <v>0</v>
      </c>
    </row>
    <row r="158" spans="1:6" x14ac:dyDescent="0.3">
      <c r="A158" s="13" t="s">
        <v>831</v>
      </c>
      <c r="B158" s="13" t="s">
        <v>214</v>
      </c>
      <c r="C158" s="13">
        <v>1109</v>
      </c>
      <c r="D158" s="13">
        <v>6760</v>
      </c>
      <c r="E158" s="13">
        <f t="shared" si="2"/>
        <v>6760</v>
      </c>
      <c r="F158" s="13">
        <v>0</v>
      </c>
    </row>
    <row r="159" spans="1:6" x14ac:dyDescent="0.3">
      <c r="A159" s="13" t="s">
        <v>832</v>
      </c>
      <c r="B159" s="13" t="s">
        <v>215</v>
      </c>
      <c r="C159" s="13">
        <v>993</v>
      </c>
      <c r="D159" s="13">
        <v>6050</v>
      </c>
      <c r="E159" s="13">
        <f t="shared" si="2"/>
        <v>6050</v>
      </c>
      <c r="F159" s="13">
        <v>0</v>
      </c>
    </row>
    <row r="160" spans="1:6" x14ac:dyDescent="0.3">
      <c r="A160" s="13" t="s">
        <v>833</v>
      </c>
      <c r="B160" s="13" t="s">
        <v>216</v>
      </c>
      <c r="C160" s="13">
        <v>336</v>
      </c>
      <c r="D160" s="13">
        <v>2050</v>
      </c>
      <c r="E160" s="13">
        <f t="shared" si="2"/>
        <v>2050</v>
      </c>
      <c r="F160" s="13">
        <v>0</v>
      </c>
    </row>
    <row r="161" spans="1:6" x14ac:dyDescent="0.3">
      <c r="A161" s="13" t="s">
        <v>834</v>
      </c>
      <c r="B161" s="13" t="s">
        <v>217</v>
      </c>
      <c r="C161" s="13">
        <v>97</v>
      </c>
      <c r="D161" s="13">
        <v>591</v>
      </c>
      <c r="E161" s="13">
        <f t="shared" si="2"/>
        <v>591</v>
      </c>
      <c r="F161" s="13">
        <v>0</v>
      </c>
    </row>
    <row r="162" spans="1:6" x14ac:dyDescent="0.3">
      <c r="A162" s="13" t="s">
        <v>835</v>
      </c>
      <c r="B162" s="13" t="s">
        <v>218</v>
      </c>
      <c r="C162" s="13">
        <v>1413</v>
      </c>
      <c r="D162" s="13">
        <v>8620</v>
      </c>
      <c r="E162" s="13">
        <f t="shared" si="2"/>
        <v>8620</v>
      </c>
      <c r="F162" s="13">
        <v>0</v>
      </c>
    </row>
    <row r="163" spans="1:6" x14ac:dyDescent="0.3">
      <c r="A163" s="13" t="s">
        <v>836</v>
      </c>
      <c r="B163" s="13" t="s">
        <v>219</v>
      </c>
      <c r="C163" s="13">
        <v>418</v>
      </c>
      <c r="D163" s="13">
        <v>2550</v>
      </c>
      <c r="E163" s="13">
        <f t="shared" si="2"/>
        <v>2550</v>
      </c>
      <c r="F163" s="13">
        <v>0</v>
      </c>
    </row>
    <row r="164" spans="1:6" x14ac:dyDescent="0.3">
      <c r="A164" s="13" t="s">
        <v>837</v>
      </c>
      <c r="B164" s="13" t="s">
        <v>220</v>
      </c>
      <c r="C164" s="13">
        <v>412</v>
      </c>
      <c r="D164" s="13">
        <v>15000</v>
      </c>
      <c r="E164" s="13">
        <f t="shared" si="2"/>
        <v>15000</v>
      </c>
      <c r="F164" s="13">
        <v>0</v>
      </c>
    </row>
    <row r="165" spans="1:6" x14ac:dyDescent="0.3">
      <c r="A165" s="13" t="s">
        <v>838</v>
      </c>
      <c r="B165" s="13" t="s">
        <v>221</v>
      </c>
      <c r="C165" s="13">
        <v>133</v>
      </c>
      <c r="D165" s="13">
        <v>810</v>
      </c>
      <c r="E165" s="13">
        <f t="shared" si="2"/>
        <v>810</v>
      </c>
      <c r="F165" s="13">
        <v>0</v>
      </c>
    </row>
    <row r="166" spans="1:6" x14ac:dyDescent="0.3">
      <c r="A166" s="13" t="s">
        <v>839</v>
      </c>
      <c r="B166" s="13" t="s">
        <v>222</v>
      </c>
      <c r="C166" s="13">
        <v>155</v>
      </c>
      <c r="D166" s="13">
        <v>737</v>
      </c>
      <c r="E166" s="13">
        <f t="shared" si="2"/>
        <v>737</v>
      </c>
      <c r="F166" s="13">
        <v>0</v>
      </c>
    </row>
    <row r="167" spans="1:6" x14ac:dyDescent="0.3">
      <c r="A167" s="13" t="s">
        <v>840</v>
      </c>
      <c r="B167" s="13" t="s">
        <v>223</v>
      </c>
      <c r="C167" s="13">
        <v>550</v>
      </c>
      <c r="D167" s="13">
        <v>3350</v>
      </c>
      <c r="E167" s="13">
        <f t="shared" si="2"/>
        <v>3350</v>
      </c>
      <c r="F167" s="13">
        <v>0</v>
      </c>
    </row>
    <row r="168" spans="1:6" x14ac:dyDescent="0.3">
      <c r="A168" s="13" t="s">
        <v>841</v>
      </c>
      <c r="B168" s="13" t="s">
        <v>224</v>
      </c>
      <c r="C168" s="13">
        <v>644</v>
      </c>
      <c r="D168" s="13">
        <v>3070</v>
      </c>
      <c r="E168" s="13">
        <f t="shared" si="2"/>
        <v>3070</v>
      </c>
      <c r="F168" s="13">
        <v>0</v>
      </c>
    </row>
    <row r="169" spans="1:6" x14ac:dyDescent="0.3">
      <c r="A169" s="13" t="s">
        <v>842</v>
      </c>
      <c r="B169" s="13" t="s">
        <v>225</v>
      </c>
      <c r="C169" s="13">
        <v>471</v>
      </c>
      <c r="D169" s="13">
        <v>2870</v>
      </c>
      <c r="E169" s="13">
        <f t="shared" si="2"/>
        <v>2870</v>
      </c>
      <c r="F169" s="13">
        <v>0</v>
      </c>
    </row>
    <row r="170" spans="1:6" x14ac:dyDescent="0.3">
      <c r="A170" s="13" t="s">
        <v>843</v>
      </c>
      <c r="B170" s="13" t="s">
        <v>226</v>
      </c>
      <c r="C170" s="13">
        <v>212</v>
      </c>
      <c r="D170" s="13">
        <v>1290</v>
      </c>
      <c r="E170" s="13">
        <f t="shared" si="2"/>
        <v>1290</v>
      </c>
      <c r="F170" s="13">
        <v>0</v>
      </c>
    </row>
    <row r="171" spans="1:6" x14ac:dyDescent="0.3">
      <c r="A171" s="13" t="s">
        <v>844</v>
      </c>
      <c r="B171" s="13" t="s">
        <v>227</v>
      </c>
      <c r="C171" s="13">
        <v>228</v>
      </c>
      <c r="D171" s="13">
        <v>1090</v>
      </c>
      <c r="E171" s="13">
        <f t="shared" si="2"/>
        <v>1090</v>
      </c>
      <c r="F171" s="13">
        <v>0</v>
      </c>
    </row>
    <row r="172" spans="1:6" x14ac:dyDescent="0.3">
      <c r="A172" s="13" t="s">
        <v>845</v>
      </c>
      <c r="B172" s="13" t="s">
        <v>228</v>
      </c>
      <c r="C172" s="13">
        <v>140</v>
      </c>
      <c r="D172" s="13">
        <v>668</v>
      </c>
      <c r="E172" s="13">
        <f t="shared" si="2"/>
        <v>668</v>
      </c>
      <c r="F172" s="13">
        <v>0</v>
      </c>
    </row>
    <row r="173" spans="1:6" x14ac:dyDescent="0.3">
      <c r="A173" s="13" t="s">
        <v>846</v>
      </c>
      <c r="B173" s="13" t="s">
        <v>229</v>
      </c>
      <c r="C173" s="13">
        <v>101</v>
      </c>
      <c r="D173" s="13">
        <v>480</v>
      </c>
      <c r="E173" s="13">
        <f t="shared" si="2"/>
        <v>480</v>
      </c>
      <c r="F173" s="13">
        <v>0</v>
      </c>
    </row>
    <row r="174" spans="1:6" x14ac:dyDescent="0.3">
      <c r="A174" s="13" t="s">
        <v>847</v>
      </c>
      <c r="B174" s="13" t="s">
        <v>230</v>
      </c>
      <c r="C174" s="13">
        <v>270</v>
      </c>
      <c r="D174" s="13">
        <v>1650</v>
      </c>
      <c r="E174" s="13">
        <f t="shared" si="2"/>
        <v>1650</v>
      </c>
      <c r="F174" s="13">
        <v>0</v>
      </c>
    </row>
    <row r="175" spans="1:6" x14ac:dyDescent="0.3">
      <c r="A175" s="13" t="s">
        <v>848</v>
      </c>
      <c r="B175" s="13" t="s">
        <v>231</v>
      </c>
      <c r="C175" s="13">
        <v>438</v>
      </c>
      <c r="D175" s="13">
        <v>2670</v>
      </c>
      <c r="E175" s="13">
        <f t="shared" si="2"/>
        <v>2670</v>
      </c>
      <c r="F175" s="13">
        <v>0</v>
      </c>
    </row>
    <row r="176" spans="1:6" x14ac:dyDescent="0.3">
      <c r="A176" s="13" t="s">
        <v>849</v>
      </c>
      <c r="B176" s="13" t="s">
        <v>232</v>
      </c>
      <c r="C176" s="13">
        <v>191</v>
      </c>
      <c r="D176" s="13">
        <v>910</v>
      </c>
      <c r="E176" s="13">
        <f t="shared" si="2"/>
        <v>910</v>
      </c>
      <c r="F176" s="13">
        <v>0</v>
      </c>
    </row>
    <row r="177" spans="1:6" x14ac:dyDescent="0.3">
      <c r="A177" s="13" t="s">
        <v>850</v>
      </c>
      <c r="B177" s="13" t="s">
        <v>233</v>
      </c>
      <c r="C177" s="13">
        <v>169</v>
      </c>
      <c r="D177" s="13">
        <v>806</v>
      </c>
      <c r="E177" s="13">
        <f t="shared" si="2"/>
        <v>806</v>
      </c>
      <c r="F177" s="13">
        <v>0</v>
      </c>
    </row>
    <row r="178" spans="1:6" x14ac:dyDescent="0.3">
      <c r="A178" s="13" t="s">
        <v>851</v>
      </c>
      <c r="B178" s="13" t="s">
        <v>234</v>
      </c>
      <c r="C178" s="13">
        <v>216</v>
      </c>
      <c r="D178" s="13">
        <v>1310</v>
      </c>
      <c r="E178" s="13">
        <f t="shared" si="2"/>
        <v>1310</v>
      </c>
      <c r="F178" s="13">
        <v>0</v>
      </c>
    </row>
    <row r="179" spans="1:6" x14ac:dyDescent="0.3">
      <c r="A179" s="13" t="s">
        <v>852</v>
      </c>
      <c r="B179" s="13" t="s">
        <v>235</v>
      </c>
      <c r="C179" s="13">
        <v>194</v>
      </c>
      <c r="D179" s="13">
        <v>1190</v>
      </c>
      <c r="E179" s="13">
        <f t="shared" si="2"/>
        <v>1190</v>
      </c>
      <c r="F179" s="13">
        <v>0</v>
      </c>
    </row>
    <row r="180" spans="1:6" x14ac:dyDescent="0.3">
      <c r="A180" s="13" t="s">
        <v>853</v>
      </c>
      <c r="B180" s="13" t="s">
        <v>236</v>
      </c>
      <c r="C180" s="13">
        <v>115</v>
      </c>
      <c r="D180" s="13">
        <v>698</v>
      </c>
      <c r="E180" s="13">
        <f t="shared" si="2"/>
        <v>698</v>
      </c>
      <c r="F180" s="13">
        <v>0</v>
      </c>
    </row>
    <row r="181" spans="1:6" x14ac:dyDescent="0.3">
      <c r="A181" s="13" t="s">
        <v>854</v>
      </c>
      <c r="B181" s="13" t="s">
        <v>237</v>
      </c>
      <c r="C181" s="13">
        <v>349</v>
      </c>
      <c r="D181" s="13">
        <v>2130</v>
      </c>
      <c r="E181" s="13">
        <f t="shared" si="2"/>
        <v>2130</v>
      </c>
      <c r="F181" s="13">
        <v>0</v>
      </c>
    </row>
    <row r="182" spans="1:6" x14ac:dyDescent="0.3">
      <c r="A182" s="13" t="s">
        <v>855</v>
      </c>
      <c r="B182" s="13" t="s">
        <v>238</v>
      </c>
      <c r="C182" s="13">
        <v>550</v>
      </c>
      <c r="D182" s="13">
        <v>3360</v>
      </c>
      <c r="E182" s="13">
        <f t="shared" si="2"/>
        <v>3360</v>
      </c>
      <c r="F182" s="13">
        <v>0</v>
      </c>
    </row>
    <row r="183" spans="1:6" x14ac:dyDescent="0.3">
      <c r="A183" s="13" t="s">
        <v>856</v>
      </c>
      <c r="B183" s="13" t="s">
        <v>239</v>
      </c>
      <c r="C183" s="13">
        <v>684</v>
      </c>
      <c r="D183" s="13">
        <v>3250</v>
      </c>
      <c r="E183" s="13">
        <f t="shared" si="2"/>
        <v>3250</v>
      </c>
      <c r="F183" s="13">
        <v>0</v>
      </c>
    </row>
    <row r="184" spans="1:6" x14ac:dyDescent="0.3">
      <c r="A184" s="13" t="s">
        <v>857</v>
      </c>
      <c r="B184" s="13" t="s">
        <v>240</v>
      </c>
      <c r="C184" s="13">
        <v>78</v>
      </c>
      <c r="D184" s="13">
        <v>474</v>
      </c>
      <c r="E184" s="13">
        <f t="shared" si="2"/>
        <v>474</v>
      </c>
      <c r="F184" s="13">
        <v>0</v>
      </c>
    </row>
    <row r="185" spans="1:6" x14ac:dyDescent="0.3">
      <c r="A185" s="13" t="s">
        <v>858</v>
      </c>
      <c r="B185" s="13" t="s">
        <v>241</v>
      </c>
      <c r="C185" s="13">
        <v>1599</v>
      </c>
      <c r="D185" s="13">
        <v>9750</v>
      </c>
      <c r="E185" s="13">
        <f t="shared" si="2"/>
        <v>9750</v>
      </c>
      <c r="F185" s="13">
        <v>0</v>
      </c>
    </row>
    <row r="186" spans="1:6" x14ac:dyDescent="0.3">
      <c r="A186" s="13" t="s">
        <v>859</v>
      </c>
      <c r="B186" s="13" t="s">
        <v>242</v>
      </c>
      <c r="C186" s="13">
        <v>329</v>
      </c>
      <c r="D186" s="13">
        <v>2010</v>
      </c>
      <c r="E186" s="13">
        <f t="shared" si="2"/>
        <v>2010</v>
      </c>
      <c r="F186" s="13">
        <v>0</v>
      </c>
    </row>
    <row r="187" spans="1:6" x14ac:dyDescent="0.3">
      <c r="A187" s="13" t="s">
        <v>860</v>
      </c>
      <c r="B187" s="13" t="s">
        <v>243</v>
      </c>
      <c r="C187" s="13">
        <v>517</v>
      </c>
      <c r="D187" s="13">
        <v>3150</v>
      </c>
      <c r="E187" s="13">
        <f t="shared" si="2"/>
        <v>3150</v>
      </c>
      <c r="F187" s="13">
        <v>0</v>
      </c>
    </row>
    <row r="188" spans="1:6" x14ac:dyDescent="0.3">
      <c r="A188" s="13" t="s">
        <v>861</v>
      </c>
      <c r="B188" s="13" t="s">
        <v>244</v>
      </c>
      <c r="C188" s="13">
        <v>230</v>
      </c>
      <c r="D188" s="13">
        <v>1090</v>
      </c>
      <c r="E188" s="13">
        <f t="shared" si="2"/>
        <v>1090</v>
      </c>
      <c r="F188" s="13">
        <v>0</v>
      </c>
    </row>
    <row r="189" spans="1:6" x14ac:dyDescent="0.3">
      <c r="A189" s="13" t="s">
        <v>862</v>
      </c>
      <c r="B189" s="13" t="s">
        <v>245</v>
      </c>
      <c r="C189" s="13">
        <v>250</v>
      </c>
      <c r="D189" s="13">
        <v>1190</v>
      </c>
      <c r="E189" s="13">
        <f t="shared" si="2"/>
        <v>1190</v>
      </c>
      <c r="F189" s="13">
        <v>0</v>
      </c>
    </row>
    <row r="190" spans="1:6" x14ac:dyDescent="0.3">
      <c r="A190" s="13" t="s">
        <v>863</v>
      </c>
      <c r="B190" s="13" t="s">
        <v>246</v>
      </c>
      <c r="C190" s="13">
        <v>205</v>
      </c>
      <c r="D190" s="13">
        <v>1250</v>
      </c>
      <c r="E190" s="13">
        <f t="shared" si="2"/>
        <v>1250</v>
      </c>
      <c r="F190" s="13">
        <v>0</v>
      </c>
    </row>
    <row r="191" spans="1:6" x14ac:dyDescent="0.3">
      <c r="A191" s="13" t="s">
        <v>864</v>
      </c>
      <c r="B191" s="13" t="s">
        <v>247</v>
      </c>
      <c r="C191" s="13">
        <v>511</v>
      </c>
      <c r="D191" s="13">
        <v>3110</v>
      </c>
      <c r="E191" s="13">
        <f t="shared" si="2"/>
        <v>3110</v>
      </c>
      <c r="F191" s="13">
        <v>0</v>
      </c>
    </row>
    <row r="192" spans="1:6" x14ac:dyDescent="0.3">
      <c r="A192" s="13" t="s">
        <v>865</v>
      </c>
      <c r="B192" s="13" t="s">
        <v>248</v>
      </c>
      <c r="C192" s="13">
        <v>83</v>
      </c>
      <c r="D192" s="13">
        <v>508</v>
      </c>
      <c r="E192" s="13">
        <f t="shared" si="2"/>
        <v>508</v>
      </c>
      <c r="F192" s="13">
        <v>0</v>
      </c>
    </row>
    <row r="193" spans="1:6" x14ac:dyDescent="0.3">
      <c r="A193" s="13" t="s">
        <v>866</v>
      </c>
      <c r="B193" s="13" t="s">
        <v>249</v>
      </c>
      <c r="C193" s="13">
        <v>839</v>
      </c>
      <c r="D193" s="13">
        <v>5120</v>
      </c>
      <c r="E193" s="13">
        <f t="shared" si="2"/>
        <v>5120</v>
      </c>
      <c r="F193" s="13">
        <v>0</v>
      </c>
    </row>
    <row r="194" spans="1:6" x14ac:dyDescent="0.3">
      <c r="A194" s="13" t="s">
        <v>867</v>
      </c>
      <c r="B194" s="13" t="s">
        <v>250</v>
      </c>
      <c r="C194" s="13">
        <v>592</v>
      </c>
      <c r="D194" s="13">
        <v>2820</v>
      </c>
      <c r="E194" s="13">
        <f t="shared" si="2"/>
        <v>2820</v>
      </c>
      <c r="F194" s="13">
        <v>0</v>
      </c>
    </row>
    <row r="195" spans="1:6" x14ac:dyDescent="0.3">
      <c r="A195" s="13" t="s">
        <v>868</v>
      </c>
      <c r="B195" s="13" t="s">
        <v>251</v>
      </c>
      <c r="C195" s="13">
        <v>1097</v>
      </c>
      <c r="D195" s="13">
        <v>6690</v>
      </c>
      <c r="E195" s="13">
        <f t="shared" ref="E195:E258" si="3">D195-F195</f>
        <v>6690</v>
      </c>
      <c r="F195" s="13">
        <v>0</v>
      </c>
    </row>
    <row r="196" spans="1:6" x14ac:dyDescent="0.3">
      <c r="A196" s="13" t="s">
        <v>869</v>
      </c>
      <c r="B196" s="13" t="s">
        <v>252</v>
      </c>
      <c r="C196" s="13">
        <v>251</v>
      </c>
      <c r="D196" s="13">
        <v>1530</v>
      </c>
      <c r="E196" s="13">
        <f t="shared" si="3"/>
        <v>1530</v>
      </c>
      <c r="F196" s="13">
        <v>0</v>
      </c>
    </row>
    <row r="197" spans="1:6" x14ac:dyDescent="0.3">
      <c r="A197" s="13" t="s">
        <v>870</v>
      </c>
      <c r="B197" s="13" t="s">
        <v>253</v>
      </c>
      <c r="C197" s="13">
        <v>202</v>
      </c>
      <c r="D197" s="13">
        <v>959</v>
      </c>
      <c r="E197" s="13">
        <f t="shared" si="3"/>
        <v>959</v>
      </c>
      <c r="F197" s="13">
        <v>0</v>
      </c>
    </row>
    <row r="198" spans="1:6" x14ac:dyDescent="0.3">
      <c r="A198" s="13" t="s">
        <v>871</v>
      </c>
      <c r="B198" s="13" t="s">
        <v>254</v>
      </c>
      <c r="C198" s="13">
        <v>193</v>
      </c>
      <c r="D198" s="13">
        <v>1180</v>
      </c>
      <c r="E198" s="13">
        <f t="shared" si="3"/>
        <v>1180</v>
      </c>
      <c r="F198" s="13">
        <v>0</v>
      </c>
    </row>
    <row r="199" spans="1:6" x14ac:dyDescent="0.3">
      <c r="A199" s="13" t="s">
        <v>872</v>
      </c>
      <c r="B199" s="13" t="s">
        <v>255</v>
      </c>
      <c r="C199" s="13">
        <v>133</v>
      </c>
      <c r="D199" s="13">
        <v>813</v>
      </c>
      <c r="E199" s="13">
        <f t="shared" si="3"/>
        <v>813</v>
      </c>
      <c r="F199" s="13">
        <v>0</v>
      </c>
    </row>
    <row r="200" spans="1:6" x14ac:dyDescent="0.3">
      <c r="A200" s="13" t="s">
        <v>873</v>
      </c>
      <c r="B200" s="13" t="s">
        <v>256</v>
      </c>
      <c r="C200" s="13">
        <v>1191</v>
      </c>
      <c r="D200" s="13">
        <v>7260</v>
      </c>
      <c r="E200" s="13">
        <f t="shared" si="3"/>
        <v>7260</v>
      </c>
      <c r="F200" s="13">
        <v>0</v>
      </c>
    </row>
    <row r="201" spans="1:6" x14ac:dyDescent="0.3">
      <c r="A201" s="13" t="s">
        <v>874</v>
      </c>
      <c r="B201" s="13" t="s">
        <v>257</v>
      </c>
      <c r="C201" s="13">
        <v>203</v>
      </c>
      <c r="D201" s="13">
        <v>1240</v>
      </c>
      <c r="E201" s="13">
        <f t="shared" si="3"/>
        <v>1240</v>
      </c>
      <c r="F201" s="13">
        <v>0</v>
      </c>
    </row>
    <row r="202" spans="1:6" x14ac:dyDescent="0.3">
      <c r="A202" s="13" t="s">
        <v>875</v>
      </c>
      <c r="B202" s="13" t="s">
        <v>258</v>
      </c>
      <c r="C202" s="13">
        <v>146</v>
      </c>
      <c r="D202" s="13">
        <v>890</v>
      </c>
      <c r="E202" s="13">
        <f t="shared" si="3"/>
        <v>890</v>
      </c>
      <c r="F202" s="13">
        <v>0</v>
      </c>
    </row>
    <row r="203" spans="1:6" x14ac:dyDescent="0.3">
      <c r="A203" s="13" t="s">
        <v>876</v>
      </c>
      <c r="B203" s="13" t="s">
        <v>259</v>
      </c>
      <c r="C203" s="13">
        <v>722</v>
      </c>
      <c r="D203" s="13">
        <v>4400</v>
      </c>
      <c r="E203" s="13">
        <f t="shared" si="3"/>
        <v>4400</v>
      </c>
      <c r="F203" s="13">
        <v>0</v>
      </c>
    </row>
    <row r="204" spans="1:6" x14ac:dyDescent="0.3">
      <c r="A204" s="13" t="s">
        <v>877</v>
      </c>
      <c r="B204" s="13" t="s">
        <v>260</v>
      </c>
      <c r="C204" s="13">
        <v>83</v>
      </c>
      <c r="D204" s="13">
        <v>393</v>
      </c>
      <c r="E204" s="13">
        <f t="shared" si="3"/>
        <v>393</v>
      </c>
      <c r="F204" s="13">
        <v>0</v>
      </c>
    </row>
    <row r="205" spans="1:6" x14ac:dyDescent="0.3">
      <c r="A205" s="13" t="s">
        <v>878</v>
      </c>
      <c r="B205" s="13" t="s">
        <v>261</v>
      </c>
      <c r="C205" s="13">
        <v>778</v>
      </c>
      <c r="D205" s="13">
        <v>4740</v>
      </c>
      <c r="E205" s="13">
        <f t="shared" si="3"/>
        <v>4740</v>
      </c>
      <c r="F205" s="13">
        <v>0</v>
      </c>
    </row>
    <row r="206" spans="1:6" x14ac:dyDescent="0.3">
      <c r="A206" s="13" t="s">
        <v>879</v>
      </c>
      <c r="B206" s="13" t="s">
        <v>262</v>
      </c>
      <c r="C206" s="13">
        <v>255</v>
      </c>
      <c r="D206" s="13">
        <v>1560</v>
      </c>
      <c r="E206" s="13">
        <f t="shared" si="3"/>
        <v>1560</v>
      </c>
      <c r="F206" s="13">
        <v>0</v>
      </c>
    </row>
    <row r="207" spans="1:6" x14ac:dyDescent="0.3">
      <c r="A207" s="13" t="s">
        <v>880</v>
      </c>
      <c r="B207" s="13" t="s">
        <v>263</v>
      </c>
      <c r="C207" s="13">
        <v>101</v>
      </c>
      <c r="D207" s="13">
        <v>616</v>
      </c>
      <c r="E207" s="13">
        <f t="shared" si="3"/>
        <v>616</v>
      </c>
      <c r="F207" s="13">
        <v>0</v>
      </c>
    </row>
    <row r="208" spans="1:6" x14ac:dyDescent="0.3">
      <c r="A208" s="13" t="s">
        <v>881</v>
      </c>
      <c r="B208" s="13" t="s">
        <v>264</v>
      </c>
      <c r="C208" s="13">
        <v>164</v>
      </c>
      <c r="D208" s="13">
        <v>998</v>
      </c>
      <c r="E208" s="13">
        <f t="shared" si="3"/>
        <v>998</v>
      </c>
      <c r="F208" s="13">
        <v>0</v>
      </c>
    </row>
    <row r="209" spans="1:6" x14ac:dyDescent="0.3">
      <c r="A209" s="13" t="s">
        <v>882</v>
      </c>
      <c r="B209" s="13" t="s">
        <v>265</v>
      </c>
      <c r="C209" s="13">
        <v>404</v>
      </c>
      <c r="D209" s="13">
        <v>2460</v>
      </c>
      <c r="E209" s="13">
        <f t="shared" si="3"/>
        <v>2460</v>
      </c>
      <c r="F209" s="13">
        <v>0</v>
      </c>
    </row>
    <row r="210" spans="1:6" x14ac:dyDescent="0.3">
      <c r="A210" s="13" t="s">
        <v>883</v>
      </c>
      <c r="B210" s="13" t="s">
        <v>266</v>
      </c>
      <c r="C210" s="13">
        <v>942</v>
      </c>
      <c r="D210" s="13">
        <v>4480</v>
      </c>
      <c r="E210" s="13">
        <f t="shared" si="3"/>
        <v>4480</v>
      </c>
      <c r="F210" s="13">
        <v>0</v>
      </c>
    </row>
    <row r="211" spans="1:6" x14ac:dyDescent="0.3">
      <c r="A211" s="13" t="s">
        <v>884</v>
      </c>
      <c r="B211" s="13" t="s">
        <v>267</v>
      </c>
      <c r="C211" s="13">
        <v>295</v>
      </c>
      <c r="D211" s="13">
        <v>1800</v>
      </c>
      <c r="E211" s="13">
        <f t="shared" si="3"/>
        <v>1800</v>
      </c>
      <c r="F211" s="13">
        <v>0</v>
      </c>
    </row>
    <row r="212" spans="1:6" x14ac:dyDescent="0.3">
      <c r="A212" s="13" t="s">
        <v>885</v>
      </c>
      <c r="B212" s="13" t="s">
        <v>268</v>
      </c>
      <c r="C212" s="13">
        <v>1000</v>
      </c>
      <c r="D212" s="13">
        <v>6100</v>
      </c>
      <c r="E212" s="13">
        <f t="shared" si="3"/>
        <v>6100</v>
      </c>
      <c r="F212" s="13">
        <v>0</v>
      </c>
    </row>
    <row r="213" spans="1:6" x14ac:dyDescent="0.3">
      <c r="A213" s="13" t="s">
        <v>886</v>
      </c>
      <c r="B213" s="13" t="s">
        <v>269</v>
      </c>
      <c r="C213" s="13">
        <v>889</v>
      </c>
      <c r="D213" s="13">
        <v>4230</v>
      </c>
      <c r="E213" s="13">
        <f t="shared" si="3"/>
        <v>4230</v>
      </c>
      <c r="F213" s="13">
        <v>0</v>
      </c>
    </row>
    <row r="214" spans="1:6" x14ac:dyDescent="0.3">
      <c r="A214" s="13" t="s">
        <v>887</v>
      </c>
      <c r="B214" s="13" t="s">
        <v>270</v>
      </c>
      <c r="C214" s="13">
        <v>173</v>
      </c>
      <c r="D214" s="13">
        <v>1050</v>
      </c>
      <c r="E214" s="13">
        <f t="shared" si="3"/>
        <v>1050</v>
      </c>
      <c r="F214" s="13">
        <v>0</v>
      </c>
    </row>
    <row r="215" spans="1:6" x14ac:dyDescent="0.3">
      <c r="A215" s="13" t="s">
        <v>888</v>
      </c>
      <c r="B215" s="13" t="s">
        <v>271</v>
      </c>
      <c r="C215" s="13">
        <v>835</v>
      </c>
      <c r="D215" s="13">
        <v>3970</v>
      </c>
      <c r="E215" s="13">
        <f t="shared" si="3"/>
        <v>3970</v>
      </c>
      <c r="F215" s="13">
        <v>0</v>
      </c>
    </row>
    <row r="216" spans="1:6" x14ac:dyDescent="0.3">
      <c r="A216" s="13" t="s">
        <v>889</v>
      </c>
      <c r="B216" s="13" t="s">
        <v>272</v>
      </c>
      <c r="C216" s="13">
        <v>116</v>
      </c>
      <c r="D216" s="13">
        <v>705</v>
      </c>
      <c r="E216" s="13">
        <f t="shared" si="3"/>
        <v>705</v>
      </c>
      <c r="F216" s="13">
        <v>0</v>
      </c>
    </row>
    <row r="217" spans="1:6" x14ac:dyDescent="0.3">
      <c r="A217" s="13" t="s">
        <v>890</v>
      </c>
      <c r="B217" s="13" t="s">
        <v>273</v>
      </c>
      <c r="C217" s="13">
        <v>1212</v>
      </c>
      <c r="D217" s="13">
        <v>5770</v>
      </c>
      <c r="E217" s="13">
        <f t="shared" si="3"/>
        <v>5770</v>
      </c>
      <c r="F217" s="13">
        <v>0</v>
      </c>
    </row>
    <row r="218" spans="1:6" x14ac:dyDescent="0.3">
      <c r="A218" s="13" t="s">
        <v>891</v>
      </c>
      <c r="B218" s="13" t="s">
        <v>274</v>
      </c>
      <c r="C218" s="13">
        <v>599</v>
      </c>
      <c r="D218" s="13">
        <v>2850</v>
      </c>
      <c r="E218" s="13">
        <f t="shared" si="3"/>
        <v>2850</v>
      </c>
      <c r="F218" s="13">
        <v>0</v>
      </c>
    </row>
    <row r="219" spans="1:6" x14ac:dyDescent="0.3">
      <c r="A219" s="13" t="s">
        <v>892</v>
      </c>
      <c r="B219" s="13" t="s">
        <v>275</v>
      </c>
      <c r="C219" s="13">
        <v>159</v>
      </c>
      <c r="D219" s="13">
        <v>969</v>
      </c>
      <c r="E219" s="13">
        <f t="shared" si="3"/>
        <v>969</v>
      </c>
      <c r="F219" s="13">
        <v>0</v>
      </c>
    </row>
    <row r="220" spans="1:6" x14ac:dyDescent="0.3">
      <c r="A220" s="13" t="s">
        <v>893</v>
      </c>
      <c r="B220" s="13" t="s">
        <v>276</v>
      </c>
      <c r="C220" s="13">
        <v>358</v>
      </c>
      <c r="D220" s="13">
        <v>2180</v>
      </c>
      <c r="E220" s="13">
        <f t="shared" si="3"/>
        <v>2180</v>
      </c>
      <c r="F220" s="13">
        <v>0</v>
      </c>
    </row>
    <row r="221" spans="1:6" x14ac:dyDescent="0.3">
      <c r="A221" s="13" t="s">
        <v>894</v>
      </c>
      <c r="B221" s="13" t="s">
        <v>277</v>
      </c>
      <c r="C221" s="13">
        <v>1218</v>
      </c>
      <c r="D221" s="13">
        <v>7430</v>
      </c>
      <c r="E221" s="13">
        <f t="shared" si="3"/>
        <v>7430</v>
      </c>
      <c r="F221" s="13">
        <v>0</v>
      </c>
    </row>
    <row r="222" spans="1:6" x14ac:dyDescent="0.3">
      <c r="A222" s="13" t="s">
        <v>895</v>
      </c>
      <c r="B222" s="13" t="s">
        <v>278</v>
      </c>
      <c r="C222" s="13">
        <v>466</v>
      </c>
      <c r="D222" s="13">
        <v>2840</v>
      </c>
      <c r="E222" s="13">
        <f t="shared" si="3"/>
        <v>2840</v>
      </c>
      <c r="F222" s="13">
        <v>0</v>
      </c>
    </row>
    <row r="223" spans="1:6" x14ac:dyDescent="0.3">
      <c r="A223" s="13" t="s">
        <v>896</v>
      </c>
      <c r="B223" s="13" t="s">
        <v>279</v>
      </c>
      <c r="C223" s="13">
        <v>253</v>
      </c>
      <c r="D223" s="13">
        <v>1540</v>
      </c>
      <c r="E223" s="13">
        <f t="shared" si="3"/>
        <v>1540</v>
      </c>
      <c r="F223" s="13">
        <v>0</v>
      </c>
    </row>
    <row r="224" spans="1:6" x14ac:dyDescent="0.3">
      <c r="A224" s="13" t="s">
        <v>897</v>
      </c>
      <c r="B224" s="13" t="s">
        <v>280</v>
      </c>
      <c r="C224" s="13">
        <v>845</v>
      </c>
      <c r="D224" s="13">
        <v>5150</v>
      </c>
      <c r="E224" s="13">
        <f t="shared" si="3"/>
        <v>5150</v>
      </c>
      <c r="F224" s="13">
        <v>0</v>
      </c>
    </row>
    <row r="225" spans="1:6" x14ac:dyDescent="0.3">
      <c r="A225" s="13" t="s">
        <v>898</v>
      </c>
      <c r="B225" s="13" t="s">
        <v>281</v>
      </c>
      <c r="C225" s="13">
        <v>609</v>
      </c>
      <c r="D225" s="13">
        <v>3710</v>
      </c>
      <c r="E225" s="13">
        <f t="shared" si="3"/>
        <v>3710</v>
      </c>
      <c r="F225" s="13">
        <v>0</v>
      </c>
    </row>
    <row r="226" spans="1:6" x14ac:dyDescent="0.3">
      <c r="A226" s="13" t="s">
        <v>899</v>
      </c>
      <c r="B226" s="13" t="s">
        <v>282</v>
      </c>
      <c r="C226" s="13">
        <v>244</v>
      </c>
      <c r="D226" s="13">
        <v>1490</v>
      </c>
      <c r="E226" s="13">
        <f t="shared" si="3"/>
        <v>1490</v>
      </c>
      <c r="F226" s="13">
        <v>0</v>
      </c>
    </row>
    <row r="227" spans="1:6" x14ac:dyDescent="0.3">
      <c r="A227" s="13" t="s">
        <v>900</v>
      </c>
      <c r="B227" s="13" t="s">
        <v>283</v>
      </c>
      <c r="C227" s="13">
        <v>114</v>
      </c>
      <c r="D227" s="13">
        <v>541</v>
      </c>
      <c r="E227" s="13">
        <f t="shared" si="3"/>
        <v>541</v>
      </c>
      <c r="F227" s="13">
        <v>0</v>
      </c>
    </row>
    <row r="228" spans="1:6" x14ac:dyDescent="0.3">
      <c r="A228" s="13" t="s">
        <v>901</v>
      </c>
      <c r="B228" s="13" t="s">
        <v>284</v>
      </c>
      <c r="C228" s="13">
        <v>500</v>
      </c>
      <c r="D228" s="13">
        <v>2380</v>
      </c>
      <c r="E228" s="13">
        <f t="shared" si="3"/>
        <v>2380</v>
      </c>
      <c r="F228" s="13">
        <v>0</v>
      </c>
    </row>
    <row r="229" spans="1:6" x14ac:dyDescent="0.3">
      <c r="A229" s="13" t="s">
        <v>902</v>
      </c>
      <c r="B229" s="13" t="s">
        <v>285</v>
      </c>
      <c r="C229" s="13">
        <v>215</v>
      </c>
      <c r="D229" s="13">
        <v>1020</v>
      </c>
      <c r="E229" s="13">
        <f t="shared" si="3"/>
        <v>1020</v>
      </c>
      <c r="F229" s="13">
        <v>0</v>
      </c>
    </row>
    <row r="230" spans="1:6" x14ac:dyDescent="0.3">
      <c r="A230" s="13" t="s">
        <v>903</v>
      </c>
      <c r="B230" s="13" t="s">
        <v>286</v>
      </c>
      <c r="C230" s="13">
        <v>672</v>
      </c>
      <c r="D230" s="13">
        <v>4100</v>
      </c>
      <c r="E230" s="13">
        <f t="shared" si="3"/>
        <v>4100</v>
      </c>
      <c r="F230" s="13">
        <v>0</v>
      </c>
    </row>
    <row r="231" spans="1:6" x14ac:dyDescent="0.3">
      <c r="A231" s="13" t="s">
        <v>904</v>
      </c>
      <c r="B231" s="13" t="s">
        <v>287</v>
      </c>
      <c r="C231" s="13">
        <v>330</v>
      </c>
      <c r="D231" s="13">
        <v>1570</v>
      </c>
      <c r="E231" s="13">
        <f t="shared" si="3"/>
        <v>1570</v>
      </c>
      <c r="F231" s="13">
        <v>0</v>
      </c>
    </row>
    <row r="232" spans="1:6" x14ac:dyDescent="0.3">
      <c r="A232" s="13" t="s">
        <v>905</v>
      </c>
      <c r="B232" s="13" t="s">
        <v>288</v>
      </c>
      <c r="C232" s="13">
        <v>324</v>
      </c>
      <c r="D232" s="13">
        <v>1970</v>
      </c>
      <c r="E232" s="13">
        <f t="shared" si="3"/>
        <v>1970</v>
      </c>
      <c r="F232" s="13">
        <v>0</v>
      </c>
    </row>
    <row r="233" spans="1:6" x14ac:dyDescent="0.3">
      <c r="A233" s="13" t="s">
        <v>906</v>
      </c>
      <c r="B233" s="13" t="s">
        <v>289</v>
      </c>
      <c r="C233" s="13">
        <v>96</v>
      </c>
      <c r="D233" s="13">
        <v>586</v>
      </c>
      <c r="E233" s="13">
        <f t="shared" si="3"/>
        <v>586</v>
      </c>
      <c r="F233" s="13">
        <v>0</v>
      </c>
    </row>
    <row r="234" spans="1:6" x14ac:dyDescent="0.3">
      <c r="A234" s="13" t="s">
        <v>907</v>
      </c>
      <c r="B234" s="13" t="s">
        <v>290</v>
      </c>
      <c r="C234" s="13">
        <v>361</v>
      </c>
      <c r="D234" s="13">
        <v>2200</v>
      </c>
      <c r="E234" s="13">
        <f t="shared" si="3"/>
        <v>2200</v>
      </c>
      <c r="F234" s="13">
        <v>0</v>
      </c>
    </row>
    <row r="235" spans="1:6" x14ac:dyDescent="0.3">
      <c r="A235" s="13" t="s">
        <v>908</v>
      </c>
      <c r="B235" s="13" t="s">
        <v>291</v>
      </c>
      <c r="C235" s="13">
        <v>677</v>
      </c>
      <c r="D235" s="13">
        <v>3220</v>
      </c>
      <c r="E235" s="13">
        <f t="shared" si="3"/>
        <v>3220</v>
      </c>
      <c r="F235" s="13">
        <v>0</v>
      </c>
    </row>
    <row r="236" spans="1:6" x14ac:dyDescent="0.3">
      <c r="A236" s="13" t="s">
        <v>909</v>
      </c>
      <c r="B236" s="13" t="s">
        <v>292</v>
      </c>
      <c r="C236" s="13">
        <v>256</v>
      </c>
      <c r="D236" s="13">
        <v>1560</v>
      </c>
      <c r="E236" s="13">
        <f t="shared" si="3"/>
        <v>1560</v>
      </c>
      <c r="F236" s="13">
        <v>0</v>
      </c>
    </row>
    <row r="237" spans="1:6" x14ac:dyDescent="0.3">
      <c r="A237" s="13" t="s">
        <v>910</v>
      </c>
      <c r="B237" s="13" t="s">
        <v>293</v>
      </c>
      <c r="C237" s="13">
        <v>100</v>
      </c>
      <c r="D237" s="13">
        <v>607</v>
      </c>
      <c r="E237" s="13">
        <f t="shared" si="3"/>
        <v>607</v>
      </c>
      <c r="F237" s="13">
        <v>0</v>
      </c>
    </row>
    <row r="238" spans="1:6" x14ac:dyDescent="0.3">
      <c r="A238" s="13" t="s">
        <v>911</v>
      </c>
      <c r="B238" s="13" t="s">
        <v>294</v>
      </c>
      <c r="C238" s="13">
        <v>375</v>
      </c>
      <c r="D238" s="13">
        <v>1780</v>
      </c>
      <c r="E238" s="13">
        <f t="shared" si="3"/>
        <v>1780</v>
      </c>
      <c r="F238" s="13">
        <v>0</v>
      </c>
    </row>
    <row r="239" spans="1:6" x14ac:dyDescent="0.3">
      <c r="A239" s="13" t="s">
        <v>912</v>
      </c>
      <c r="B239" s="13" t="s">
        <v>295</v>
      </c>
      <c r="C239" s="13">
        <v>588</v>
      </c>
      <c r="D239" s="13">
        <v>3580</v>
      </c>
      <c r="E239" s="13">
        <f t="shared" si="3"/>
        <v>3580</v>
      </c>
      <c r="F239" s="13">
        <v>0</v>
      </c>
    </row>
    <row r="240" spans="1:6" x14ac:dyDescent="0.3">
      <c r="A240" s="13" t="s">
        <v>913</v>
      </c>
      <c r="B240" s="13" t="s">
        <v>296</v>
      </c>
      <c r="C240" s="13">
        <v>87</v>
      </c>
      <c r="D240" s="13">
        <v>533</v>
      </c>
      <c r="E240" s="13">
        <f t="shared" si="3"/>
        <v>533</v>
      </c>
      <c r="F240" s="13">
        <v>0</v>
      </c>
    </row>
    <row r="241" spans="1:6" x14ac:dyDescent="0.3">
      <c r="A241" s="13" t="s">
        <v>914</v>
      </c>
      <c r="B241" s="13" t="s">
        <v>297</v>
      </c>
      <c r="C241" s="13">
        <v>183</v>
      </c>
      <c r="D241" s="13">
        <v>870</v>
      </c>
      <c r="E241" s="13">
        <f t="shared" si="3"/>
        <v>870</v>
      </c>
      <c r="F241" s="13">
        <v>0</v>
      </c>
    </row>
    <row r="242" spans="1:6" x14ac:dyDescent="0.3">
      <c r="A242" s="13" t="s">
        <v>915</v>
      </c>
      <c r="B242" s="13" t="s">
        <v>298</v>
      </c>
      <c r="C242" s="13">
        <v>511</v>
      </c>
      <c r="D242" s="13">
        <v>3120</v>
      </c>
      <c r="E242" s="13">
        <f t="shared" si="3"/>
        <v>3120</v>
      </c>
      <c r="F242" s="13">
        <v>0</v>
      </c>
    </row>
    <row r="243" spans="1:6" x14ac:dyDescent="0.3">
      <c r="A243" s="13" t="s">
        <v>916</v>
      </c>
      <c r="B243" s="13" t="s">
        <v>299</v>
      </c>
      <c r="C243" s="13">
        <v>176</v>
      </c>
      <c r="D243" s="13">
        <v>837</v>
      </c>
      <c r="E243" s="13">
        <f t="shared" si="3"/>
        <v>837</v>
      </c>
      <c r="F243" s="13">
        <v>0</v>
      </c>
    </row>
    <row r="244" spans="1:6" x14ac:dyDescent="0.3">
      <c r="A244" s="13" t="s">
        <v>917</v>
      </c>
      <c r="B244" s="13" t="s">
        <v>300</v>
      </c>
      <c r="C244" s="13">
        <v>236</v>
      </c>
      <c r="D244" s="13">
        <v>1440</v>
      </c>
      <c r="E244" s="13">
        <f t="shared" si="3"/>
        <v>1440</v>
      </c>
      <c r="F244" s="13">
        <v>0</v>
      </c>
    </row>
    <row r="245" spans="1:6" x14ac:dyDescent="0.3">
      <c r="A245" s="13" t="s">
        <v>918</v>
      </c>
      <c r="B245" s="13" t="s">
        <v>301</v>
      </c>
      <c r="C245" s="13">
        <v>275</v>
      </c>
      <c r="D245" s="13">
        <v>1680</v>
      </c>
      <c r="E245" s="13">
        <f t="shared" si="3"/>
        <v>1680</v>
      </c>
      <c r="F245" s="13">
        <v>0</v>
      </c>
    </row>
    <row r="246" spans="1:6" x14ac:dyDescent="0.3">
      <c r="A246" s="13" t="s">
        <v>919</v>
      </c>
      <c r="B246" s="13" t="s">
        <v>302</v>
      </c>
      <c r="C246" s="13">
        <v>113</v>
      </c>
      <c r="D246" s="13">
        <v>691</v>
      </c>
      <c r="E246" s="13">
        <f t="shared" si="3"/>
        <v>691</v>
      </c>
      <c r="F246" s="13">
        <v>0</v>
      </c>
    </row>
    <row r="247" spans="1:6" x14ac:dyDescent="0.3">
      <c r="A247" s="13" t="s">
        <v>920</v>
      </c>
      <c r="B247" s="13" t="s">
        <v>303</v>
      </c>
      <c r="C247" s="13">
        <v>426</v>
      </c>
      <c r="D247" s="13">
        <v>2600</v>
      </c>
      <c r="E247" s="13">
        <f t="shared" si="3"/>
        <v>2600</v>
      </c>
      <c r="F247" s="13">
        <v>0</v>
      </c>
    </row>
    <row r="248" spans="1:6" x14ac:dyDescent="0.3">
      <c r="A248" s="13" t="s">
        <v>921</v>
      </c>
      <c r="B248" s="13" t="s">
        <v>304</v>
      </c>
      <c r="C248" s="13">
        <v>398</v>
      </c>
      <c r="D248" s="13">
        <v>2430</v>
      </c>
      <c r="E248" s="13">
        <f t="shared" si="3"/>
        <v>2430</v>
      </c>
      <c r="F248" s="13">
        <v>0</v>
      </c>
    </row>
    <row r="249" spans="1:6" x14ac:dyDescent="0.3">
      <c r="A249" s="13" t="s">
        <v>922</v>
      </c>
      <c r="B249" s="13" t="s">
        <v>305</v>
      </c>
      <c r="C249" s="13">
        <v>516</v>
      </c>
      <c r="D249" s="13">
        <v>2460</v>
      </c>
      <c r="E249" s="13">
        <f t="shared" si="3"/>
        <v>2460</v>
      </c>
      <c r="F249" s="13">
        <v>0</v>
      </c>
    </row>
    <row r="250" spans="1:6" x14ac:dyDescent="0.3">
      <c r="A250" s="13" t="s">
        <v>923</v>
      </c>
      <c r="B250" s="13" t="s">
        <v>306</v>
      </c>
      <c r="C250" s="13">
        <v>136</v>
      </c>
      <c r="D250" s="13">
        <v>827</v>
      </c>
      <c r="E250" s="13">
        <f t="shared" si="3"/>
        <v>827</v>
      </c>
      <c r="F250" s="13">
        <v>0</v>
      </c>
    </row>
    <row r="251" spans="1:6" x14ac:dyDescent="0.3">
      <c r="A251" s="13" t="s">
        <v>924</v>
      </c>
      <c r="B251" s="13" t="s">
        <v>307</v>
      </c>
      <c r="C251" s="13">
        <v>89</v>
      </c>
      <c r="D251" s="13">
        <v>425</v>
      </c>
      <c r="E251" s="13">
        <f t="shared" si="3"/>
        <v>425</v>
      </c>
      <c r="F251" s="13">
        <v>0</v>
      </c>
    </row>
    <row r="252" spans="1:6" x14ac:dyDescent="0.3">
      <c r="A252" s="13" t="s">
        <v>925</v>
      </c>
      <c r="B252" s="13" t="s">
        <v>308</v>
      </c>
      <c r="C252" s="13">
        <v>331</v>
      </c>
      <c r="D252" s="13">
        <v>1570</v>
      </c>
      <c r="E252" s="13">
        <f t="shared" si="3"/>
        <v>1570</v>
      </c>
      <c r="F252" s="13">
        <v>0</v>
      </c>
    </row>
    <row r="253" spans="1:6" x14ac:dyDescent="0.3">
      <c r="A253" s="13" t="s">
        <v>926</v>
      </c>
      <c r="B253" s="13" t="s">
        <v>309</v>
      </c>
      <c r="C253" s="13">
        <v>2582</v>
      </c>
      <c r="D253" s="13">
        <v>15700</v>
      </c>
      <c r="E253" s="13">
        <f t="shared" si="3"/>
        <v>15700</v>
      </c>
      <c r="F253" s="13">
        <v>0</v>
      </c>
    </row>
    <row r="254" spans="1:6" x14ac:dyDescent="0.3">
      <c r="A254" s="13" t="s">
        <v>927</v>
      </c>
      <c r="B254" s="13" t="s">
        <v>311</v>
      </c>
      <c r="C254" s="13">
        <v>748</v>
      </c>
      <c r="D254" s="13">
        <v>30900</v>
      </c>
      <c r="E254" s="13">
        <f t="shared" si="3"/>
        <v>30900</v>
      </c>
      <c r="F254" s="13">
        <v>0</v>
      </c>
    </row>
    <row r="255" spans="1:6" x14ac:dyDescent="0.3">
      <c r="A255" s="13" t="s">
        <v>928</v>
      </c>
      <c r="B255" s="13" t="s">
        <v>312</v>
      </c>
      <c r="C255" s="13">
        <v>682</v>
      </c>
      <c r="D255" s="13">
        <v>24900</v>
      </c>
      <c r="E255" s="13">
        <f t="shared" si="3"/>
        <v>24900</v>
      </c>
      <c r="F255" s="13">
        <v>0</v>
      </c>
    </row>
    <row r="256" spans="1:6" x14ac:dyDescent="0.3">
      <c r="A256" s="13" t="s">
        <v>929</v>
      </c>
      <c r="B256" s="13" t="s">
        <v>313</v>
      </c>
      <c r="C256" s="13">
        <v>1167</v>
      </c>
      <c r="D256" s="13">
        <v>7110</v>
      </c>
      <c r="E256" s="13">
        <f t="shared" si="3"/>
        <v>7110</v>
      </c>
      <c r="F256" s="13">
        <v>0</v>
      </c>
    </row>
    <row r="257" spans="1:6" x14ac:dyDescent="0.3">
      <c r="A257" s="13" t="s">
        <v>930</v>
      </c>
      <c r="B257" s="13" t="s">
        <v>314</v>
      </c>
      <c r="C257" s="13">
        <v>618</v>
      </c>
      <c r="D257" s="13">
        <v>2940</v>
      </c>
      <c r="E257" s="13">
        <f t="shared" si="3"/>
        <v>2940</v>
      </c>
      <c r="F257" s="13">
        <v>0</v>
      </c>
    </row>
    <row r="258" spans="1:6" x14ac:dyDescent="0.3">
      <c r="A258" s="13" t="s">
        <v>931</v>
      </c>
      <c r="B258" s="13" t="s">
        <v>315</v>
      </c>
      <c r="C258" s="13">
        <v>781</v>
      </c>
      <c r="D258" s="13">
        <v>4760</v>
      </c>
      <c r="E258" s="13">
        <f t="shared" si="3"/>
        <v>4760</v>
      </c>
      <c r="F258" s="13">
        <v>0</v>
      </c>
    </row>
    <row r="259" spans="1:6" x14ac:dyDescent="0.3">
      <c r="A259" s="13" t="s">
        <v>932</v>
      </c>
      <c r="B259" s="13" t="s">
        <v>316</v>
      </c>
      <c r="C259" s="13">
        <v>1073</v>
      </c>
      <c r="D259" s="13">
        <v>6540</v>
      </c>
      <c r="E259" s="13">
        <f t="shared" ref="E259:E301" si="4">D259-F259</f>
        <v>6540</v>
      </c>
      <c r="F259" s="13">
        <v>0</v>
      </c>
    </row>
    <row r="260" spans="1:6" x14ac:dyDescent="0.3">
      <c r="A260" s="13" t="s">
        <v>933</v>
      </c>
      <c r="B260" s="13" t="s">
        <v>317</v>
      </c>
      <c r="C260" s="13">
        <v>2116</v>
      </c>
      <c r="D260" s="13">
        <v>12900</v>
      </c>
      <c r="E260" s="13">
        <f t="shared" si="4"/>
        <v>12900</v>
      </c>
      <c r="F260" s="13">
        <v>0</v>
      </c>
    </row>
    <row r="261" spans="1:6" x14ac:dyDescent="0.3">
      <c r="A261" s="13" t="s">
        <v>934</v>
      </c>
      <c r="B261" s="13" t="s">
        <v>318</v>
      </c>
      <c r="C261" s="13">
        <v>1063</v>
      </c>
      <c r="D261" s="13">
        <v>6480</v>
      </c>
      <c r="E261" s="13">
        <f t="shared" si="4"/>
        <v>6480</v>
      </c>
      <c r="F261" s="13">
        <v>0</v>
      </c>
    </row>
    <row r="262" spans="1:6" x14ac:dyDescent="0.3">
      <c r="A262" s="13" t="s">
        <v>935</v>
      </c>
      <c r="B262" s="13" t="s">
        <v>319</v>
      </c>
      <c r="C262" s="13">
        <v>165</v>
      </c>
      <c r="D262" s="13">
        <v>1010</v>
      </c>
      <c r="E262" s="13">
        <f t="shared" si="4"/>
        <v>1010</v>
      </c>
      <c r="F262" s="13">
        <v>0</v>
      </c>
    </row>
    <row r="263" spans="1:6" x14ac:dyDescent="0.3">
      <c r="A263" s="13" t="s">
        <v>936</v>
      </c>
      <c r="B263" s="13" t="s">
        <v>320</v>
      </c>
      <c r="C263" s="13">
        <v>129</v>
      </c>
      <c r="D263" s="13">
        <v>785</v>
      </c>
      <c r="E263" s="13">
        <f t="shared" si="4"/>
        <v>785</v>
      </c>
      <c r="F263" s="13">
        <v>0</v>
      </c>
    </row>
    <row r="264" spans="1:6" x14ac:dyDescent="0.3">
      <c r="A264" s="13" t="s">
        <v>937</v>
      </c>
      <c r="B264" s="13" t="s">
        <v>321</v>
      </c>
      <c r="C264" s="13">
        <v>80</v>
      </c>
      <c r="D264" s="13">
        <v>490</v>
      </c>
      <c r="E264" s="13">
        <f t="shared" si="4"/>
        <v>490</v>
      </c>
      <c r="F264" s="13">
        <v>0</v>
      </c>
    </row>
    <row r="265" spans="1:6" x14ac:dyDescent="0.3">
      <c r="A265" s="13" t="s">
        <v>938</v>
      </c>
      <c r="B265" s="13" t="s">
        <v>322</v>
      </c>
      <c r="C265" s="13">
        <v>1071</v>
      </c>
      <c r="D265" s="13">
        <v>6530</v>
      </c>
      <c r="E265" s="13">
        <f t="shared" si="4"/>
        <v>6530</v>
      </c>
      <c r="F265" s="13">
        <v>0</v>
      </c>
    </row>
    <row r="266" spans="1:6" x14ac:dyDescent="0.3">
      <c r="A266" s="13" t="s">
        <v>939</v>
      </c>
      <c r="B266" s="13" t="s">
        <v>323</v>
      </c>
      <c r="C266" s="13">
        <v>109</v>
      </c>
      <c r="D266" s="13">
        <v>666</v>
      </c>
      <c r="E266" s="13">
        <f t="shared" si="4"/>
        <v>666</v>
      </c>
      <c r="F266" s="13">
        <v>0</v>
      </c>
    </row>
    <row r="267" spans="1:6" x14ac:dyDescent="0.3">
      <c r="A267" s="13" t="s">
        <v>940</v>
      </c>
      <c r="B267" s="13" t="s">
        <v>324</v>
      </c>
      <c r="C267" s="13">
        <v>646</v>
      </c>
      <c r="D267" s="13">
        <v>3940</v>
      </c>
      <c r="E267" s="13">
        <f t="shared" si="4"/>
        <v>3940</v>
      </c>
      <c r="F267" s="13">
        <v>0</v>
      </c>
    </row>
    <row r="268" spans="1:6" x14ac:dyDescent="0.3">
      <c r="A268" s="13" t="s">
        <v>941</v>
      </c>
      <c r="B268" s="13" t="s">
        <v>325</v>
      </c>
      <c r="C268" s="13">
        <v>453</v>
      </c>
      <c r="D268" s="13">
        <v>2160</v>
      </c>
      <c r="E268" s="13">
        <f t="shared" si="4"/>
        <v>2160</v>
      </c>
      <c r="F268" s="13">
        <v>0</v>
      </c>
    </row>
    <row r="269" spans="1:6" x14ac:dyDescent="0.3">
      <c r="A269" s="13" t="s">
        <v>942</v>
      </c>
      <c r="B269" s="13" t="s">
        <v>326</v>
      </c>
      <c r="C269" s="13">
        <v>276</v>
      </c>
      <c r="D269" s="13">
        <v>1680</v>
      </c>
      <c r="E269" s="13">
        <f t="shared" si="4"/>
        <v>1680</v>
      </c>
      <c r="F269" s="13">
        <v>0</v>
      </c>
    </row>
    <row r="270" spans="1:6" x14ac:dyDescent="0.3">
      <c r="A270" s="13" t="s">
        <v>943</v>
      </c>
      <c r="B270" s="13" t="s">
        <v>327</v>
      </c>
      <c r="C270" s="13">
        <v>580</v>
      </c>
      <c r="D270" s="13">
        <v>3530</v>
      </c>
      <c r="E270" s="13">
        <f t="shared" si="4"/>
        <v>3530</v>
      </c>
      <c r="F270" s="13">
        <v>0</v>
      </c>
    </row>
    <row r="271" spans="1:6" x14ac:dyDescent="0.3">
      <c r="A271" s="13" t="s">
        <v>944</v>
      </c>
      <c r="B271" s="13" t="s">
        <v>328</v>
      </c>
      <c r="C271" s="13">
        <v>398</v>
      </c>
      <c r="D271" s="13">
        <v>2420</v>
      </c>
      <c r="E271" s="13">
        <f t="shared" si="4"/>
        <v>2420</v>
      </c>
      <c r="F271" s="13">
        <v>0</v>
      </c>
    </row>
    <row r="272" spans="1:6" x14ac:dyDescent="0.3">
      <c r="A272" s="13" t="s">
        <v>945</v>
      </c>
      <c r="B272" s="13" t="s">
        <v>329</v>
      </c>
      <c r="C272" s="13">
        <v>612</v>
      </c>
      <c r="D272" s="13">
        <v>2910</v>
      </c>
      <c r="E272" s="13">
        <f t="shared" si="4"/>
        <v>2910</v>
      </c>
      <c r="F272" s="13">
        <v>0</v>
      </c>
    </row>
    <row r="273" spans="1:6" x14ac:dyDescent="0.3">
      <c r="A273" s="13" t="s">
        <v>946</v>
      </c>
      <c r="B273" s="13" t="s">
        <v>330</v>
      </c>
      <c r="C273" s="13">
        <v>197</v>
      </c>
      <c r="D273" s="13">
        <v>1200</v>
      </c>
      <c r="E273" s="13">
        <f t="shared" si="4"/>
        <v>1200</v>
      </c>
      <c r="F273" s="13">
        <v>0</v>
      </c>
    </row>
    <row r="274" spans="1:6" x14ac:dyDescent="0.3">
      <c r="A274" s="13" t="s">
        <v>947</v>
      </c>
      <c r="B274" s="13" t="s">
        <v>331</v>
      </c>
      <c r="C274" s="13">
        <v>575</v>
      </c>
      <c r="D274" s="13">
        <v>2740</v>
      </c>
      <c r="E274" s="13">
        <f t="shared" si="4"/>
        <v>2740</v>
      </c>
      <c r="F274" s="13">
        <v>0</v>
      </c>
    </row>
    <row r="275" spans="1:6" x14ac:dyDescent="0.3">
      <c r="A275" s="13" t="s">
        <v>948</v>
      </c>
      <c r="B275" s="13" t="s">
        <v>332</v>
      </c>
      <c r="C275" s="13">
        <v>169</v>
      </c>
      <c r="D275" s="13">
        <v>1030</v>
      </c>
      <c r="E275" s="13">
        <f t="shared" si="4"/>
        <v>1030</v>
      </c>
      <c r="F275" s="13">
        <v>0</v>
      </c>
    </row>
    <row r="276" spans="1:6" x14ac:dyDescent="0.3">
      <c r="A276" s="13" t="s">
        <v>949</v>
      </c>
      <c r="B276" s="13" t="s">
        <v>333</v>
      </c>
      <c r="C276" s="13">
        <v>552</v>
      </c>
      <c r="D276" s="13">
        <v>3370</v>
      </c>
      <c r="E276" s="13">
        <f t="shared" si="4"/>
        <v>3370</v>
      </c>
      <c r="F276" s="13">
        <v>0</v>
      </c>
    </row>
    <row r="277" spans="1:6" x14ac:dyDescent="0.3">
      <c r="A277" s="13" t="s">
        <v>950</v>
      </c>
      <c r="B277" s="13" t="s">
        <v>334</v>
      </c>
      <c r="C277" s="13">
        <v>214</v>
      </c>
      <c r="D277" s="13">
        <v>1300</v>
      </c>
      <c r="E277" s="13">
        <f t="shared" si="4"/>
        <v>1300</v>
      </c>
      <c r="F277" s="13">
        <v>0</v>
      </c>
    </row>
    <row r="278" spans="1:6" x14ac:dyDescent="0.3">
      <c r="A278" s="13" t="s">
        <v>951</v>
      </c>
      <c r="B278" s="13" t="s">
        <v>335</v>
      </c>
      <c r="C278" s="13">
        <v>268</v>
      </c>
      <c r="D278" s="13">
        <v>1640</v>
      </c>
      <c r="E278" s="13">
        <f t="shared" si="4"/>
        <v>1640</v>
      </c>
      <c r="F278" s="13">
        <v>0</v>
      </c>
    </row>
    <row r="279" spans="1:6" x14ac:dyDescent="0.3">
      <c r="A279" s="13" t="s">
        <v>952</v>
      </c>
      <c r="B279" s="13" t="s">
        <v>336</v>
      </c>
      <c r="C279" s="13">
        <v>208</v>
      </c>
      <c r="D279" s="13">
        <v>1270</v>
      </c>
      <c r="E279" s="13">
        <f t="shared" si="4"/>
        <v>1270</v>
      </c>
      <c r="F279" s="13">
        <v>0</v>
      </c>
    </row>
    <row r="280" spans="1:6" x14ac:dyDescent="0.3">
      <c r="A280" s="13" t="s">
        <v>953</v>
      </c>
      <c r="B280" s="13" t="s">
        <v>337</v>
      </c>
      <c r="C280" s="13">
        <v>434</v>
      </c>
      <c r="D280" s="13">
        <v>2060</v>
      </c>
      <c r="E280" s="13">
        <f t="shared" si="4"/>
        <v>2060</v>
      </c>
      <c r="F280" s="13">
        <v>0</v>
      </c>
    </row>
    <row r="281" spans="1:6" x14ac:dyDescent="0.3">
      <c r="A281" s="13" t="s">
        <v>954</v>
      </c>
      <c r="B281" s="13" t="s">
        <v>338</v>
      </c>
      <c r="C281" s="13">
        <v>604</v>
      </c>
      <c r="D281" s="13">
        <v>3680</v>
      </c>
      <c r="E281" s="13">
        <f t="shared" si="4"/>
        <v>3680</v>
      </c>
      <c r="F281" s="13">
        <v>0</v>
      </c>
    </row>
    <row r="282" spans="1:6" x14ac:dyDescent="0.3">
      <c r="A282" s="13" t="s">
        <v>955</v>
      </c>
      <c r="B282" s="13" t="s">
        <v>339</v>
      </c>
      <c r="C282" s="13">
        <v>195</v>
      </c>
      <c r="D282" s="13">
        <v>1190</v>
      </c>
      <c r="E282" s="13">
        <f t="shared" si="4"/>
        <v>1190</v>
      </c>
      <c r="F282" s="13">
        <v>0</v>
      </c>
    </row>
    <row r="283" spans="1:6" x14ac:dyDescent="0.3">
      <c r="A283" s="13" t="s">
        <v>956</v>
      </c>
      <c r="B283" s="13" t="s">
        <v>340</v>
      </c>
      <c r="C283" s="13">
        <v>143</v>
      </c>
      <c r="D283" s="13">
        <v>874</v>
      </c>
      <c r="E283" s="13">
        <f t="shared" si="4"/>
        <v>874</v>
      </c>
      <c r="F283" s="13">
        <v>0</v>
      </c>
    </row>
    <row r="284" spans="1:6" x14ac:dyDescent="0.3">
      <c r="A284" s="13" t="s">
        <v>957</v>
      </c>
      <c r="B284" s="13" t="s">
        <v>341</v>
      </c>
      <c r="C284" s="13">
        <v>663</v>
      </c>
      <c r="D284" s="13">
        <v>3160</v>
      </c>
      <c r="E284" s="13">
        <f t="shared" si="4"/>
        <v>3160</v>
      </c>
      <c r="F284" s="13">
        <v>0</v>
      </c>
    </row>
    <row r="285" spans="1:6" x14ac:dyDescent="0.3">
      <c r="A285" s="13" t="s">
        <v>958</v>
      </c>
      <c r="B285" s="13" t="s">
        <v>342</v>
      </c>
      <c r="C285" s="13">
        <v>480</v>
      </c>
      <c r="D285" s="13">
        <v>2920</v>
      </c>
      <c r="E285" s="13">
        <f t="shared" si="4"/>
        <v>2920</v>
      </c>
      <c r="F285" s="13">
        <v>0</v>
      </c>
    </row>
    <row r="286" spans="1:6" x14ac:dyDescent="0.3">
      <c r="A286" s="13" t="s">
        <v>959</v>
      </c>
      <c r="B286" s="13" t="s">
        <v>343</v>
      </c>
      <c r="C286" s="13">
        <v>343</v>
      </c>
      <c r="D286" s="13">
        <v>2090</v>
      </c>
      <c r="E286" s="13">
        <f t="shared" si="4"/>
        <v>2090</v>
      </c>
      <c r="F286" s="13">
        <v>0</v>
      </c>
    </row>
    <row r="287" spans="1:6" x14ac:dyDescent="0.3">
      <c r="A287" s="13" t="s">
        <v>960</v>
      </c>
      <c r="B287" s="13" t="s">
        <v>344</v>
      </c>
      <c r="C287" s="13">
        <v>137</v>
      </c>
      <c r="D287" s="13">
        <v>653</v>
      </c>
      <c r="E287" s="13">
        <f t="shared" si="4"/>
        <v>653</v>
      </c>
      <c r="F287" s="13">
        <v>0</v>
      </c>
    </row>
    <row r="288" spans="1:6" x14ac:dyDescent="0.3">
      <c r="A288" s="13" t="s">
        <v>961</v>
      </c>
      <c r="B288" s="13" t="s">
        <v>345</v>
      </c>
      <c r="C288" s="13">
        <v>536</v>
      </c>
      <c r="D288" s="13">
        <v>3270</v>
      </c>
      <c r="E288" s="13">
        <f t="shared" si="4"/>
        <v>3270</v>
      </c>
      <c r="F288" s="13">
        <v>0</v>
      </c>
    </row>
    <row r="289" spans="1:6" x14ac:dyDescent="0.3">
      <c r="A289" s="13" t="s">
        <v>962</v>
      </c>
      <c r="B289" s="13" t="s">
        <v>346</v>
      </c>
      <c r="C289" s="13">
        <v>464</v>
      </c>
      <c r="D289" s="13">
        <v>2210</v>
      </c>
      <c r="E289" s="13">
        <f t="shared" si="4"/>
        <v>2210</v>
      </c>
      <c r="F289" s="13">
        <v>0</v>
      </c>
    </row>
    <row r="290" spans="1:6" x14ac:dyDescent="0.3">
      <c r="A290" s="13" t="s">
        <v>963</v>
      </c>
      <c r="B290" s="13" t="s">
        <v>347</v>
      </c>
      <c r="C290" s="13">
        <v>344</v>
      </c>
      <c r="D290" s="13">
        <v>2100</v>
      </c>
      <c r="E290" s="13">
        <f t="shared" si="4"/>
        <v>2100</v>
      </c>
      <c r="F290" s="13">
        <v>0</v>
      </c>
    </row>
    <row r="291" spans="1:6" x14ac:dyDescent="0.3">
      <c r="A291" s="13" t="s">
        <v>964</v>
      </c>
      <c r="B291" s="13" t="s">
        <v>348</v>
      </c>
      <c r="C291" s="13">
        <v>463</v>
      </c>
      <c r="D291" s="13">
        <v>2200</v>
      </c>
      <c r="E291" s="13">
        <f t="shared" si="4"/>
        <v>2200</v>
      </c>
      <c r="F291" s="13">
        <v>0</v>
      </c>
    </row>
    <row r="292" spans="1:6" x14ac:dyDescent="0.3">
      <c r="A292" s="13" t="s">
        <v>965</v>
      </c>
      <c r="B292" s="13" t="s">
        <v>349</v>
      </c>
      <c r="C292" s="13">
        <v>551</v>
      </c>
      <c r="D292" s="13">
        <v>3360</v>
      </c>
      <c r="E292" s="13">
        <f t="shared" si="4"/>
        <v>3360</v>
      </c>
      <c r="F292" s="13">
        <v>0</v>
      </c>
    </row>
    <row r="293" spans="1:6" x14ac:dyDescent="0.3">
      <c r="A293" s="13" t="s">
        <v>966</v>
      </c>
      <c r="B293" s="13" t="s">
        <v>350</v>
      </c>
      <c r="C293" s="13">
        <v>151</v>
      </c>
      <c r="D293" s="13">
        <v>717</v>
      </c>
      <c r="E293" s="13">
        <f t="shared" si="4"/>
        <v>717</v>
      </c>
      <c r="F293" s="13">
        <v>0</v>
      </c>
    </row>
    <row r="294" spans="1:6" x14ac:dyDescent="0.3">
      <c r="A294" s="13" t="s">
        <v>967</v>
      </c>
      <c r="B294" s="13" t="s">
        <v>351</v>
      </c>
      <c r="C294" s="13">
        <v>264</v>
      </c>
      <c r="D294" s="13">
        <v>1610</v>
      </c>
      <c r="E294" s="13">
        <f t="shared" si="4"/>
        <v>1610</v>
      </c>
      <c r="F294" s="13">
        <v>0</v>
      </c>
    </row>
    <row r="295" spans="1:6" x14ac:dyDescent="0.3">
      <c r="A295" s="13" t="s">
        <v>968</v>
      </c>
      <c r="B295" s="13" t="s">
        <v>352</v>
      </c>
      <c r="C295" s="13">
        <v>103</v>
      </c>
      <c r="D295" s="13">
        <v>628</v>
      </c>
      <c r="E295" s="13">
        <f t="shared" si="4"/>
        <v>628</v>
      </c>
      <c r="F295" s="13">
        <v>0</v>
      </c>
    </row>
    <row r="296" spans="1:6" x14ac:dyDescent="0.3">
      <c r="A296" s="13" t="s">
        <v>969</v>
      </c>
      <c r="B296" s="13" t="s">
        <v>353</v>
      </c>
      <c r="C296" s="13">
        <v>1466</v>
      </c>
      <c r="D296" s="13">
        <v>8940</v>
      </c>
      <c r="E296" s="13">
        <f t="shared" si="4"/>
        <v>8940</v>
      </c>
      <c r="F296" s="13">
        <v>0</v>
      </c>
    </row>
    <row r="297" spans="1:6" x14ac:dyDescent="0.3">
      <c r="A297" s="13" t="s">
        <v>970</v>
      </c>
      <c r="B297" s="13" t="s">
        <v>354</v>
      </c>
      <c r="C297" s="13">
        <v>463</v>
      </c>
      <c r="D297" s="13">
        <v>2820</v>
      </c>
      <c r="E297" s="13">
        <f t="shared" si="4"/>
        <v>2820</v>
      </c>
      <c r="F297" s="13">
        <v>0</v>
      </c>
    </row>
    <row r="298" spans="1:6" x14ac:dyDescent="0.3">
      <c r="A298" s="13" t="s">
        <v>971</v>
      </c>
      <c r="B298" s="13" t="s">
        <v>355</v>
      </c>
      <c r="C298" s="13">
        <v>113</v>
      </c>
      <c r="D298" s="13">
        <v>689</v>
      </c>
      <c r="E298" s="13">
        <f t="shared" si="4"/>
        <v>689</v>
      </c>
      <c r="F298" s="13">
        <v>0</v>
      </c>
    </row>
    <row r="299" spans="1:6" x14ac:dyDescent="0.3">
      <c r="A299" s="13" t="s">
        <v>972</v>
      </c>
      <c r="B299" s="13" t="s">
        <v>356</v>
      </c>
      <c r="C299" s="13">
        <v>119</v>
      </c>
      <c r="D299" s="13">
        <v>727</v>
      </c>
      <c r="E299" s="13">
        <f t="shared" si="4"/>
        <v>727</v>
      </c>
      <c r="F299" s="13">
        <v>0</v>
      </c>
    </row>
    <row r="300" spans="1:6" x14ac:dyDescent="0.3">
      <c r="A300" s="13" t="s">
        <v>973</v>
      </c>
      <c r="B300" s="13" t="s">
        <v>357</v>
      </c>
      <c r="C300" s="13">
        <v>746</v>
      </c>
      <c r="D300" s="13">
        <v>30800</v>
      </c>
      <c r="E300" s="13">
        <f t="shared" si="4"/>
        <v>30800</v>
      </c>
      <c r="F300" s="13">
        <v>0</v>
      </c>
    </row>
    <row r="301" spans="1:6" x14ac:dyDescent="0.3">
      <c r="A301" s="13" t="s">
        <v>974</v>
      </c>
      <c r="B301" s="13" t="s">
        <v>358</v>
      </c>
      <c r="C301" s="13">
        <v>2700</v>
      </c>
      <c r="D301" s="13">
        <v>16500</v>
      </c>
      <c r="E301" s="13">
        <f t="shared" si="4"/>
        <v>16500</v>
      </c>
      <c r="F301" s="1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9BC39A92A5054A91E7110C3163003E" ma:contentTypeVersion="17" ma:contentTypeDescription="Creare un nuovo documento." ma:contentTypeScope="" ma:versionID="eb67ed34d3486f6789c962ac5dac0f51">
  <xsd:schema xmlns:xsd="http://www.w3.org/2001/XMLSchema" xmlns:xs="http://www.w3.org/2001/XMLSchema" xmlns:p="http://schemas.microsoft.com/office/2006/metadata/properties" xmlns:ns2="9f5fad6e-ef09-40f7-9d86-d453df335b7b" xmlns:ns3="c319d79e-6821-4c2a-8db8-88a02643e5e3" targetNamespace="http://schemas.microsoft.com/office/2006/metadata/properties" ma:root="true" ma:fieldsID="4af8d01f9a62a1cc06a55fa3d0ce32aa" ns2:_="" ns3:_="">
    <xsd:import namespace="9f5fad6e-ef09-40f7-9d86-d453df335b7b"/>
    <xsd:import namespace="c319d79e-6821-4c2a-8db8-88a02643e5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fad6e-ef09-40f7-9d86-d453df335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Tag immagine" ma:readOnly="false" ma:fieldId="{5cf76f15-5ced-4ddc-b409-7134ff3c332f}" ma:taxonomyMulti="true" ma:sspId="62691f12-1220-44b1-ba48-e77f64da29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9d79e-6821-4c2a-8db8-88a02643e5e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33088f5-1065-42d3-bd54-93f61e303421}" ma:internalName="TaxCatchAll" ma:showField="CatchAllData" ma:web="c319d79e-6821-4c2a-8db8-88a02643e5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19d79e-6821-4c2a-8db8-88a02643e5e3" xsi:nil="true"/>
    <lcf76f155ced4ddcb4097134ff3c332f xmlns="9f5fad6e-ef09-40f7-9d86-d453df335b7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8BB9C8-B25F-4BFF-B478-B9BE76819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5fad6e-ef09-40f7-9d86-d453df335b7b"/>
    <ds:schemaRef ds:uri="c319d79e-6821-4c2a-8db8-88a02643e5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2B9794-62C5-4AF4-A4B9-535C89F7391B}">
  <ds:schemaRefs>
    <ds:schemaRef ds:uri="9f5fad6e-ef09-40f7-9d86-d453df335b7b"/>
    <ds:schemaRef ds:uri="http://purl.org/dc/dcmitype/"/>
    <ds:schemaRef ds:uri="http://purl.org/dc/terms/"/>
    <ds:schemaRef ds:uri="c319d79e-6821-4c2a-8db8-88a02643e5e3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9F07D9E-B4D6-46D3-9D98-316FDFFBCA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Scenario</vt:lpstr>
      <vt:lpstr>generatorsConfig</vt:lpstr>
      <vt:lpstr>Boiler</vt:lpstr>
      <vt:lpstr>Cooling - Compression chiller</vt:lpstr>
      <vt:lpstr>Appliances demand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Autelitano</dc:creator>
  <cp:keywords/>
  <dc:description/>
  <cp:lastModifiedBy>Saverio De Franceschi</cp:lastModifiedBy>
  <cp:revision/>
  <cp:lastPrinted>2024-11-26T09:35:16Z</cp:lastPrinted>
  <dcterms:created xsi:type="dcterms:W3CDTF">2024-06-07T09:07:33Z</dcterms:created>
  <dcterms:modified xsi:type="dcterms:W3CDTF">2026-03-04T09:15:51Z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0x010100199BC39A92A5054A91E7110C3163003E</vt:lpwstr>
  </property>
  <property fmtid="{D5CDD505-2E9C-101B-9397-08002B2CF9AE}" pid="3" name="MediaServiceImageTags">
    <vt:lpwstr/>
  </property>
</Properties>
</file>